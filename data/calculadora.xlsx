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oelg\Documents\gpro-alfa-racing-brasil\data\"/>
    </mc:Choice>
  </mc:AlternateContent>
  <xr:revisionPtr revIDLastSave="0" documentId="13_ncr:1_{E18D3D17-4A2F-4A7D-B331-C69BA1D4F190}" xr6:coauthVersionLast="47" xr6:coauthVersionMax="47" xr10:uidLastSave="{00000000-0000-0000-0000-000000000000}"/>
  <bookViews>
    <workbookView xWindow="-108" yWindow="-108" windowWidth="23256" windowHeight="12456" tabRatio="616" activeTab="1" xr2:uid="{00000000-000D-0000-FFFF-FFFF00000000}"/>
  </bookViews>
  <sheets>
    <sheet name="Setup&amp;WS" sheetId="5" r:id="rId1"/>
    <sheet name="Tyre&amp;Fuel" sheetId="6" r:id="rId2"/>
    <sheet name="Tyres" sheetId="27" r:id="rId3"/>
    <sheet name="Tables" sheetId="8" r:id="rId4"/>
    <sheet name="Tracks" sheetId="9" r:id="rId5"/>
    <sheet name="Driver" sheetId="12" state="hidden" r:id="rId6"/>
    <sheet name="Planejamento" sheetId="25" r:id="rId7"/>
    <sheet name="Patrocinador" sheetId="18" r:id="rId8"/>
  </sheets>
  <definedNames>
    <definedName name="_FilterDatabase" localSheetId="0">'Setup&amp;WS'!$Q$4:$T$9</definedName>
    <definedName name="_FilterDatabase" localSheetId="4">Tracks!$A$3:$Q$63</definedName>
    <definedName name="aaaat59">#REF!</definedName>
    <definedName name="Clima">INDEX(#REF!,MATCH('Tyre&amp;Fuel'!$C$3,#REF!,0))</definedName>
    <definedName name="CLIMACORRIDA">INDEX(#REF!,MATCH('Setup&amp;WS'!$T$9,#REF!,0))</definedName>
    <definedName name="CLIMAQ1">INDEX(#REF!,MATCH('Setup&amp;WS'!$T$7,#REF!,0))</definedName>
    <definedName name="CLIMAQ2">INDEX(#REF!,MATCH('Setup&amp;WS'!$T$8,#REF!,0))</definedName>
    <definedName name="Dropdown6_Alteração">#REF!</definedName>
    <definedName name="Pistas">#REF!</definedName>
    <definedName name="seasontracks" localSheetId="5">Tables!$U$2:$U$19</definedName>
    <definedName name="seasontracks">Tables!$U$2:$U$19</definedName>
    <definedName name="Sheet2.Button19_Click">#REF!</definedName>
    <definedName name="Tracks">Tracks!$A$4:$A$60</definedName>
    <definedName name="tyrediff" localSheetId="5">Tables!$A$60:$D$69</definedName>
    <definedName name="tyrediff">Tables!$A$60:$D$69</definedName>
    <definedName name="Tyresuppliers" localSheetId="5">Tables!$A$61:$A$69</definedName>
    <definedName name="Tyresuppliers">Tables!$A$61:$A$69</definedName>
    <definedName name="Yesno" localSheetId="5">Tables!$P$1:$P$2</definedName>
    <definedName name="Yesno">Tables!$P$1:$P$2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6" l="1"/>
  <c r="D19" i="6"/>
  <c r="F110" i="8"/>
  <c r="F109" i="8"/>
  <c r="F108" i="8"/>
  <c r="F107" i="8"/>
  <c r="D18" i="6"/>
  <c r="L56" i="6"/>
  <c r="F111" i="8"/>
  <c r="D23" i="6"/>
  <c r="D22" i="6"/>
  <c r="T21" i="6"/>
  <c r="T20" i="6"/>
  <c r="H4" i="18"/>
  <c r="H7" i="18"/>
  <c r="H6" i="18"/>
  <c r="C15" i="6"/>
  <c r="V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2" i="8"/>
  <c r="E29" i="6"/>
  <c r="K34" i="5"/>
  <c r="K33" i="5"/>
  <c r="AM11" i="25"/>
  <c r="AM12" i="25"/>
  <c r="AM13" i="25"/>
  <c r="AM14" i="25"/>
  <c r="AM15" i="25"/>
  <c r="AM16" i="25"/>
  <c r="AM17" i="25"/>
  <c r="AM18" i="25"/>
  <c r="AM19" i="25"/>
  <c r="BC73" i="25"/>
  <c r="AA29" i="8" l="1"/>
  <c r="AA39" i="8"/>
  <c r="AA50" i="8"/>
  <c r="AA60" i="8"/>
  <c r="BB76" i="25" l="1"/>
  <c r="BB77" i="25"/>
  <c r="BB78" i="25"/>
  <c r="BB79" i="25"/>
  <c r="BB80" i="25"/>
  <c r="BB81" i="25"/>
  <c r="BB82" i="25"/>
  <c r="BB83" i="25"/>
  <c r="BB84" i="25"/>
  <c r="BB85" i="25"/>
  <c r="BB75" i="25"/>
  <c r="AI36" i="25" l="1"/>
  <c r="BA76" i="25"/>
  <c r="BA77" i="25"/>
  <c r="BA78" i="25"/>
  <c r="BA79" i="25"/>
  <c r="BA80" i="25"/>
  <c r="BA81" i="25"/>
  <c r="BA82" i="25"/>
  <c r="BA83" i="25"/>
  <c r="BA84" i="25"/>
  <c r="BA85" i="25"/>
  <c r="BA75" i="25"/>
  <c r="AS101" i="25"/>
  <c r="AS100" i="25"/>
  <c r="AS99" i="25"/>
  <c r="AS98" i="25"/>
  <c r="AS93" i="25"/>
  <c r="AS92" i="25"/>
  <c r="AR91" i="25"/>
  <c r="AS90" i="25"/>
  <c r="AR89" i="25"/>
  <c r="AS88" i="25"/>
  <c r="AW85" i="25"/>
  <c r="AW84" i="25"/>
  <c r="AW83" i="25"/>
  <c r="AW82" i="25"/>
  <c r="AW81" i="25"/>
  <c r="AW80" i="25"/>
  <c r="AW79" i="25"/>
  <c r="AW78" i="25"/>
  <c r="AW77" i="25"/>
  <c r="AW76" i="25"/>
  <c r="AW75" i="25"/>
  <c r="D91" i="25"/>
  <c r="N91" i="25"/>
  <c r="AI100" i="25"/>
  <c r="AI99" i="25"/>
  <c r="AI98" i="25"/>
  <c r="AI93" i="25"/>
  <c r="AI92" i="25"/>
  <c r="AH91" i="25"/>
  <c r="AI90" i="25"/>
  <c r="AH89" i="25"/>
  <c r="AI88" i="25"/>
  <c r="AM85" i="25"/>
  <c r="AM84" i="25"/>
  <c r="AM83" i="25"/>
  <c r="AM82" i="25"/>
  <c r="AM81" i="25"/>
  <c r="AM80" i="25"/>
  <c r="AM79" i="25"/>
  <c r="AM78" i="25"/>
  <c r="AM77" i="25"/>
  <c r="AM76" i="25"/>
  <c r="AM75" i="25"/>
  <c r="X91" i="25"/>
  <c r="Y100" i="25"/>
  <c r="Y99" i="25"/>
  <c r="Y98" i="25"/>
  <c r="Y93" i="25"/>
  <c r="Y92" i="25"/>
  <c r="Y90" i="25"/>
  <c r="X89" i="25"/>
  <c r="Y88" i="25"/>
  <c r="AC85" i="25"/>
  <c r="AC84" i="25"/>
  <c r="AC83" i="25"/>
  <c r="AC82" i="25"/>
  <c r="AC81" i="25"/>
  <c r="AC80" i="25"/>
  <c r="AC79" i="25"/>
  <c r="AC78" i="25"/>
  <c r="AC77" i="25"/>
  <c r="AC76" i="25"/>
  <c r="AC75" i="25"/>
  <c r="O101" i="25"/>
  <c r="O100" i="25"/>
  <c r="O99" i="25"/>
  <c r="O98" i="25"/>
  <c r="O93" i="25"/>
  <c r="O92" i="25"/>
  <c r="O90" i="25"/>
  <c r="N89" i="25"/>
  <c r="O88" i="25"/>
  <c r="S85" i="25"/>
  <c r="S84" i="25"/>
  <c r="S83" i="25"/>
  <c r="S82" i="25"/>
  <c r="S81" i="25"/>
  <c r="S80" i="25"/>
  <c r="S79" i="25"/>
  <c r="S78" i="25"/>
  <c r="S77" i="25"/>
  <c r="S76" i="25"/>
  <c r="S75" i="25"/>
  <c r="E100" i="25"/>
  <c r="E99" i="25"/>
  <c r="E98" i="25"/>
  <c r="E93" i="25"/>
  <c r="E92" i="25"/>
  <c r="E90" i="25"/>
  <c r="D89" i="25"/>
  <c r="E88" i="25"/>
  <c r="I85" i="25"/>
  <c r="I84" i="25"/>
  <c r="I83" i="25"/>
  <c r="I82" i="25"/>
  <c r="I81" i="25"/>
  <c r="I80" i="25"/>
  <c r="I79" i="25"/>
  <c r="I78" i="25"/>
  <c r="I77" i="25"/>
  <c r="I76" i="25"/>
  <c r="I75" i="25"/>
  <c r="BC68" i="25"/>
  <c r="BC67" i="25"/>
  <c r="BC66" i="25"/>
  <c r="BC61" i="25"/>
  <c r="BC60" i="25"/>
  <c r="BB59" i="25"/>
  <c r="BC58" i="25"/>
  <c r="BB57" i="25"/>
  <c r="BC56" i="25"/>
  <c r="BB55" i="25"/>
  <c r="AS69" i="25"/>
  <c r="AS68" i="25"/>
  <c r="AS67" i="25"/>
  <c r="AS66" i="25"/>
  <c r="AS61" i="25"/>
  <c r="AS60" i="25"/>
  <c r="AR59" i="25"/>
  <c r="AS58" i="25"/>
  <c r="AR57" i="25"/>
  <c r="AS56" i="25"/>
  <c r="AW49" i="25"/>
  <c r="AI68" i="25"/>
  <c r="AI67" i="25"/>
  <c r="AI66" i="25"/>
  <c r="AI61" i="25"/>
  <c r="AI60" i="25"/>
  <c r="AH59" i="25"/>
  <c r="AI58" i="25"/>
  <c r="AH57" i="25"/>
  <c r="AI56" i="25"/>
  <c r="Y68" i="25"/>
  <c r="Y67" i="25"/>
  <c r="Y66" i="25"/>
  <c r="Y61" i="25"/>
  <c r="Y60" i="25"/>
  <c r="X59" i="25"/>
  <c r="Y58" i="25"/>
  <c r="X57" i="25"/>
  <c r="Y56" i="25"/>
  <c r="X55" i="25"/>
  <c r="AC53" i="25"/>
  <c r="AC52" i="25"/>
  <c r="AC51" i="25"/>
  <c r="AC50" i="25"/>
  <c r="AC49" i="25"/>
  <c r="AC48" i="25"/>
  <c r="AC47" i="25"/>
  <c r="AC46" i="25"/>
  <c r="AC45" i="25"/>
  <c r="AC44" i="25"/>
  <c r="AC43" i="25"/>
  <c r="O69" i="25"/>
  <c r="O68" i="25"/>
  <c r="O67" i="25"/>
  <c r="O66" i="25"/>
  <c r="O61" i="25"/>
  <c r="O60" i="25"/>
  <c r="N59" i="25"/>
  <c r="O58" i="25"/>
  <c r="N57" i="25"/>
  <c r="O56" i="25"/>
  <c r="S53" i="25"/>
  <c r="S52" i="25"/>
  <c r="S51" i="25"/>
  <c r="S50" i="25"/>
  <c r="S49" i="25"/>
  <c r="S48" i="25"/>
  <c r="S47" i="25"/>
  <c r="S46" i="25"/>
  <c r="S45" i="25"/>
  <c r="S44" i="25"/>
  <c r="S43" i="25"/>
  <c r="D59" i="25"/>
  <c r="E68" i="25"/>
  <c r="E67" i="25"/>
  <c r="E66" i="25"/>
  <c r="E61" i="25"/>
  <c r="E60" i="25"/>
  <c r="E58" i="25"/>
  <c r="D57" i="25"/>
  <c r="E56" i="25"/>
  <c r="I53" i="25"/>
  <c r="I52" i="25"/>
  <c r="I51" i="25"/>
  <c r="I50" i="25"/>
  <c r="I49" i="25"/>
  <c r="I48" i="25"/>
  <c r="I47" i="25"/>
  <c r="I46" i="25"/>
  <c r="I45" i="25"/>
  <c r="I44" i="25"/>
  <c r="I43" i="25"/>
  <c r="BC36" i="25"/>
  <c r="BC35" i="25"/>
  <c r="BC34" i="25"/>
  <c r="BC29" i="25"/>
  <c r="BC28" i="25"/>
  <c r="BB27" i="25"/>
  <c r="BC26" i="25"/>
  <c r="BB25" i="25"/>
  <c r="BC24" i="25"/>
  <c r="BG21" i="25"/>
  <c r="BG20" i="25"/>
  <c r="BG19" i="25"/>
  <c r="BG18" i="25"/>
  <c r="BG17" i="25"/>
  <c r="BG16" i="25"/>
  <c r="BG15" i="25"/>
  <c r="BG14" i="25"/>
  <c r="BG13" i="25"/>
  <c r="BG12" i="25"/>
  <c r="BG11" i="25"/>
  <c r="AS37" i="25"/>
  <c r="O37" i="25"/>
  <c r="AS36" i="25"/>
  <c r="AS35" i="25"/>
  <c r="AS34" i="25"/>
  <c r="AS29" i="25"/>
  <c r="AS28" i="25"/>
  <c r="AR27" i="25"/>
  <c r="AS26" i="25"/>
  <c r="AR25" i="25"/>
  <c r="AS24" i="25"/>
  <c r="AW21" i="25"/>
  <c r="AW20" i="25"/>
  <c r="AW19" i="25"/>
  <c r="AW18" i="25"/>
  <c r="AW17" i="25"/>
  <c r="AW16" i="25"/>
  <c r="AW15" i="25"/>
  <c r="AW14" i="25"/>
  <c r="AW13" i="25"/>
  <c r="AW12" i="25"/>
  <c r="AW11" i="25"/>
  <c r="AI35" i="25"/>
  <c r="AI34" i="25"/>
  <c r="AI29" i="25"/>
  <c r="AI28" i="25"/>
  <c r="AH27" i="25"/>
  <c r="AI26" i="25"/>
  <c r="AH25" i="25"/>
  <c r="AI24" i="25"/>
  <c r="M12" i="25"/>
  <c r="W12" i="25" s="1"/>
  <c r="M13" i="25"/>
  <c r="M14" i="25"/>
  <c r="M15" i="25"/>
  <c r="M16" i="25"/>
  <c r="M17" i="25"/>
  <c r="W17" i="25" s="1"/>
  <c r="M18" i="25"/>
  <c r="W18" i="25" s="1"/>
  <c r="M19" i="25"/>
  <c r="M20" i="25"/>
  <c r="W20" i="25" s="1"/>
  <c r="M21" i="25"/>
  <c r="W21" i="25" s="1"/>
  <c r="M11" i="25"/>
  <c r="W11" i="25" s="1"/>
  <c r="X25" i="25"/>
  <c r="D25" i="25"/>
  <c r="Y36" i="25"/>
  <c r="Y35" i="25"/>
  <c r="Y34" i="25"/>
  <c r="Y29" i="25"/>
  <c r="Y28" i="25"/>
  <c r="X27" i="25"/>
  <c r="Y26" i="25"/>
  <c r="Y24" i="25"/>
  <c r="N25" i="25"/>
  <c r="O36" i="25"/>
  <c r="O35" i="25"/>
  <c r="O34" i="25"/>
  <c r="O29" i="25"/>
  <c r="O28" i="25"/>
  <c r="N27" i="25"/>
  <c r="O26" i="25"/>
  <c r="O24" i="25"/>
  <c r="E34" i="25"/>
  <c r="E29" i="25"/>
  <c r="E28" i="25"/>
  <c r="D27" i="25"/>
  <c r="E26" i="25"/>
  <c r="E24" i="25"/>
  <c r="D23" i="25"/>
  <c r="AD13" i="5"/>
  <c r="AG12" i="25" l="1"/>
  <c r="AG17" i="25"/>
  <c r="AQ17" i="25" s="1"/>
  <c r="AG21" i="25"/>
  <c r="AG18" i="25"/>
  <c r="AG20" i="25"/>
  <c r="AR55" i="25"/>
  <c r="AG11" i="25"/>
  <c r="N23" i="25"/>
  <c r="W13" i="25"/>
  <c r="X23" i="25" s="1"/>
  <c r="W14" i="25"/>
  <c r="W16" i="25"/>
  <c r="W15" i="25"/>
  <c r="W19" i="25"/>
  <c r="AF4" i="5"/>
  <c r="AE12" i="5"/>
  <c r="AD12" i="5"/>
  <c r="AC12" i="5"/>
  <c r="AQ12" i="25" l="1"/>
  <c r="AG19" i="25"/>
  <c r="AQ18" i="25"/>
  <c r="AQ11" i="25"/>
  <c r="AG15" i="25"/>
  <c r="BA17" i="25"/>
  <c r="AQ20" i="25"/>
  <c r="AQ21" i="25"/>
  <c r="AG16" i="25"/>
  <c r="AG14" i="25"/>
  <c r="AG13" i="25"/>
  <c r="BA12" i="25" l="1"/>
  <c r="AQ15" i="25"/>
  <c r="BA11" i="25"/>
  <c r="AQ19" i="25"/>
  <c r="AH23" i="25"/>
  <c r="BA21" i="25"/>
  <c r="BA20" i="25"/>
  <c r="BA18" i="25"/>
  <c r="AQ16" i="25"/>
  <c r="C49" i="25"/>
  <c r="AQ14" i="25"/>
  <c r="AQ13" i="25"/>
  <c r="P8" i="5"/>
  <c r="P7" i="5"/>
  <c r="P6" i="5"/>
  <c r="C44" i="25" l="1"/>
  <c r="BA14" i="25"/>
  <c r="C52" i="25"/>
  <c r="BA16" i="25"/>
  <c r="M49" i="25"/>
  <c r="N55" i="25" s="1"/>
  <c r="BA19" i="25"/>
  <c r="C43" i="25"/>
  <c r="BA15" i="25"/>
  <c r="C50" i="25"/>
  <c r="C53" i="25"/>
  <c r="AR23" i="25"/>
  <c r="BA13" i="25"/>
  <c r="AE24" i="8"/>
  <c r="M44" i="25" l="1"/>
  <c r="M50" i="25"/>
  <c r="BB23" i="25"/>
  <c r="C45" i="25"/>
  <c r="W49" i="25"/>
  <c r="C47" i="25"/>
  <c r="C51" i="25"/>
  <c r="C46" i="25"/>
  <c r="M52" i="25"/>
  <c r="M53" i="25"/>
  <c r="D55" i="25"/>
  <c r="M43" i="25"/>
  <c r="C48" i="25"/>
  <c r="W44" i="25" l="1"/>
  <c r="W53" i="25"/>
  <c r="AG49" i="25"/>
  <c r="M51" i="25"/>
  <c r="W50" i="25"/>
  <c r="M46" i="25"/>
  <c r="M48" i="25"/>
  <c r="W43" i="25"/>
  <c r="M45" i="25"/>
  <c r="W52" i="25"/>
  <c r="M47" i="25"/>
  <c r="L54" i="5"/>
  <c r="L50" i="5"/>
  <c r="L52" i="5"/>
  <c r="L51" i="5"/>
  <c r="L53" i="5"/>
  <c r="K81" i="8"/>
  <c r="K17" i="5"/>
  <c r="AG44" i="25" l="1"/>
  <c r="W47" i="25"/>
  <c r="AG50" i="25"/>
  <c r="AQ49" i="25"/>
  <c r="W48" i="25"/>
  <c r="W45" i="25"/>
  <c r="AG52" i="25"/>
  <c r="W46" i="25"/>
  <c r="W51" i="25"/>
  <c r="AG53" i="25"/>
  <c r="AG43" i="25"/>
  <c r="AD55" i="8"/>
  <c r="AD54" i="8"/>
  <c r="H60" i="18" s="1"/>
  <c r="AD53" i="8"/>
  <c r="H59" i="18"/>
  <c r="H58" i="18"/>
  <c r="H57" i="18"/>
  <c r="H56" i="18"/>
  <c r="H55" i="18"/>
  <c r="H54" i="18"/>
  <c r="AD50" i="8"/>
  <c r="AD49" i="8"/>
  <c r="H50" i="18" s="1"/>
  <c r="AD48" i="8"/>
  <c r="H49" i="18"/>
  <c r="AD45" i="8"/>
  <c r="AD44" i="8"/>
  <c r="AD43" i="8"/>
  <c r="H39" i="18"/>
  <c r="AD40" i="8"/>
  <c r="AD39" i="8"/>
  <c r="H30" i="18" s="1"/>
  <c r="AD38" i="8"/>
  <c r="H29" i="18"/>
  <c r="AD35" i="8"/>
  <c r="AD34" i="8"/>
  <c r="AD33" i="8"/>
  <c r="H19" i="18"/>
  <c r="AD28" i="8"/>
  <c r="AD30" i="8"/>
  <c r="AD29" i="8"/>
  <c r="H9" i="18"/>
  <c r="H20" i="18" l="1"/>
  <c r="H40" i="18"/>
  <c r="AH55" i="25"/>
  <c r="AQ44" i="25"/>
  <c r="AG48" i="25"/>
  <c r="AQ43" i="25"/>
  <c r="AG51" i="25"/>
  <c r="AG47" i="25"/>
  <c r="AG45" i="25"/>
  <c r="BA49" i="25"/>
  <c r="AQ53" i="25"/>
  <c r="AG46" i="25"/>
  <c r="AQ50" i="25"/>
  <c r="AQ52" i="25"/>
  <c r="H10" i="18"/>
  <c r="BA44" i="25" l="1"/>
  <c r="BA50" i="25"/>
  <c r="BA53" i="25"/>
  <c r="AQ47" i="25"/>
  <c r="AQ48" i="25"/>
  <c r="BA52" i="25"/>
  <c r="AQ46" i="25"/>
  <c r="AQ51" i="25"/>
  <c r="AQ45" i="25"/>
  <c r="BA43" i="25"/>
  <c r="C81" i="25"/>
  <c r="B91" i="8"/>
  <c r="AL46" i="25" s="1"/>
  <c r="H30" i="6"/>
  <c r="F4" i="6"/>
  <c r="D15" i="6" s="1"/>
  <c r="L164" i="8"/>
  <c r="K164" i="8"/>
  <c r="J164" i="8"/>
  <c r="C80" i="8"/>
  <c r="C82" i="8" s="1"/>
  <c r="H48" i="18"/>
  <c r="H47" i="18"/>
  <c r="H46" i="18"/>
  <c r="H45" i="18"/>
  <c r="H44" i="18"/>
  <c r="H38" i="18"/>
  <c r="H37" i="18"/>
  <c r="H36" i="18"/>
  <c r="H35" i="18"/>
  <c r="H34" i="18"/>
  <c r="H28" i="18"/>
  <c r="H27" i="18"/>
  <c r="H26" i="18"/>
  <c r="H25" i="18"/>
  <c r="H24" i="18"/>
  <c r="H18" i="18"/>
  <c r="H17" i="18"/>
  <c r="H16" i="18"/>
  <c r="H15" i="18"/>
  <c r="H14" i="18"/>
  <c r="H8" i="18"/>
  <c r="H5" i="18"/>
  <c r="AL19" i="12"/>
  <c r="AH19" i="12"/>
  <c r="AD19" i="12"/>
  <c r="Z19" i="12"/>
  <c r="V19" i="12"/>
  <c r="R19" i="12"/>
  <c r="N19" i="12"/>
  <c r="J19" i="12"/>
  <c r="F19" i="12"/>
  <c r="H15" i="12"/>
  <c r="L15" i="12"/>
  <c r="P15" i="12" s="1"/>
  <c r="T15" i="12" s="1"/>
  <c r="X15" i="12" s="1"/>
  <c r="AB15" i="12" s="1"/>
  <c r="AF15" i="12" s="1"/>
  <c r="AJ15" i="12"/>
  <c r="H32" i="12" s="1"/>
  <c r="L32" i="12" s="1"/>
  <c r="P32" i="12" s="1"/>
  <c r="T32" i="12" s="1"/>
  <c r="X32" i="12" s="1"/>
  <c r="AB32" i="12" s="1"/>
  <c r="AF32" i="12" s="1"/>
  <c r="AJ32" i="12" s="1"/>
  <c r="AO32" i="12" s="1"/>
  <c r="H14" i="12"/>
  <c r="L14" i="12" s="1"/>
  <c r="P14" i="12" s="1"/>
  <c r="T14" i="12" s="1"/>
  <c r="X14" i="12" s="1"/>
  <c r="AB14" i="12" s="1"/>
  <c r="AF14" i="12" s="1"/>
  <c r="AJ14" i="12" s="1"/>
  <c r="H31" i="12" s="1"/>
  <c r="L31" i="12" s="1"/>
  <c r="P31" i="12" s="1"/>
  <c r="T31" i="12" s="1"/>
  <c r="X31" i="12" s="1"/>
  <c r="AB31" i="12" s="1"/>
  <c r="AF31" i="12" s="1"/>
  <c r="AJ31" i="12" s="1"/>
  <c r="AO31" i="12" s="1"/>
  <c r="H13" i="12"/>
  <c r="L13" i="12" s="1"/>
  <c r="P13" i="12" s="1"/>
  <c r="T13" i="12" s="1"/>
  <c r="X13" i="12" s="1"/>
  <c r="AB13" i="12" s="1"/>
  <c r="AF13" i="12" s="1"/>
  <c r="AJ13" i="12" s="1"/>
  <c r="H30" i="12" s="1"/>
  <c r="L30" i="12" s="1"/>
  <c r="P30" i="12" s="1"/>
  <c r="T30" i="12" s="1"/>
  <c r="X30" i="12" s="1"/>
  <c r="AB30" i="12" s="1"/>
  <c r="AF30" i="12" s="1"/>
  <c r="AJ30" i="12" s="1"/>
  <c r="AO30" i="12" s="1"/>
  <c r="H12" i="12"/>
  <c r="L12" i="12"/>
  <c r="P12" i="12" s="1"/>
  <c r="T12" i="12" s="1"/>
  <c r="X12" i="12" s="1"/>
  <c r="AB12" i="12" s="1"/>
  <c r="AF12" i="12" s="1"/>
  <c r="AJ12" i="12" s="1"/>
  <c r="H29" i="12" s="1"/>
  <c r="L29" i="12" s="1"/>
  <c r="P29" i="12" s="1"/>
  <c r="T29" i="12" s="1"/>
  <c r="X29" i="12" s="1"/>
  <c r="AB29" i="12" s="1"/>
  <c r="AF29" i="12" s="1"/>
  <c r="AJ29" i="12" s="1"/>
  <c r="AO29" i="12" s="1"/>
  <c r="H11" i="12"/>
  <c r="L11" i="12" s="1"/>
  <c r="P11" i="12" s="1"/>
  <c r="T11" i="12" s="1"/>
  <c r="X11" i="12" s="1"/>
  <c r="AB11" i="12" s="1"/>
  <c r="AF11" i="12" s="1"/>
  <c r="AJ11" i="12" s="1"/>
  <c r="H28" i="12" s="1"/>
  <c r="L28" i="12" s="1"/>
  <c r="P28" i="12" s="1"/>
  <c r="T28" i="12" s="1"/>
  <c r="X28" i="12" s="1"/>
  <c r="AB28" i="12" s="1"/>
  <c r="AF28" i="12" s="1"/>
  <c r="AJ28" i="12" s="1"/>
  <c r="AO28" i="12" s="1"/>
  <c r="H10" i="12"/>
  <c r="L10" i="12" s="1"/>
  <c r="P10" i="12" s="1"/>
  <c r="T10" i="12" s="1"/>
  <c r="X10" i="12" s="1"/>
  <c r="AB10" i="12" s="1"/>
  <c r="AF10" i="12" s="1"/>
  <c r="AJ10" i="12" s="1"/>
  <c r="H27" i="12" s="1"/>
  <c r="L27" i="12" s="1"/>
  <c r="P27" i="12" s="1"/>
  <c r="T27" i="12" s="1"/>
  <c r="X27" i="12" s="1"/>
  <c r="AB27" i="12" s="1"/>
  <c r="AF27" i="12" s="1"/>
  <c r="AJ27" i="12" s="1"/>
  <c r="AO27" i="12" s="1"/>
  <c r="H9" i="12"/>
  <c r="L9" i="12" s="1"/>
  <c r="P9" i="12" s="1"/>
  <c r="T9" i="12" s="1"/>
  <c r="X9" i="12" s="1"/>
  <c r="AB9" i="12" s="1"/>
  <c r="AF9" i="12" s="1"/>
  <c r="AJ9" i="12" s="1"/>
  <c r="H26" i="12" s="1"/>
  <c r="L26" i="12" s="1"/>
  <c r="P26" i="12" s="1"/>
  <c r="T26" i="12" s="1"/>
  <c r="X26" i="12" s="1"/>
  <c r="AB26" i="12" s="1"/>
  <c r="AF26" i="12" s="1"/>
  <c r="AJ26" i="12" s="1"/>
  <c r="AO26" i="12" s="1"/>
  <c r="H8" i="12"/>
  <c r="L8" i="12"/>
  <c r="P8" i="12"/>
  <c r="T8" i="12"/>
  <c r="X8" i="12" s="1"/>
  <c r="AB8" i="12"/>
  <c r="AF8" i="12" s="1"/>
  <c r="AJ8" i="12" s="1"/>
  <c r="H25" i="12" s="1"/>
  <c r="L25" i="12" s="1"/>
  <c r="P25" i="12" s="1"/>
  <c r="T25" i="12" s="1"/>
  <c r="X25" i="12" s="1"/>
  <c r="AB25" i="12" s="1"/>
  <c r="AF25" i="12" s="1"/>
  <c r="AJ25" i="12" s="1"/>
  <c r="AO25" i="12" s="1"/>
  <c r="H7" i="12"/>
  <c r="H6" i="12"/>
  <c r="L6" i="12" s="1"/>
  <c r="P6" i="12" s="1"/>
  <c r="T6" i="12" s="1"/>
  <c r="X6" i="12" s="1"/>
  <c r="AB6" i="12" s="1"/>
  <c r="AF6" i="12" s="1"/>
  <c r="AJ6" i="12" s="1"/>
  <c r="H23" i="12" s="1"/>
  <c r="L23" i="12" s="1"/>
  <c r="P23" i="12" s="1"/>
  <c r="T23" i="12" s="1"/>
  <c r="X23" i="12" s="1"/>
  <c r="AB23" i="12" s="1"/>
  <c r="AF23" i="12" s="1"/>
  <c r="AJ23" i="12" s="1"/>
  <c r="AO23" i="12" s="1"/>
  <c r="H5" i="12"/>
  <c r="D4" i="12"/>
  <c r="AH2" i="12"/>
  <c r="AD2" i="12"/>
  <c r="Z2" i="12"/>
  <c r="V2" i="12"/>
  <c r="R2" i="12"/>
  <c r="N2" i="12"/>
  <c r="J2" i="12"/>
  <c r="F2" i="12"/>
  <c r="C333" i="8"/>
  <c r="C334" i="8" s="1"/>
  <c r="C335" i="8" s="1"/>
  <c r="C336" i="8" s="1"/>
  <c r="C337" i="8"/>
  <c r="C338" i="8"/>
  <c r="C339" i="8"/>
  <c r="C340" i="8"/>
  <c r="C341" i="8" s="1"/>
  <c r="C342" i="8" s="1"/>
  <c r="C343" i="8" s="1"/>
  <c r="C344" i="8" s="1"/>
  <c r="C345" i="8" s="1"/>
  <c r="C346" i="8"/>
  <c r="C347" i="8" s="1"/>
  <c r="C348" i="8" s="1"/>
  <c r="C349" i="8" s="1"/>
  <c r="C350" i="8" s="1"/>
  <c r="C351" i="8" s="1"/>
  <c r="C352" i="8" s="1"/>
  <c r="C353" i="8" s="1"/>
  <c r="C354" i="8" s="1"/>
  <c r="C355" i="8" s="1"/>
  <c r="C356" i="8" s="1"/>
  <c r="C357" i="8" s="1"/>
  <c r="C358" i="8" s="1"/>
  <c r="C359" i="8" s="1"/>
  <c r="C360" i="8" s="1"/>
  <c r="C361" i="8" s="1"/>
  <c r="C362" i="8" s="1"/>
  <c r="C363" i="8" s="1"/>
  <c r="C364" i="8" s="1"/>
  <c r="C365" i="8" s="1"/>
  <c r="C366" i="8" s="1"/>
  <c r="C367" i="8" s="1"/>
  <c r="B333" i="8"/>
  <c r="B334" i="8"/>
  <c r="B335" i="8"/>
  <c r="B336" i="8"/>
  <c r="B337" i="8" s="1"/>
  <c r="B338" i="8" s="1"/>
  <c r="B339" i="8" s="1"/>
  <c r="B340" i="8" s="1"/>
  <c r="B341" i="8" s="1"/>
  <c r="B342" i="8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C293" i="8"/>
  <c r="C294" i="8" s="1"/>
  <c r="C295" i="8" s="1"/>
  <c r="C296" i="8" s="1"/>
  <c r="C297" i="8" s="1"/>
  <c r="C298" i="8" s="1"/>
  <c r="C299" i="8" s="1"/>
  <c r="C300" i="8" s="1"/>
  <c r="C301" i="8" s="1"/>
  <c r="C302" i="8" s="1"/>
  <c r="C303" i="8" s="1"/>
  <c r="C304" i="8" s="1"/>
  <c r="C305" i="8" s="1"/>
  <c r="C306" i="8" s="1"/>
  <c r="C307" i="8" s="1"/>
  <c r="C308" i="8" s="1"/>
  <c r="C309" i="8" s="1"/>
  <c r="C310" i="8" s="1"/>
  <c r="C311" i="8" s="1"/>
  <c r="C312" i="8" s="1"/>
  <c r="C313" i="8" s="1"/>
  <c r="C314" i="8" s="1"/>
  <c r="C315" i="8" s="1"/>
  <c r="C316" i="8" s="1"/>
  <c r="C317" i="8" s="1"/>
  <c r="C318" i="8" s="1"/>
  <c r="C319" i="8" s="1"/>
  <c r="C320" i="8" s="1"/>
  <c r="C321" i="8" s="1"/>
  <c r="C322" i="8" s="1"/>
  <c r="C323" i="8" s="1"/>
  <c r="C324" i="8" s="1"/>
  <c r="C325" i="8" s="1"/>
  <c r="C326" i="8" s="1"/>
  <c r="C327" i="8" s="1"/>
  <c r="C292" i="8"/>
  <c r="C253" i="8"/>
  <c r="C254" i="8"/>
  <c r="C255" i="8"/>
  <c r="C256" i="8"/>
  <c r="C257" i="8"/>
  <c r="C258" i="8"/>
  <c r="C259" i="8" s="1"/>
  <c r="C260" i="8" s="1"/>
  <c r="C261" i="8" s="1"/>
  <c r="C262" i="8" s="1"/>
  <c r="C263" i="8" s="1"/>
  <c r="C264" i="8" s="1"/>
  <c r="C265" i="8" s="1"/>
  <c r="C266" i="8" s="1"/>
  <c r="C267" i="8" s="1"/>
  <c r="B252" i="8"/>
  <c r="B253" i="8"/>
  <c r="B254" i="8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C213" i="8"/>
  <c r="C214" i="8" s="1"/>
  <c r="C215" i="8" s="1"/>
  <c r="C216" i="8"/>
  <c r="C217" i="8" s="1"/>
  <c r="C218" i="8" s="1"/>
  <c r="C219" i="8" s="1"/>
  <c r="C220" i="8" s="1"/>
  <c r="C221" i="8" s="1"/>
  <c r="C222" i="8" s="1"/>
  <c r="C223" i="8" s="1"/>
  <c r="C224" i="8" s="1"/>
  <c r="C225" i="8" s="1"/>
  <c r="C226" i="8" s="1"/>
  <c r="C227" i="8" s="1"/>
  <c r="C228" i="8" s="1"/>
  <c r="C229" i="8" s="1"/>
  <c r="C230" i="8" s="1"/>
  <c r="C231" i="8" s="1"/>
  <c r="C232" i="8"/>
  <c r="C233" i="8" s="1"/>
  <c r="C234" i="8" s="1"/>
  <c r="C235" i="8" s="1"/>
  <c r="C236" i="8" s="1"/>
  <c r="C237" i="8" s="1"/>
  <c r="C238" i="8" s="1"/>
  <c r="C239" i="8" s="1"/>
  <c r="C240" i="8" s="1"/>
  <c r="C241" i="8" s="1"/>
  <c r="C242" i="8" s="1"/>
  <c r="C243" i="8" s="1"/>
  <c r="C244" i="8" s="1"/>
  <c r="C245" i="8" s="1"/>
  <c r="C246" i="8" s="1"/>
  <c r="C247" i="8" s="1"/>
  <c r="C173" i="8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201" i="8" s="1"/>
  <c r="C202" i="8" s="1"/>
  <c r="C203" i="8" s="1"/>
  <c r="C204" i="8" s="1"/>
  <c r="C205" i="8"/>
  <c r="C206" i="8" s="1"/>
  <c r="C207" i="8" s="1"/>
  <c r="B170" i="8"/>
  <c r="B171" i="8" s="1"/>
  <c r="B172" i="8"/>
  <c r="B173" i="8" s="1"/>
  <c r="B174" i="8" s="1"/>
  <c r="B175" i="8"/>
  <c r="B176" i="8"/>
  <c r="B177" i="8" s="1"/>
  <c r="B178" i="8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/>
  <c r="B205" i="8" s="1"/>
  <c r="B206" i="8" s="1"/>
  <c r="B207" i="8" s="1"/>
  <c r="M164" i="8"/>
  <c r="I164" i="8"/>
  <c r="H164" i="8"/>
  <c r="G164" i="8"/>
  <c r="F164" i="8"/>
  <c r="E164" i="8"/>
  <c r="D164" i="8"/>
  <c r="C164" i="8"/>
  <c r="B164" i="8"/>
  <c r="AC151" i="8"/>
  <c r="S151" i="8"/>
  <c r="T151" i="8" s="1"/>
  <c r="I151" i="8"/>
  <c r="AC150" i="8"/>
  <c r="AD151" i="8" s="1"/>
  <c r="AD150" i="8"/>
  <c r="S150" i="8"/>
  <c r="I150" i="8"/>
  <c r="AC149" i="8"/>
  <c r="S149" i="8"/>
  <c r="I149" i="8"/>
  <c r="AC148" i="8"/>
  <c r="AD148" i="8" s="1"/>
  <c r="T148" i="8"/>
  <c r="S148" i="8"/>
  <c r="I148" i="8"/>
  <c r="AC147" i="8"/>
  <c r="S147" i="8"/>
  <c r="I147" i="8"/>
  <c r="J148" i="8" s="1"/>
  <c r="AC146" i="8"/>
  <c r="S146" i="8"/>
  <c r="I146" i="8"/>
  <c r="AC145" i="8"/>
  <c r="S145" i="8"/>
  <c r="T145" i="8"/>
  <c r="I145" i="8"/>
  <c r="J146" i="8" s="1"/>
  <c r="AC144" i="8"/>
  <c r="AD144" i="8"/>
  <c r="S144" i="8"/>
  <c r="P144" i="8"/>
  <c r="P145" i="8" s="1"/>
  <c r="P146" i="8" s="1"/>
  <c r="P147" i="8"/>
  <c r="P148" i="8" s="1"/>
  <c r="P149" i="8" s="1"/>
  <c r="P150" i="8" s="1"/>
  <c r="P151" i="8" s="1"/>
  <c r="I144" i="8"/>
  <c r="AC143" i="8"/>
  <c r="AD143" i="8"/>
  <c r="AB143" i="8"/>
  <c r="AB144" i="8"/>
  <c r="AB145" i="8" s="1"/>
  <c r="AB146" i="8" s="1"/>
  <c r="AB147" i="8" s="1"/>
  <c r="AB148" i="8" s="1"/>
  <c r="AB149" i="8" s="1"/>
  <c r="AB150" i="8" s="1"/>
  <c r="AB151" i="8" s="1"/>
  <c r="AA143" i="8"/>
  <c r="AA144" i="8"/>
  <c r="AA145" i="8" s="1"/>
  <c r="AA146" i="8" s="1"/>
  <c r="AA147" i="8"/>
  <c r="AA148" i="8" s="1"/>
  <c r="AA149" i="8" s="1"/>
  <c r="AA150" i="8" s="1"/>
  <c r="AA151" i="8" s="1"/>
  <c r="Z143" i="8"/>
  <c r="Z144" i="8" s="1"/>
  <c r="Z145" i="8" s="1"/>
  <c r="Z146" i="8" s="1"/>
  <c r="Z147" i="8" s="1"/>
  <c r="Z148" i="8" s="1"/>
  <c r="Z149" i="8" s="1"/>
  <c r="Z150" i="8" s="1"/>
  <c r="Z151" i="8" s="1"/>
  <c r="T143" i="8"/>
  <c r="S143" i="8"/>
  <c r="R143" i="8"/>
  <c r="R144" i="8" s="1"/>
  <c r="R145" i="8" s="1"/>
  <c r="R146" i="8" s="1"/>
  <c r="R147" i="8"/>
  <c r="R148" i="8" s="1"/>
  <c r="R149" i="8" s="1"/>
  <c r="R150" i="8" s="1"/>
  <c r="R151" i="8" s="1"/>
  <c r="Q143" i="8"/>
  <c r="Q144" i="8"/>
  <c r="Q145" i="8"/>
  <c r="Q146" i="8" s="1"/>
  <c r="Q147" i="8"/>
  <c r="Q148" i="8" s="1"/>
  <c r="Q149" i="8" s="1"/>
  <c r="Q150" i="8" s="1"/>
  <c r="Q151" i="8" s="1"/>
  <c r="P143" i="8"/>
  <c r="I143" i="8"/>
  <c r="J144" i="8"/>
  <c r="H143" i="8"/>
  <c r="H144" i="8" s="1"/>
  <c r="H145" i="8" s="1"/>
  <c r="H146" i="8" s="1"/>
  <c r="H147" i="8" s="1"/>
  <c r="H148" i="8" s="1"/>
  <c r="H149" i="8" s="1"/>
  <c r="H150" i="8" s="1"/>
  <c r="H151" i="8" s="1"/>
  <c r="G143" i="8"/>
  <c r="G144" i="8" s="1"/>
  <c r="G145" i="8"/>
  <c r="G146" i="8" s="1"/>
  <c r="G147" i="8" s="1"/>
  <c r="G148" i="8"/>
  <c r="G149" i="8" s="1"/>
  <c r="G150" i="8"/>
  <c r="G151" i="8" s="1"/>
  <c r="F143" i="8"/>
  <c r="F144" i="8"/>
  <c r="F145" i="8" s="1"/>
  <c r="F146" i="8" s="1"/>
  <c r="F147" i="8"/>
  <c r="F148" i="8"/>
  <c r="F149" i="8"/>
  <c r="F150" i="8" s="1"/>
  <c r="F151" i="8" s="1"/>
  <c r="AM139" i="8"/>
  <c r="AN139" i="8" s="1"/>
  <c r="AC139" i="8"/>
  <c r="S139" i="8"/>
  <c r="T139" i="8"/>
  <c r="I139" i="8"/>
  <c r="AM138" i="8"/>
  <c r="AN138" i="8" s="1"/>
  <c r="AC138" i="8"/>
  <c r="AD138" i="8" s="1"/>
  <c r="S138" i="8"/>
  <c r="I138" i="8"/>
  <c r="AM137" i="8"/>
  <c r="AN137" i="8"/>
  <c r="AC137" i="8"/>
  <c r="S137" i="8"/>
  <c r="T138" i="8" s="1"/>
  <c r="I137" i="8"/>
  <c r="AM136" i="8"/>
  <c r="AN136" i="8"/>
  <c r="AC136" i="8"/>
  <c r="S136" i="8"/>
  <c r="I136" i="8"/>
  <c r="AM135" i="8"/>
  <c r="AC135" i="8"/>
  <c r="AD135" i="8" s="1"/>
  <c r="S135" i="8"/>
  <c r="I135" i="8"/>
  <c r="J136" i="8" s="1"/>
  <c r="AM134" i="8"/>
  <c r="AN135" i="8" s="1"/>
  <c r="AN134" i="8"/>
  <c r="AC134" i="8"/>
  <c r="AD134" i="8" s="1"/>
  <c r="S134" i="8"/>
  <c r="I134" i="8"/>
  <c r="J134" i="8" s="1"/>
  <c r="AM133" i="8"/>
  <c r="AN133" i="8" s="1"/>
  <c r="AK133" i="8"/>
  <c r="AK134" i="8" s="1"/>
  <c r="AK135" i="8" s="1"/>
  <c r="AK136" i="8" s="1"/>
  <c r="AK137" i="8" s="1"/>
  <c r="AK138" i="8" s="1"/>
  <c r="AK139" i="8" s="1"/>
  <c r="AC133" i="8"/>
  <c r="S133" i="8"/>
  <c r="T134" i="8" s="1"/>
  <c r="I133" i="8"/>
  <c r="AM132" i="8"/>
  <c r="AC132" i="8"/>
  <c r="S132" i="8"/>
  <c r="I132" i="8"/>
  <c r="AM131" i="8"/>
  <c r="AN131" i="8" s="1"/>
  <c r="AL131" i="8"/>
  <c r="AL132" i="8"/>
  <c r="AL133" i="8" s="1"/>
  <c r="AL134" i="8" s="1"/>
  <c r="AL135" i="8" s="1"/>
  <c r="AL136" i="8" s="1"/>
  <c r="AL137" i="8" s="1"/>
  <c r="AL138" i="8" s="1"/>
  <c r="AL139" i="8" s="1"/>
  <c r="AK131" i="8"/>
  <c r="AK132" i="8" s="1"/>
  <c r="AJ131" i="8"/>
  <c r="AJ132" i="8"/>
  <c r="AJ133" i="8" s="1"/>
  <c r="AJ134" i="8" s="1"/>
  <c r="AJ135" i="8" s="1"/>
  <c r="AJ136" i="8" s="1"/>
  <c r="AJ137" i="8" s="1"/>
  <c r="AJ138" i="8" s="1"/>
  <c r="AJ139" i="8" s="1"/>
  <c r="AC131" i="8"/>
  <c r="AD132" i="8" s="1"/>
  <c r="AB131" i="8"/>
  <c r="AB132" i="8"/>
  <c r="AB133" i="8" s="1"/>
  <c r="AB134" i="8" s="1"/>
  <c r="AB135" i="8" s="1"/>
  <c r="AB136" i="8" s="1"/>
  <c r="AB137" i="8" s="1"/>
  <c r="AB138" i="8" s="1"/>
  <c r="AB139" i="8" s="1"/>
  <c r="AA131" i="8"/>
  <c r="AA132" i="8" s="1"/>
  <c r="AA133" i="8" s="1"/>
  <c r="AA134" i="8"/>
  <c r="AA135" i="8" s="1"/>
  <c r="AA136" i="8" s="1"/>
  <c r="AA137" i="8" s="1"/>
  <c r="AA138" i="8" s="1"/>
  <c r="AA139" i="8" s="1"/>
  <c r="Z131" i="8"/>
  <c r="Z132" i="8"/>
  <c r="Z133" i="8"/>
  <c r="Z134" i="8"/>
  <c r="Z135" i="8"/>
  <c r="Z136" i="8"/>
  <c r="Z137" i="8" s="1"/>
  <c r="Z138" i="8" s="1"/>
  <c r="Z139" i="8" s="1"/>
  <c r="S131" i="8"/>
  <c r="R131" i="8"/>
  <c r="R132" i="8"/>
  <c r="R133" i="8"/>
  <c r="R134" i="8" s="1"/>
  <c r="R135" i="8"/>
  <c r="R136" i="8" s="1"/>
  <c r="R137" i="8"/>
  <c r="R138" i="8" s="1"/>
  <c r="R139" i="8" s="1"/>
  <c r="Q131" i="8"/>
  <c r="Q132" i="8" s="1"/>
  <c r="Q133" i="8" s="1"/>
  <c r="Q134" i="8" s="1"/>
  <c r="Q135" i="8" s="1"/>
  <c r="Q136" i="8" s="1"/>
  <c r="Q137" i="8" s="1"/>
  <c r="Q138" i="8" s="1"/>
  <c r="Q139" i="8" s="1"/>
  <c r="P131" i="8"/>
  <c r="P132" i="8" s="1"/>
  <c r="P133" i="8" s="1"/>
  <c r="P134" i="8" s="1"/>
  <c r="P135" i="8" s="1"/>
  <c r="P136" i="8" s="1"/>
  <c r="P137" i="8" s="1"/>
  <c r="P138" i="8" s="1"/>
  <c r="P139" i="8" s="1"/>
  <c r="I131" i="8"/>
  <c r="J131" i="8"/>
  <c r="H131" i="8"/>
  <c r="H132" i="8"/>
  <c r="H133" i="8"/>
  <c r="H134" i="8"/>
  <c r="H135" i="8"/>
  <c r="H136" i="8"/>
  <c r="H137" i="8" s="1"/>
  <c r="H138" i="8" s="1"/>
  <c r="H139" i="8" s="1"/>
  <c r="G131" i="8"/>
  <c r="G132" i="8" s="1"/>
  <c r="G133" i="8" s="1"/>
  <c r="G134" i="8" s="1"/>
  <c r="G135" i="8" s="1"/>
  <c r="G136" i="8" s="1"/>
  <c r="G137" i="8" s="1"/>
  <c r="G138" i="8" s="1"/>
  <c r="G139" i="8" s="1"/>
  <c r="F131" i="8"/>
  <c r="F132" i="8"/>
  <c r="F133" i="8" s="1"/>
  <c r="F134" i="8" s="1"/>
  <c r="F135" i="8" s="1"/>
  <c r="F136" i="8" s="1"/>
  <c r="F137" i="8" s="1"/>
  <c r="F138" i="8" s="1"/>
  <c r="F139" i="8" s="1"/>
  <c r="AM127" i="8"/>
  <c r="AN127" i="8" s="1"/>
  <c r="AC127" i="8"/>
  <c r="AD127" i="8"/>
  <c r="S127" i="8"/>
  <c r="I127" i="8"/>
  <c r="J127" i="8" s="1"/>
  <c r="AM126" i="8"/>
  <c r="AN126" i="8" s="1"/>
  <c r="AC126" i="8"/>
  <c r="AD126" i="8" s="1"/>
  <c r="S126" i="8"/>
  <c r="I126" i="8"/>
  <c r="AM125" i="8"/>
  <c r="AC125" i="8"/>
  <c r="S125" i="8"/>
  <c r="T125" i="8" s="1"/>
  <c r="I125" i="8"/>
  <c r="J125" i="8"/>
  <c r="AM124" i="8"/>
  <c r="AC124" i="8"/>
  <c r="S124" i="8"/>
  <c r="I124" i="8"/>
  <c r="J124" i="8"/>
  <c r="AM123" i="8"/>
  <c r="AC123" i="8"/>
  <c r="AD124" i="8" s="1"/>
  <c r="S123" i="8"/>
  <c r="I123" i="8"/>
  <c r="AM122" i="8"/>
  <c r="AN122" i="8" s="1"/>
  <c r="AN123" i="8"/>
  <c r="AC122" i="8"/>
  <c r="S122" i="8"/>
  <c r="T123" i="8" s="1"/>
  <c r="I122" i="8"/>
  <c r="J122" i="8" s="1"/>
  <c r="AM121" i="8"/>
  <c r="AN121" i="8" s="1"/>
  <c r="AC121" i="8"/>
  <c r="AD121" i="8" s="1"/>
  <c r="S121" i="8"/>
  <c r="I121" i="8"/>
  <c r="AN120" i="8"/>
  <c r="AM120" i="8"/>
  <c r="AJ120" i="8"/>
  <c r="AJ121" i="8" s="1"/>
  <c r="AJ122" i="8" s="1"/>
  <c r="AJ123" i="8" s="1"/>
  <c r="AJ124" i="8" s="1"/>
  <c r="AJ125" i="8" s="1"/>
  <c r="AJ126" i="8" s="1"/>
  <c r="AJ127" i="8" s="1"/>
  <c r="AC120" i="8"/>
  <c r="AA120" i="8"/>
  <c r="AA121" i="8" s="1"/>
  <c r="AA122" i="8" s="1"/>
  <c r="AA123" i="8" s="1"/>
  <c r="AA124" i="8" s="1"/>
  <c r="AA125" i="8" s="1"/>
  <c r="AA126" i="8" s="1"/>
  <c r="AA127" i="8" s="1"/>
  <c r="S120" i="8"/>
  <c r="T121" i="8" s="1"/>
  <c r="P120" i="8"/>
  <c r="P121" i="8" s="1"/>
  <c r="P122" i="8" s="1"/>
  <c r="P123" i="8" s="1"/>
  <c r="P124" i="8" s="1"/>
  <c r="P125" i="8" s="1"/>
  <c r="P126" i="8" s="1"/>
  <c r="P127" i="8" s="1"/>
  <c r="I120" i="8"/>
  <c r="AM119" i="8"/>
  <c r="AN119" i="8" s="1"/>
  <c r="AL119" i="8"/>
  <c r="AL120" i="8"/>
  <c r="AL121" i="8" s="1"/>
  <c r="AL122" i="8"/>
  <c r="AL123" i="8" s="1"/>
  <c r="AL124" i="8" s="1"/>
  <c r="AL125" i="8" s="1"/>
  <c r="AL126" i="8" s="1"/>
  <c r="AL127" i="8" s="1"/>
  <c r="AK119" i="8"/>
  <c r="AK120" i="8" s="1"/>
  <c r="AK121" i="8"/>
  <c r="AK122" i="8" s="1"/>
  <c r="AK123" i="8" s="1"/>
  <c r="AK124" i="8" s="1"/>
  <c r="AK125" i="8" s="1"/>
  <c r="AK126" i="8" s="1"/>
  <c r="AK127" i="8" s="1"/>
  <c r="AJ119" i="8"/>
  <c r="AD119" i="8"/>
  <c r="AC119" i="8"/>
  <c r="AB119" i="8"/>
  <c r="AB120" i="8"/>
  <c r="AB121" i="8"/>
  <c r="AB122" i="8"/>
  <c r="AB123" i="8"/>
  <c r="AB124" i="8" s="1"/>
  <c r="AB125" i="8"/>
  <c r="AB126" i="8" s="1"/>
  <c r="AB127" i="8" s="1"/>
  <c r="AA119" i="8"/>
  <c r="Z119" i="8"/>
  <c r="Z120" i="8"/>
  <c r="Z121" i="8"/>
  <c r="Z122" i="8" s="1"/>
  <c r="Z123" i="8"/>
  <c r="Z124" i="8" s="1"/>
  <c r="Z125" i="8" s="1"/>
  <c r="Z126" i="8" s="1"/>
  <c r="Z127" i="8" s="1"/>
  <c r="S119" i="8"/>
  <c r="T119" i="8"/>
  <c r="R119" i="8"/>
  <c r="Q119" i="8"/>
  <c r="Q120" i="8" s="1"/>
  <c r="Q121" i="8" s="1"/>
  <c r="Q122" i="8" s="1"/>
  <c r="Q123" i="8" s="1"/>
  <c r="Q124" i="8" s="1"/>
  <c r="Q125" i="8" s="1"/>
  <c r="Q126" i="8" s="1"/>
  <c r="Q127" i="8"/>
  <c r="P119" i="8"/>
  <c r="I119" i="8"/>
  <c r="J119" i="8"/>
  <c r="H119" i="8"/>
  <c r="H120" i="8"/>
  <c r="H121" i="8"/>
  <c r="H122" i="8" s="1"/>
  <c r="H123" i="8"/>
  <c r="H124" i="8" s="1"/>
  <c r="G119" i="8"/>
  <c r="G120" i="8" s="1"/>
  <c r="G121" i="8" s="1"/>
  <c r="G122" i="8" s="1"/>
  <c r="F119" i="8"/>
  <c r="F120" i="8" s="1"/>
  <c r="F121" i="8" s="1"/>
  <c r="F122" i="8" s="1"/>
  <c r="H107" i="8"/>
  <c r="O86" i="8"/>
  <c r="N86" i="8"/>
  <c r="M86" i="8"/>
  <c r="L86" i="8"/>
  <c r="K86" i="8"/>
  <c r="I86" i="8"/>
  <c r="H86" i="8"/>
  <c r="G86" i="8"/>
  <c r="F86" i="8"/>
  <c r="E86" i="8"/>
  <c r="D86" i="8"/>
  <c r="C86" i="8"/>
  <c r="B86" i="8"/>
  <c r="K80" i="8"/>
  <c r="I80" i="8"/>
  <c r="I82" i="8" s="1"/>
  <c r="H80" i="8"/>
  <c r="H82" i="8" s="1"/>
  <c r="G80" i="8"/>
  <c r="G82" i="8" s="1"/>
  <c r="F80" i="8"/>
  <c r="F82" i="8" s="1"/>
  <c r="E80" i="8"/>
  <c r="E82" i="8" s="1"/>
  <c r="D80" i="8"/>
  <c r="D82" i="8" s="1"/>
  <c r="F72" i="8"/>
  <c r="B80" i="8" s="1"/>
  <c r="B82" i="8" s="1"/>
  <c r="H47" i="8"/>
  <c r="C11" i="6" s="1"/>
  <c r="C43" i="8"/>
  <c r="C42" i="8"/>
  <c r="C41" i="8"/>
  <c r="C40" i="8"/>
  <c r="C39" i="8"/>
  <c r="C38" i="8"/>
  <c r="C37" i="8"/>
  <c r="C36" i="8"/>
  <c r="C35" i="8"/>
  <c r="G31" i="8"/>
  <c r="N29" i="5" s="1"/>
  <c r="G30" i="8"/>
  <c r="N28" i="5" s="1"/>
  <c r="G29" i="8"/>
  <c r="O27" i="5" s="1"/>
  <c r="G28" i="8"/>
  <c r="AA27" i="8"/>
  <c r="AA25" i="8"/>
  <c r="N23" i="8"/>
  <c r="N22" i="8"/>
  <c r="N21" i="8"/>
  <c r="N20" i="8"/>
  <c r="AA19" i="8"/>
  <c r="N19" i="8"/>
  <c r="AA17" i="8"/>
  <c r="N17" i="8"/>
  <c r="N16" i="8"/>
  <c r="AA15" i="8"/>
  <c r="N15" i="8"/>
  <c r="N14" i="8"/>
  <c r="N13" i="8"/>
  <c r="AA6" i="8"/>
  <c r="H39" i="6"/>
  <c r="H38" i="6"/>
  <c r="H37" i="6"/>
  <c r="H36" i="6"/>
  <c r="H35" i="6"/>
  <c r="H34" i="6"/>
  <c r="H33" i="6"/>
  <c r="H32" i="6"/>
  <c r="H31" i="6"/>
  <c r="H29" i="6"/>
  <c r="D24" i="6"/>
  <c r="T22" i="6"/>
  <c r="O21" i="6"/>
  <c r="D21" i="6"/>
  <c r="D17" i="6"/>
  <c r="R9" i="6"/>
  <c r="R4" i="6"/>
  <c r="M48" i="5"/>
  <c r="G48" i="5"/>
  <c r="M47" i="5"/>
  <c r="G47" i="5"/>
  <c r="G45" i="5" s="1"/>
  <c r="M44" i="5" s="1"/>
  <c r="M46" i="5"/>
  <c r="G44" i="5"/>
  <c r="K38" i="5"/>
  <c r="K37" i="5"/>
  <c r="K36" i="5"/>
  <c r="K35" i="5"/>
  <c r="K29" i="5"/>
  <c r="J29" i="5"/>
  <c r="I29" i="5"/>
  <c r="W28" i="5"/>
  <c r="V28" i="5"/>
  <c r="K28" i="5"/>
  <c r="J28" i="5"/>
  <c r="I28" i="5"/>
  <c r="W27" i="5"/>
  <c r="V27" i="5"/>
  <c r="K27" i="5"/>
  <c r="J27" i="5"/>
  <c r="I27" i="5"/>
  <c r="W26" i="5"/>
  <c r="V26" i="5"/>
  <c r="K26" i="5"/>
  <c r="J26" i="5"/>
  <c r="I26" i="5"/>
  <c r="W25" i="5"/>
  <c r="V25" i="5"/>
  <c r="K25" i="5"/>
  <c r="J25" i="5"/>
  <c r="I25" i="5"/>
  <c r="M50" i="5" s="1"/>
  <c r="W24" i="5"/>
  <c r="V24" i="5"/>
  <c r="AD120" i="8"/>
  <c r="J126" i="8"/>
  <c r="T147" i="8"/>
  <c r="T150" i="8"/>
  <c r="T120" i="8"/>
  <c r="J143" i="8"/>
  <c r="AD122" i="8"/>
  <c r="AD123" i="8"/>
  <c r="J137" i="8"/>
  <c r="AD145" i="8"/>
  <c r="J135" i="8"/>
  <c r="J149" i="8"/>
  <c r="AN125" i="8"/>
  <c r="J132" i="8"/>
  <c r="T135" i="8"/>
  <c r="T136" i="8"/>
  <c r="T146" i="8"/>
  <c r="AD133" i="8"/>
  <c r="T124" i="8"/>
  <c r="AD125" i="8"/>
  <c r="T144" i="8"/>
  <c r="T149" i="8"/>
  <c r="AD149" i="8"/>
  <c r="J120" i="8"/>
  <c r="J121" i="8"/>
  <c r="L7" i="12"/>
  <c r="P7" i="12"/>
  <c r="T7" i="12"/>
  <c r="X7" i="12" s="1"/>
  <c r="AB7" i="12" s="1"/>
  <c r="AF7" i="12" s="1"/>
  <c r="AJ7" i="12" s="1"/>
  <c r="H24" i="12" s="1"/>
  <c r="L24" i="12" s="1"/>
  <c r="P24" i="12"/>
  <c r="T24" i="12"/>
  <c r="X24" i="12" s="1"/>
  <c r="AB24" i="12" s="1"/>
  <c r="AF24" i="12" s="1"/>
  <c r="AJ24" i="12" s="1"/>
  <c r="AO24" i="12" s="1"/>
  <c r="H125" i="8"/>
  <c r="H126" i="8"/>
  <c r="H127" i="8" s="1"/>
  <c r="AD137" i="8"/>
  <c r="J133" i="8"/>
  <c r="R120" i="8"/>
  <c r="R121" i="8"/>
  <c r="R122" i="8" s="1"/>
  <c r="R123" i="8" s="1"/>
  <c r="R124" i="8" s="1"/>
  <c r="R125" i="8" s="1"/>
  <c r="R126" i="8" s="1"/>
  <c r="R127" i="8" s="1"/>
  <c r="L7" i="6" l="1"/>
  <c r="L8" i="6" s="1"/>
  <c r="L58" i="6" s="1"/>
  <c r="E21" i="6"/>
  <c r="N66" i="8"/>
  <c r="O66" i="8" s="1"/>
  <c r="N67" i="8"/>
  <c r="N65" i="8"/>
  <c r="O65" i="8" s="1"/>
  <c r="G6" i="6" s="1"/>
  <c r="M6" i="5"/>
  <c r="O6" i="5" s="1"/>
  <c r="F123" i="8"/>
  <c r="F124" i="8" s="1"/>
  <c r="F125" i="8" s="1"/>
  <c r="F126" i="8" s="1"/>
  <c r="F127" i="8" s="1"/>
  <c r="E35" i="25"/>
  <c r="B270" i="8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E36" i="25"/>
  <c r="C268" i="8"/>
  <c r="C269" i="8" s="1"/>
  <c r="C270" i="8" s="1"/>
  <c r="C271" i="8" s="1"/>
  <c r="C272" i="8" s="1"/>
  <c r="C273" i="8" s="1"/>
  <c r="C274" i="8" s="1"/>
  <c r="C275" i="8" s="1"/>
  <c r="C276" i="8" s="1"/>
  <c r="C277" i="8" s="1"/>
  <c r="C278" i="8" s="1"/>
  <c r="C279" i="8" s="1"/>
  <c r="C280" i="8" s="1"/>
  <c r="C281" i="8" s="1"/>
  <c r="C282" i="8" s="1"/>
  <c r="C283" i="8" s="1"/>
  <c r="C284" i="8" s="1"/>
  <c r="C285" i="8" s="1"/>
  <c r="C286" i="8" s="1"/>
  <c r="C287" i="8" s="1"/>
  <c r="AD146" i="8"/>
  <c r="AD147" i="8"/>
  <c r="T122" i="8"/>
  <c r="T126" i="8"/>
  <c r="T127" i="8"/>
  <c r="M8" i="5"/>
  <c r="O8" i="5" s="1"/>
  <c r="AD136" i="8"/>
  <c r="M7" i="5"/>
  <c r="O7" i="5" s="1"/>
  <c r="G123" i="8"/>
  <c r="G124" i="8" s="1"/>
  <c r="G125" i="8" s="1"/>
  <c r="G126" i="8" s="1"/>
  <c r="G127" i="8" s="1"/>
  <c r="J138" i="8"/>
  <c r="J139" i="8"/>
  <c r="T131" i="8"/>
  <c r="T132" i="8"/>
  <c r="F4" i="12"/>
  <c r="L5" i="12"/>
  <c r="J123" i="8"/>
  <c r="T133" i="8"/>
  <c r="J147" i="8"/>
  <c r="J145" i="8"/>
  <c r="AD131" i="8"/>
  <c r="AD139" i="8"/>
  <c r="J150" i="8"/>
  <c r="J151" i="8"/>
  <c r="G46" i="5"/>
  <c r="T137" i="8"/>
  <c r="AN124" i="8"/>
  <c r="AN132" i="8"/>
  <c r="AV48" i="25"/>
  <c r="H81" i="25"/>
  <c r="BF53" i="25"/>
  <c r="AV53" i="25"/>
  <c r="AL48" i="25"/>
  <c r="BF43" i="25"/>
  <c r="BF50" i="25"/>
  <c r="AV50" i="25"/>
  <c r="AV46" i="25"/>
  <c r="BF49" i="25"/>
  <c r="AV43" i="25"/>
  <c r="AV47" i="25"/>
  <c r="AV44" i="25"/>
  <c r="AV45" i="25"/>
  <c r="BF44" i="25"/>
  <c r="AW53" i="25"/>
  <c r="BC85" i="25"/>
  <c r="AB15" i="25"/>
  <c r="BC84" i="25"/>
  <c r="H52" i="25"/>
  <c r="H15" i="25"/>
  <c r="I15" i="25" s="1"/>
  <c r="AL11" i="25"/>
  <c r="AL15" i="25"/>
  <c r="H49" i="25"/>
  <c r="R16" i="25"/>
  <c r="S16" i="25" s="1"/>
  <c r="BC79" i="25"/>
  <c r="AB16" i="25"/>
  <c r="BF13" i="25"/>
  <c r="BC77" i="25"/>
  <c r="R43" i="25"/>
  <c r="BC76" i="25"/>
  <c r="H44" i="25"/>
  <c r="BC83" i="25"/>
  <c r="AB20" i="25"/>
  <c r="AB17" i="25"/>
  <c r="R18" i="25"/>
  <c r="S18" i="25" s="1"/>
  <c r="BC80" i="25"/>
  <c r="H19" i="25"/>
  <c r="I19" i="25" s="1"/>
  <c r="H46" i="25"/>
  <c r="AL14" i="25"/>
  <c r="BF19" i="25"/>
  <c r="R14" i="25"/>
  <c r="S14" i="25" s="1"/>
  <c r="BF18" i="25"/>
  <c r="R13" i="25"/>
  <c r="S13" i="25" s="1"/>
  <c r="AL19" i="25"/>
  <c r="AB12" i="25"/>
  <c r="BC81" i="25"/>
  <c r="H21" i="25"/>
  <c r="I21" i="25" s="1"/>
  <c r="BF14" i="25"/>
  <c r="BC78" i="25"/>
  <c r="R52" i="25"/>
  <c r="H18" i="25"/>
  <c r="I18" i="25" s="1"/>
  <c r="H11" i="25"/>
  <c r="I11" i="25" s="1"/>
  <c r="BF11" i="25"/>
  <c r="H17" i="25"/>
  <c r="I17" i="25" s="1"/>
  <c r="AV19" i="25"/>
  <c r="BC75" i="25"/>
  <c r="H43" i="25"/>
  <c r="H50" i="25"/>
  <c r="BF15" i="25"/>
  <c r="H13" i="25"/>
  <c r="I13" i="25" s="1"/>
  <c r="AV15" i="25"/>
  <c r="BF20" i="25"/>
  <c r="R44" i="25"/>
  <c r="BF12" i="25"/>
  <c r="H20" i="25"/>
  <c r="I20" i="25" s="1"/>
  <c r="AB11" i="25"/>
  <c r="R53" i="25"/>
  <c r="AV20" i="25"/>
  <c r="R21" i="25"/>
  <c r="S21" i="25" s="1"/>
  <c r="AV11" i="25"/>
  <c r="BF17" i="25"/>
  <c r="BC82" i="25"/>
  <c r="R19" i="25"/>
  <c r="S19" i="25" s="1"/>
  <c r="AV16" i="25"/>
  <c r="AB18" i="25"/>
  <c r="AL16" i="25"/>
  <c r="R15" i="25"/>
  <c r="S15" i="25" s="1"/>
  <c r="R17" i="25"/>
  <c r="S17" i="25" s="1"/>
  <c r="AL18" i="25"/>
  <c r="AV12" i="25"/>
  <c r="H16" i="25"/>
  <c r="I16" i="25" s="1"/>
  <c r="AL20" i="25"/>
  <c r="AV18" i="25"/>
  <c r="BF16" i="25"/>
  <c r="R11" i="25"/>
  <c r="S11" i="25" s="1"/>
  <c r="AL17" i="25"/>
  <c r="AV21" i="25"/>
  <c r="AL21" i="25"/>
  <c r="AB21" i="25"/>
  <c r="AL12" i="25"/>
  <c r="AB13" i="25"/>
  <c r="AV17" i="25"/>
  <c r="H14" i="25"/>
  <c r="I14" i="25" s="1"/>
  <c r="AB19" i="25"/>
  <c r="H12" i="25"/>
  <c r="I12" i="25" s="1"/>
  <c r="BF21" i="25"/>
  <c r="AV13" i="25"/>
  <c r="R20" i="25"/>
  <c r="S20" i="25" s="1"/>
  <c r="AL13" i="25"/>
  <c r="R12" i="25"/>
  <c r="S12" i="25" s="1"/>
  <c r="AB14" i="25"/>
  <c r="R49" i="25"/>
  <c r="AV14" i="25"/>
  <c r="H51" i="25"/>
  <c r="H47" i="25"/>
  <c r="AB49" i="25"/>
  <c r="H45" i="25"/>
  <c r="H48" i="25"/>
  <c r="H53" i="25"/>
  <c r="R50" i="25"/>
  <c r="R45" i="25"/>
  <c r="AL49" i="25"/>
  <c r="AB43" i="25"/>
  <c r="AB52" i="25"/>
  <c r="AB44" i="25"/>
  <c r="AB53" i="25"/>
  <c r="R46" i="25"/>
  <c r="R48" i="25"/>
  <c r="AB50" i="25"/>
  <c r="R51" i="25"/>
  <c r="R47" i="25"/>
  <c r="AV49" i="25"/>
  <c r="AL52" i="25"/>
  <c r="AB48" i="25"/>
  <c r="AB45" i="25"/>
  <c r="AB47" i="25"/>
  <c r="AL53" i="25"/>
  <c r="AB51" i="25"/>
  <c r="AL50" i="25"/>
  <c r="AL44" i="25"/>
  <c r="AL43" i="25"/>
  <c r="AB46" i="25"/>
  <c r="AV51" i="25"/>
  <c r="AL47" i="25"/>
  <c r="AL51" i="25"/>
  <c r="BF52" i="25"/>
  <c r="AL45" i="25"/>
  <c r="AV52" i="25"/>
  <c r="AS52" i="25"/>
  <c r="AI45" i="25"/>
  <c r="AM45" i="25"/>
  <c r="AM47" i="25"/>
  <c r="AM46" i="25"/>
  <c r="AW43" i="25"/>
  <c r="AI46" i="25"/>
  <c r="AI47" i="25"/>
  <c r="AS50" i="25"/>
  <c r="AS44" i="25"/>
  <c r="AS53" i="25"/>
  <c r="BC49" i="25"/>
  <c r="AI51" i="25"/>
  <c r="AW52" i="25"/>
  <c r="AW44" i="25"/>
  <c r="BG49" i="25"/>
  <c r="AI48" i="25"/>
  <c r="E21" i="25"/>
  <c r="E13" i="25"/>
  <c r="E20" i="25"/>
  <c r="E12" i="25"/>
  <c r="E19" i="25"/>
  <c r="E11" i="25"/>
  <c r="E18" i="25"/>
  <c r="E17" i="25"/>
  <c r="E14" i="25"/>
  <c r="E16" i="25"/>
  <c r="E15" i="25"/>
  <c r="AC12" i="25"/>
  <c r="AC21" i="25"/>
  <c r="AC16" i="25"/>
  <c r="O19" i="25"/>
  <c r="Y11" i="25"/>
  <c r="Y18" i="25"/>
  <c r="O21" i="25"/>
  <c r="O15" i="25"/>
  <c r="Y17" i="25"/>
  <c r="AC20" i="25"/>
  <c r="O18" i="25"/>
  <c r="O17" i="25"/>
  <c r="Y21" i="25"/>
  <c r="AC18" i="25"/>
  <c r="O16" i="25"/>
  <c r="AC13" i="25"/>
  <c r="O20" i="25"/>
  <c r="O11" i="25"/>
  <c r="AC11" i="25"/>
  <c r="AC15" i="25"/>
  <c r="AC19" i="25"/>
  <c r="Y20" i="25"/>
  <c r="AC17" i="25"/>
  <c r="O14" i="25"/>
  <c r="Y12" i="25"/>
  <c r="O12" i="25"/>
  <c r="O13" i="25"/>
  <c r="AC14" i="25"/>
  <c r="Y19" i="25"/>
  <c r="AI21" i="25"/>
  <c r="Y13" i="25"/>
  <c r="AI17" i="25"/>
  <c r="AM21" i="25"/>
  <c r="AI18" i="25"/>
  <c r="Y16" i="25"/>
  <c r="AS17" i="25"/>
  <c r="Y14" i="25"/>
  <c r="AI12" i="25"/>
  <c r="AI20" i="25"/>
  <c r="AI11" i="25"/>
  <c r="AM20" i="25"/>
  <c r="Y15" i="25"/>
  <c r="AI14" i="25"/>
  <c r="AI13" i="25"/>
  <c r="AS18" i="25"/>
  <c r="AS11" i="25"/>
  <c r="AI16" i="25"/>
  <c r="AI19" i="25"/>
  <c r="BC17" i="25"/>
  <c r="AS12" i="25"/>
  <c r="AS21" i="25"/>
  <c r="AI15" i="25"/>
  <c r="AS20" i="25"/>
  <c r="AS13" i="25"/>
  <c r="BC12" i="25"/>
  <c r="BC18" i="25"/>
  <c r="AS16" i="25"/>
  <c r="BC11" i="25"/>
  <c r="AS14" i="25"/>
  <c r="E49" i="25"/>
  <c r="BC21" i="25"/>
  <c r="AS15" i="25"/>
  <c r="BC20" i="25"/>
  <c r="AS19" i="25"/>
  <c r="BC13" i="25"/>
  <c r="E53" i="25"/>
  <c r="E44" i="25"/>
  <c r="BC19" i="25"/>
  <c r="O49" i="25"/>
  <c r="BC14" i="25"/>
  <c r="E52" i="25"/>
  <c r="E43" i="25"/>
  <c r="E50" i="25"/>
  <c r="BC15" i="25"/>
  <c r="BC16" i="25"/>
  <c r="E51" i="25"/>
  <c r="O53" i="25"/>
  <c r="O52" i="25"/>
  <c r="E47" i="25"/>
  <c r="O50" i="25"/>
  <c r="O43" i="25"/>
  <c r="Y49" i="25"/>
  <c r="E46" i="25"/>
  <c r="E48" i="25"/>
  <c r="O44" i="25"/>
  <c r="E45" i="25"/>
  <c r="Y44" i="25"/>
  <c r="AM49" i="25"/>
  <c r="Y43" i="25"/>
  <c r="AI49" i="25"/>
  <c r="Y53" i="25"/>
  <c r="O48" i="25"/>
  <c r="O51" i="25"/>
  <c r="Y52" i="25"/>
  <c r="O46" i="25"/>
  <c r="O47" i="25"/>
  <c r="Y50" i="25"/>
  <c r="O45" i="25"/>
  <c r="AI53" i="25"/>
  <c r="AI52" i="25"/>
  <c r="Y47" i="25"/>
  <c r="AM44" i="25"/>
  <c r="AI43" i="25"/>
  <c r="Y45" i="25"/>
  <c r="AI50" i="25"/>
  <c r="AM43" i="25"/>
  <c r="Y46" i="25"/>
  <c r="AI44" i="25"/>
  <c r="AS49" i="25"/>
  <c r="Y51" i="25"/>
  <c r="AM50" i="25"/>
  <c r="Y48" i="25"/>
  <c r="AM53" i="25"/>
  <c r="AM52" i="25"/>
  <c r="AS43" i="25"/>
  <c r="AM51" i="25"/>
  <c r="AM48" i="25"/>
  <c r="AW50" i="25"/>
  <c r="O35" i="5"/>
  <c r="P35" i="5" s="1"/>
  <c r="Y34" i="5" s="1"/>
  <c r="C76" i="25"/>
  <c r="H76" i="25" s="1"/>
  <c r="BC44" i="25"/>
  <c r="BG44" i="25"/>
  <c r="C75" i="25"/>
  <c r="BC43" i="25"/>
  <c r="BG43" i="25"/>
  <c r="BC52" i="25"/>
  <c r="C84" i="25"/>
  <c r="H84" i="25" s="1"/>
  <c r="BG52" i="25"/>
  <c r="BG53" i="25"/>
  <c r="C85" i="25"/>
  <c r="H85" i="25" s="1"/>
  <c r="BC53" i="25"/>
  <c r="M81" i="25"/>
  <c r="R81" i="25" s="1"/>
  <c r="E81" i="25"/>
  <c r="AS46" i="25"/>
  <c r="BA46" i="25"/>
  <c r="BF46" i="25" s="1"/>
  <c r="AW46" i="25"/>
  <c r="AW51" i="25"/>
  <c r="BA51" i="25"/>
  <c r="BF51" i="25" s="1"/>
  <c r="AS51" i="25"/>
  <c r="AW48" i="25"/>
  <c r="AS48" i="25"/>
  <c r="BA48" i="25"/>
  <c r="BF48" i="25" s="1"/>
  <c r="AW45" i="25"/>
  <c r="BA45" i="25"/>
  <c r="BF45" i="25" s="1"/>
  <c r="AS45" i="25"/>
  <c r="BG50" i="25"/>
  <c r="C82" i="25"/>
  <c r="H82" i="25" s="1"/>
  <c r="BC50" i="25"/>
  <c r="AW47" i="25"/>
  <c r="AS47" i="25"/>
  <c r="BA47" i="25"/>
  <c r="BF47" i="25" s="1"/>
  <c r="K39" i="6"/>
  <c r="J39" i="6" s="1"/>
  <c r="K31" i="6"/>
  <c r="K37" i="6"/>
  <c r="K29" i="6"/>
  <c r="K34" i="6"/>
  <c r="J34" i="6" s="1"/>
  <c r="K38" i="6"/>
  <c r="K33" i="6"/>
  <c r="K32" i="6"/>
  <c r="K35" i="6"/>
  <c r="L35" i="6" s="1"/>
  <c r="K30" i="6"/>
  <c r="K36" i="6"/>
  <c r="O33" i="5"/>
  <c r="O37" i="5"/>
  <c r="P37" i="5" s="1"/>
  <c r="Y36" i="5" s="1"/>
  <c r="O38" i="5"/>
  <c r="P38" i="5" s="1"/>
  <c r="Y37" i="5" s="1"/>
  <c r="O36" i="5"/>
  <c r="P36" i="5" s="1"/>
  <c r="Y35" i="5" s="1"/>
  <c r="D48" i="5"/>
  <c r="E47" i="5"/>
  <c r="B48" i="5"/>
  <c r="T39" i="5"/>
  <c r="T40" i="5" s="1"/>
  <c r="S42" i="5" s="1"/>
  <c r="C48" i="5"/>
  <c r="AA38" i="5"/>
  <c r="AB38" i="5" s="1"/>
  <c r="B46" i="5"/>
  <c r="S43" i="5" s="1"/>
  <c r="D47" i="5"/>
  <c r="E48" i="5"/>
  <c r="C46" i="5"/>
  <c r="B47" i="5"/>
  <c r="I30" i="6"/>
  <c r="I29" i="6"/>
  <c r="M51" i="5"/>
  <c r="L23" i="6"/>
  <c r="L24" i="6" s="1"/>
  <c r="N23" i="6"/>
  <c r="K23" i="6"/>
  <c r="M23" i="6"/>
  <c r="G23" i="6"/>
  <c r="D11" i="6"/>
  <c r="C12" i="6"/>
  <c r="I23" i="6"/>
  <c r="J23" i="6"/>
  <c r="H23" i="6"/>
  <c r="P16" i="6"/>
  <c r="AA3" i="8"/>
  <c r="V3" i="6"/>
  <c r="Q6" i="6" s="1"/>
  <c r="U9" i="6"/>
  <c r="P15" i="6"/>
  <c r="D4" i="6"/>
  <c r="I38" i="6"/>
  <c r="I37" i="6"/>
  <c r="I36" i="6"/>
  <c r="I34" i="6"/>
  <c r="I32" i="6"/>
  <c r="I33" i="6"/>
  <c r="I35" i="6"/>
  <c r="I39" i="6"/>
  <c r="I31" i="6"/>
  <c r="AA51" i="8"/>
  <c r="AA36" i="8"/>
  <c r="W3" i="6"/>
  <c r="Q7" i="6" s="1"/>
  <c r="X3" i="6"/>
  <c r="Q8" i="6" s="1"/>
  <c r="P25" i="5"/>
  <c r="N50" i="5" s="1"/>
  <c r="K82" i="8"/>
  <c r="L82" i="8" s="1"/>
  <c r="M27" i="5"/>
  <c r="M29" i="5"/>
  <c r="O34" i="5"/>
  <c r="N87" i="8"/>
  <c r="L26" i="5"/>
  <c r="O26" i="5" s="1"/>
  <c r="L27" i="5"/>
  <c r="L28" i="5"/>
  <c r="L29" i="5"/>
  <c r="L25" i="5"/>
  <c r="O25" i="5" s="1"/>
  <c r="B87" i="8"/>
  <c r="G14" i="6" s="1"/>
  <c r="G16" i="6" s="1"/>
  <c r="P27" i="5"/>
  <c r="N52" i="5" s="1"/>
  <c r="P29" i="5"/>
  <c r="R29" i="5" s="1"/>
  <c r="D36" i="5" s="1"/>
  <c r="AD11" i="5" s="1"/>
  <c r="P26" i="5"/>
  <c r="F87" i="8"/>
  <c r="K14" i="6" s="1"/>
  <c r="K16" i="6" s="1"/>
  <c r="O28" i="5"/>
  <c r="H87" i="8"/>
  <c r="M14" i="6" s="1"/>
  <c r="M16" i="6" s="1"/>
  <c r="L87" i="8"/>
  <c r="N27" i="5"/>
  <c r="M26" i="5"/>
  <c r="M87" i="8"/>
  <c r="N26" i="5"/>
  <c r="N25" i="5"/>
  <c r="P28" i="5"/>
  <c r="D87" i="8"/>
  <c r="I14" i="6" s="1"/>
  <c r="I16" i="6" s="1"/>
  <c r="O87" i="8"/>
  <c r="G87" i="8"/>
  <c r="L14" i="6" s="1"/>
  <c r="M25" i="5"/>
  <c r="E87" i="8"/>
  <c r="J14" i="6" s="1"/>
  <c r="J16" i="6" s="1"/>
  <c r="J17" i="6" s="1"/>
  <c r="I87" i="8"/>
  <c r="N14" i="6" s="1"/>
  <c r="N16" i="6" s="1"/>
  <c r="U3" i="6"/>
  <c r="Q5" i="6" s="1"/>
  <c r="C87" i="8"/>
  <c r="K87" i="8"/>
  <c r="E59" i="8"/>
  <c r="O29" i="5"/>
  <c r="E55" i="8"/>
  <c r="F55" i="8" s="1"/>
  <c r="E5" i="5"/>
  <c r="E57" i="8"/>
  <c r="F57" i="8" s="1"/>
  <c r="N68" i="8"/>
  <c r="O68" i="8" s="1"/>
  <c r="E58" i="8"/>
  <c r="F58" i="8" s="1"/>
  <c r="E56" i="8"/>
  <c r="F56" i="8" s="1"/>
  <c r="U13" i="6"/>
  <c r="U14" i="6" s="1"/>
  <c r="M28" i="5"/>
  <c r="D43" i="8"/>
  <c r="C14" i="6"/>
  <c r="K6" i="6" l="1"/>
  <c r="K56" i="6" s="1"/>
  <c r="G15" i="6"/>
  <c r="L57" i="6"/>
  <c r="G9" i="6"/>
  <c r="P59" i="6" s="1"/>
  <c r="G59" i="6" s="1"/>
  <c r="N6" i="6"/>
  <c r="G7" i="6"/>
  <c r="P57" i="6" s="1"/>
  <c r="G57" i="6" s="1"/>
  <c r="O67" i="8"/>
  <c r="G8" i="6" s="1"/>
  <c r="P56" i="6"/>
  <c r="G56" i="6" s="1"/>
  <c r="J6" i="6"/>
  <c r="J56" i="6" s="1"/>
  <c r="E14" i="6"/>
  <c r="L9" i="6"/>
  <c r="L59" i="6" s="1"/>
  <c r="E46" i="5"/>
  <c r="C47" i="5"/>
  <c r="D46" i="5"/>
  <c r="P5" i="12"/>
  <c r="J4" i="12"/>
  <c r="G22" i="6"/>
  <c r="H75" i="25"/>
  <c r="AA2" i="8"/>
  <c r="AD15" i="8"/>
  <c r="J18" i="5"/>
  <c r="I42" i="5"/>
  <c r="F16" i="25"/>
  <c r="J16" i="25" s="1"/>
  <c r="N16" i="25" s="1"/>
  <c r="P16" i="25" s="1"/>
  <c r="T16" i="25" s="1"/>
  <c r="X16" i="25" s="1"/>
  <c r="Z16" i="25" s="1"/>
  <c r="AD16" i="25" s="1"/>
  <c r="AH16" i="25" s="1"/>
  <c r="AJ16" i="25" s="1"/>
  <c r="AN16" i="25" s="1"/>
  <c r="F11" i="25"/>
  <c r="J11" i="25" s="1"/>
  <c r="N11" i="25" s="1"/>
  <c r="P11" i="25" s="1"/>
  <c r="T11" i="25" s="1"/>
  <c r="X11" i="25" s="1"/>
  <c r="Z11" i="25" s="1"/>
  <c r="AD11" i="25" s="1"/>
  <c r="AH11" i="25" s="1"/>
  <c r="AJ11" i="25" s="1"/>
  <c r="AN11" i="25" s="1"/>
  <c r="F20" i="25"/>
  <c r="J20" i="25" s="1"/>
  <c r="N20" i="25" s="1"/>
  <c r="P20" i="25" s="1"/>
  <c r="T20" i="25" s="1"/>
  <c r="X20" i="25" s="1"/>
  <c r="Z20" i="25" s="1"/>
  <c r="AD20" i="25" s="1"/>
  <c r="F18" i="25"/>
  <c r="J18" i="25" s="1"/>
  <c r="N18" i="25" s="1"/>
  <c r="P18" i="25" s="1"/>
  <c r="T18" i="25" s="1"/>
  <c r="X18" i="25" s="1"/>
  <c r="Z18" i="25" s="1"/>
  <c r="AD18" i="25" s="1"/>
  <c r="F13" i="25"/>
  <c r="J13" i="25" s="1"/>
  <c r="N13" i="25" s="1"/>
  <c r="P13" i="25" s="1"/>
  <c r="T13" i="25" s="1"/>
  <c r="X13" i="25" s="1"/>
  <c r="Z13" i="25" s="1"/>
  <c r="AD13" i="25" s="1"/>
  <c r="AH13" i="25" s="1"/>
  <c r="AJ13" i="25" s="1"/>
  <c r="AN13" i="25" s="1"/>
  <c r="F21" i="25"/>
  <c r="J21" i="25" s="1"/>
  <c r="N21" i="25" s="1"/>
  <c r="P21" i="25" s="1"/>
  <c r="T21" i="25" s="1"/>
  <c r="X21" i="25" s="1"/>
  <c r="Z21" i="25" s="1"/>
  <c r="AD21" i="25" s="1"/>
  <c r="AH21" i="25" s="1"/>
  <c r="AJ21" i="25" s="1"/>
  <c r="AN21" i="25" s="1"/>
  <c r="AR21" i="25" s="1"/>
  <c r="AT21" i="25" s="1"/>
  <c r="AX21" i="25" s="1"/>
  <c r="BB21" i="25" s="1"/>
  <c r="BD21" i="25" s="1"/>
  <c r="BH21" i="25" s="1"/>
  <c r="D53" i="25" s="1"/>
  <c r="F53" i="25" s="1"/>
  <c r="J53" i="25" s="1"/>
  <c r="N53" i="25" s="1"/>
  <c r="P53" i="25" s="1"/>
  <c r="T53" i="25" s="1"/>
  <c r="X53" i="25" s="1"/>
  <c r="Z53" i="25" s="1"/>
  <c r="AD53" i="25" s="1"/>
  <c r="AH53" i="25" s="1"/>
  <c r="AJ53" i="25" s="1"/>
  <c r="AN53" i="25" s="1"/>
  <c r="AR53" i="25" s="1"/>
  <c r="AT53" i="25" s="1"/>
  <c r="AX53" i="25" s="1"/>
  <c r="BB53" i="25" s="1"/>
  <c r="BD53" i="25" s="1"/>
  <c r="BH53" i="25" s="1"/>
  <c r="D85" i="25" s="1"/>
  <c r="F12" i="25"/>
  <c r="J12" i="25" s="1"/>
  <c r="N12" i="25" s="1"/>
  <c r="P12" i="25" s="1"/>
  <c r="T12" i="25" s="1"/>
  <c r="X12" i="25" s="1"/>
  <c r="Z12" i="25" s="1"/>
  <c r="AD12" i="25" s="1"/>
  <c r="AH12" i="25" s="1"/>
  <c r="AJ12" i="25" s="1"/>
  <c r="AN12" i="25" s="1"/>
  <c r="F14" i="25"/>
  <c r="J14" i="25" s="1"/>
  <c r="N14" i="25" s="1"/>
  <c r="P14" i="25" s="1"/>
  <c r="T14" i="25" s="1"/>
  <c r="X14" i="25" s="1"/>
  <c r="Z14" i="25" s="1"/>
  <c r="AD14" i="25" s="1"/>
  <c r="AH14" i="25" s="1"/>
  <c r="AJ14" i="25" s="1"/>
  <c r="AN14" i="25" s="1"/>
  <c r="AA34" i="5"/>
  <c r="AB34" i="5" s="1"/>
  <c r="F15" i="25"/>
  <c r="J15" i="25" s="1"/>
  <c r="N15" i="25" s="1"/>
  <c r="P15" i="25" s="1"/>
  <c r="T15" i="25" s="1"/>
  <c r="X15" i="25" s="1"/>
  <c r="Z15" i="25" s="1"/>
  <c r="AD15" i="25" s="1"/>
  <c r="AH15" i="25" s="1"/>
  <c r="AJ15" i="25" s="1"/>
  <c r="AN15" i="25" s="1"/>
  <c r="F17" i="25"/>
  <c r="J17" i="25" s="1"/>
  <c r="N17" i="25" s="1"/>
  <c r="P17" i="25" s="1"/>
  <c r="T17" i="25" s="1"/>
  <c r="X17" i="25" s="1"/>
  <c r="Z17" i="25" s="1"/>
  <c r="AD17" i="25" s="1"/>
  <c r="AH17" i="25" s="1"/>
  <c r="AJ17" i="25" s="1"/>
  <c r="AN17" i="25" s="1"/>
  <c r="F19" i="25"/>
  <c r="J19" i="25" s="1"/>
  <c r="N19" i="25" s="1"/>
  <c r="P19" i="25" s="1"/>
  <c r="T19" i="25" s="1"/>
  <c r="X19" i="25" s="1"/>
  <c r="Z19" i="25" s="1"/>
  <c r="AD19" i="25" s="1"/>
  <c r="AH19" i="25" s="1"/>
  <c r="AJ19" i="25" s="1"/>
  <c r="AN19" i="25" s="1"/>
  <c r="M76" i="25"/>
  <c r="R76" i="25" s="1"/>
  <c r="E76" i="25"/>
  <c r="M82" i="25"/>
  <c r="R82" i="25" s="1"/>
  <c r="E82" i="25"/>
  <c r="O81" i="25"/>
  <c r="W81" i="25"/>
  <c r="AB81" i="25" s="1"/>
  <c r="BC51" i="25"/>
  <c r="C83" i="25"/>
  <c r="H83" i="25" s="1"/>
  <c r="BG51" i="25"/>
  <c r="M84" i="25"/>
  <c r="R84" i="25" s="1"/>
  <c r="E84" i="25"/>
  <c r="C77" i="25"/>
  <c r="H77" i="25" s="1"/>
  <c r="BG45" i="25"/>
  <c r="BC45" i="25"/>
  <c r="E85" i="25"/>
  <c r="M85" i="25"/>
  <c r="R85" i="25" s="1"/>
  <c r="BC47" i="25"/>
  <c r="C79" i="25"/>
  <c r="H79" i="25" s="1"/>
  <c r="BG47" i="25"/>
  <c r="BG46" i="25"/>
  <c r="BC46" i="25"/>
  <c r="C78" i="25"/>
  <c r="H78" i="25" s="1"/>
  <c r="BC48" i="25"/>
  <c r="C80" i="25"/>
  <c r="H80" i="25" s="1"/>
  <c r="BG48" i="25"/>
  <c r="M75" i="25"/>
  <c r="R75" i="25" s="1"/>
  <c r="E75" i="25"/>
  <c r="Y38" i="5"/>
  <c r="S47" i="5"/>
  <c r="S46" i="5"/>
  <c r="U44" i="5"/>
  <c r="S44" i="5"/>
  <c r="U43" i="5"/>
  <c r="S45" i="5"/>
  <c r="U45" i="5"/>
  <c r="S48" i="5"/>
  <c r="N54" i="5"/>
  <c r="K55" i="5" s="1"/>
  <c r="K53" i="5"/>
  <c r="M24" i="6"/>
  <c r="N24" i="6"/>
  <c r="N51" i="5"/>
  <c r="N53" i="5"/>
  <c r="H14" i="6"/>
  <c r="H16" i="6" s="1"/>
  <c r="H17" i="6" s="1"/>
  <c r="H24" i="6"/>
  <c r="J24" i="6"/>
  <c r="K24" i="6"/>
  <c r="AJ14" i="6"/>
  <c r="AJ13" i="6"/>
  <c r="AJ12" i="6"/>
  <c r="AJ11" i="6"/>
  <c r="AJ10" i="6"/>
  <c r="J35" i="6"/>
  <c r="M35" i="6" s="1"/>
  <c r="K12" i="5" s="1"/>
  <c r="L16" i="6"/>
  <c r="L17" i="6" s="1"/>
  <c r="I17" i="6"/>
  <c r="L34" i="6"/>
  <c r="N22" i="6"/>
  <c r="AA12" i="8"/>
  <c r="AA4" i="8"/>
  <c r="AA35" i="8"/>
  <c r="F59" i="8"/>
  <c r="L22" i="6"/>
  <c r="M22" i="6"/>
  <c r="M34" i="6"/>
  <c r="K11" i="5" s="1"/>
  <c r="L39" i="6"/>
  <c r="M39" i="6"/>
  <c r="K16" i="5" s="1"/>
  <c r="H40" i="6"/>
  <c r="L32" i="6"/>
  <c r="J32" i="6"/>
  <c r="M32" i="6" s="1"/>
  <c r="K9" i="5" s="1"/>
  <c r="L31" i="6"/>
  <c r="J31" i="6"/>
  <c r="M31" i="6" s="1"/>
  <c r="K8" i="5" s="1"/>
  <c r="L36" i="6"/>
  <c r="J36" i="6"/>
  <c r="M36" i="6" s="1"/>
  <c r="K13" i="5" s="1"/>
  <c r="J38" i="6"/>
  <c r="M38" i="6" s="1"/>
  <c r="K15" i="5" s="1"/>
  <c r="L38" i="6"/>
  <c r="J33" i="6"/>
  <c r="M33" i="6" s="1"/>
  <c r="K10" i="5" s="1"/>
  <c r="L33" i="6"/>
  <c r="L37" i="6"/>
  <c r="J37" i="6"/>
  <c r="M37" i="6" s="1"/>
  <c r="K14" i="5" s="1"/>
  <c r="L29" i="6"/>
  <c r="J29" i="6"/>
  <c r="M29" i="6" s="1"/>
  <c r="K6" i="5" s="1"/>
  <c r="L30" i="6"/>
  <c r="J30" i="6"/>
  <c r="Q25" i="5"/>
  <c r="E25" i="5" s="1"/>
  <c r="K22" i="6"/>
  <c r="J22" i="6"/>
  <c r="S25" i="5"/>
  <c r="AA24" i="5" s="1"/>
  <c r="R25" i="5"/>
  <c r="C32" i="5" s="1"/>
  <c r="S28" i="5"/>
  <c r="D42" i="5" s="1"/>
  <c r="E42" i="5" s="1"/>
  <c r="S27" i="5"/>
  <c r="D41" i="5" s="1"/>
  <c r="C41" i="5" s="1"/>
  <c r="K17" i="6"/>
  <c r="M17" i="6"/>
  <c r="K15" i="6"/>
  <c r="R27" i="5"/>
  <c r="D34" i="5" s="1"/>
  <c r="C34" i="5" s="1"/>
  <c r="M15" i="6"/>
  <c r="Q27" i="5"/>
  <c r="D27" i="5" s="1"/>
  <c r="E27" i="5" s="1"/>
  <c r="Q29" i="5"/>
  <c r="D29" i="5" s="1"/>
  <c r="C29" i="5" s="1"/>
  <c r="S29" i="5"/>
  <c r="D43" i="5" s="1"/>
  <c r="AE11" i="5" s="1"/>
  <c r="S26" i="5"/>
  <c r="D40" i="5" s="1"/>
  <c r="AE8" i="5" s="1"/>
  <c r="AA35" i="5"/>
  <c r="AB35" i="5" s="1"/>
  <c r="R26" i="5"/>
  <c r="D33" i="5" s="1"/>
  <c r="C33" i="5" s="1"/>
  <c r="Q26" i="5"/>
  <c r="D26" i="5" s="1"/>
  <c r="E26" i="5" s="1"/>
  <c r="M18" i="6"/>
  <c r="R28" i="5"/>
  <c r="D35" i="5" s="1"/>
  <c r="E35" i="5" s="1"/>
  <c r="N15" i="6"/>
  <c r="N17" i="6"/>
  <c r="N18" i="6"/>
  <c r="L15" i="6"/>
  <c r="E36" i="5"/>
  <c r="C36" i="5"/>
  <c r="AA37" i="5"/>
  <c r="AB37" i="5" s="1"/>
  <c r="I22" i="6"/>
  <c r="I15" i="6"/>
  <c r="O23" i="6"/>
  <c r="I24" i="6"/>
  <c r="Q28" i="5"/>
  <c r="D28" i="5" s="1"/>
  <c r="AA36" i="5"/>
  <c r="AB36" i="5" s="1"/>
  <c r="K9" i="6" l="1"/>
  <c r="K59" i="6" s="1"/>
  <c r="N9" i="6"/>
  <c r="N59" i="6" s="1"/>
  <c r="H59" i="6" s="1"/>
  <c r="J9" i="6"/>
  <c r="J59" i="6" s="1"/>
  <c r="O16" i="6"/>
  <c r="O17" i="6"/>
  <c r="O14" i="6"/>
  <c r="D6" i="6" s="1"/>
  <c r="K8" i="6"/>
  <c r="K58" i="6" s="1"/>
  <c r="N8" i="6"/>
  <c r="N58" i="6" s="1"/>
  <c r="H58" i="6" s="1"/>
  <c r="J8" i="6"/>
  <c r="J58" i="6" s="1"/>
  <c r="M6" i="6"/>
  <c r="M56" i="6" s="1"/>
  <c r="K7" i="6"/>
  <c r="K57" i="6" s="1"/>
  <c r="N7" i="6"/>
  <c r="J7" i="6"/>
  <c r="J57" i="6" s="1"/>
  <c r="G10" i="6"/>
  <c r="P60" i="6" s="1"/>
  <c r="G60" i="6" s="1"/>
  <c r="P58" i="6"/>
  <c r="G58" i="6" s="1"/>
  <c r="N56" i="6"/>
  <c r="H56" i="6" s="1"/>
  <c r="S21" i="6"/>
  <c r="U21" i="6" s="1"/>
  <c r="S20" i="6"/>
  <c r="T5" i="12"/>
  <c r="N4" i="12"/>
  <c r="D14" i="6"/>
  <c r="K18" i="6" s="1"/>
  <c r="J15" i="6"/>
  <c r="H22" i="6"/>
  <c r="O22" i="6" s="1"/>
  <c r="D87" i="25"/>
  <c r="K18" i="5"/>
  <c r="AR12" i="25"/>
  <c r="AT12" i="25" s="1"/>
  <c r="AX12" i="25" s="1"/>
  <c r="BB12" i="25" s="1"/>
  <c r="BD12" i="25" s="1"/>
  <c r="BH12" i="25" s="1"/>
  <c r="D44" i="25" s="1"/>
  <c r="F44" i="25" s="1"/>
  <c r="J44" i="25" s="1"/>
  <c r="N44" i="25" s="1"/>
  <c r="P44" i="25" s="1"/>
  <c r="T44" i="25" s="1"/>
  <c r="X44" i="25" s="1"/>
  <c r="Z44" i="25" s="1"/>
  <c r="AD44" i="25" s="1"/>
  <c r="AH44" i="25" s="1"/>
  <c r="AJ44" i="25" s="1"/>
  <c r="AN44" i="25" s="1"/>
  <c r="AR44" i="25" s="1"/>
  <c r="AT44" i="25" s="1"/>
  <c r="AX44" i="25" s="1"/>
  <c r="BB44" i="25" s="1"/>
  <c r="BD44" i="25" s="1"/>
  <c r="BH44" i="25" s="1"/>
  <c r="D76" i="25" s="1"/>
  <c r="F76" i="25" s="1"/>
  <c r="J76" i="25" s="1"/>
  <c r="N76" i="25" s="1"/>
  <c r="AR13" i="25"/>
  <c r="AT13" i="25" s="1"/>
  <c r="AX13" i="25" s="1"/>
  <c r="BB13" i="25" s="1"/>
  <c r="BD13" i="25" s="1"/>
  <c r="BH13" i="25" s="1"/>
  <c r="D45" i="25" s="1"/>
  <c r="F45" i="25" s="1"/>
  <c r="J45" i="25" s="1"/>
  <c r="N45" i="25" s="1"/>
  <c r="P45" i="25" s="1"/>
  <c r="T45" i="25" s="1"/>
  <c r="X45" i="25" s="1"/>
  <c r="Z45" i="25" s="1"/>
  <c r="AD45" i="25" s="1"/>
  <c r="AH45" i="25" s="1"/>
  <c r="AJ45" i="25" s="1"/>
  <c r="AN45" i="25" s="1"/>
  <c r="AR45" i="25" s="1"/>
  <c r="AT45" i="25" s="1"/>
  <c r="AX45" i="25" s="1"/>
  <c r="BB45" i="25" s="1"/>
  <c r="BD45" i="25" s="1"/>
  <c r="BH45" i="25" s="1"/>
  <c r="D77" i="25" s="1"/>
  <c r="AR11" i="25"/>
  <c r="AT11" i="25" s="1"/>
  <c r="AX11" i="25" s="1"/>
  <c r="BB11" i="25" s="1"/>
  <c r="BD11" i="25" s="1"/>
  <c r="BH11" i="25" s="1"/>
  <c r="D43" i="25" s="1"/>
  <c r="F43" i="25" s="1"/>
  <c r="J43" i="25" s="1"/>
  <c r="N43" i="25" s="1"/>
  <c r="P43" i="25" s="1"/>
  <c r="T43" i="25" s="1"/>
  <c r="X43" i="25" s="1"/>
  <c r="Z43" i="25" s="1"/>
  <c r="AD43" i="25" s="1"/>
  <c r="AH43" i="25" s="1"/>
  <c r="AJ43" i="25" s="1"/>
  <c r="AN43" i="25" s="1"/>
  <c r="AR43" i="25" s="1"/>
  <c r="AT43" i="25" s="1"/>
  <c r="AX43" i="25" s="1"/>
  <c r="BB43" i="25" s="1"/>
  <c r="BD43" i="25" s="1"/>
  <c r="BH43" i="25" s="1"/>
  <c r="D75" i="25" s="1"/>
  <c r="F75" i="25" s="1"/>
  <c r="J75" i="25" s="1"/>
  <c r="N75" i="25" s="1"/>
  <c r="AR16" i="25"/>
  <c r="AT16" i="25" s="1"/>
  <c r="AX16" i="25" s="1"/>
  <c r="BB16" i="25" s="1"/>
  <c r="BD16" i="25" s="1"/>
  <c r="BH16" i="25" s="1"/>
  <c r="D48" i="25" s="1"/>
  <c r="F48" i="25" s="1"/>
  <c r="J48" i="25" s="1"/>
  <c r="N48" i="25" s="1"/>
  <c r="P48" i="25" s="1"/>
  <c r="T48" i="25" s="1"/>
  <c r="X48" i="25" s="1"/>
  <c r="Z48" i="25" s="1"/>
  <c r="AD48" i="25" s="1"/>
  <c r="AH48" i="25" s="1"/>
  <c r="AJ48" i="25" s="1"/>
  <c r="AN48" i="25" s="1"/>
  <c r="AR48" i="25" s="1"/>
  <c r="AT48" i="25" s="1"/>
  <c r="AX48" i="25" s="1"/>
  <c r="BB48" i="25" s="1"/>
  <c r="BD48" i="25" s="1"/>
  <c r="BH48" i="25" s="1"/>
  <c r="D80" i="25" s="1"/>
  <c r="AR19" i="25"/>
  <c r="AT19" i="25" s="1"/>
  <c r="AX19" i="25" s="1"/>
  <c r="BB19" i="25" s="1"/>
  <c r="BD19" i="25" s="1"/>
  <c r="BH19" i="25" s="1"/>
  <c r="D51" i="25" s="1"/>
  <c r="F51" i="25" s="1"/>
  <c r="J51" i="25" s="1"/>
  <c r="N51" i="25" s="1"/>
  <c r="P51" i="25" s="1"/>
  <c r="T51" i="25" s="1"/>
  <c r="X51" i="25" s="1"/>
  <c r="Z51" i="25" s="1"/>
  <c r="AD51" i="25" s="1"/>
  <c r="AH51" i="25" s="1"/>
  <c r="AJ51" i="25" s="1"/>
  <c r="AN51" i="25" s="1"/>
  <c r="AR51" i="25" s="1"/>
  <c r="AT51" i="25" s="1"/>
  <c r="AX51" i="25" s="1"/>
  <c r="BB51" i="25" s="1"/>
  <c r="BD51" i="25" s="1"/>
  <c r="BH51" i="25" s="1"/>
  <c r="D83" i="25" s="1"/>
  <c r="AR14" i="25"/>
  <c r="AT14" i="25" s="1"/>
  <c r="AX14" i="25" s="1"/>
  <c r="BB14" i="25" s="1"/>
  <c r="BD14" i="25" s="1"/>
  <c r="BH14" i="25" s="1"/>
  <c r="D46" i="25" s="1"/>
  <c r="F46" i="25" s="1"/>
  <c r="J46" i="25" s="1"/>
  <c r="N46" i="25" s="1"/>
  <c r="P46" i="25" s="1"/>
  <c r="T46" i="25" s="1"/>
  <c r="X46" i="25" s="1"/>
  <c r="Z46" i="25" s="1"/>
  <c r="AD46" i="25" s="1"/>
  <c r="AH46" i="25" s="1"/>
  <c r="AJ46" i="25" s="1"/>
  <c r="AN46" i="25" s="1"/>
  <c r="AR46" i="25" s="1"/>
  <c r="AT46" i="25" s="1"/>
  <c r="AX46" i="25" s="1"/>
  <c r="BB46" i="25" s="1"/>
  <c r="BD46" i="25" s="1"/>
  <c r="BH46" i="25" s="1"/>
  <c r="D78" i="25" s="1"/>
  <c r="AR17" i="25"/>
  <c r="AT17" i="25" s="1"/>
  <c r="AX17" i="25" s="1"/>
  <c r="BB17" i="25" s="1"/>
  <c r="BD17" i="25" s="1"/>
  <c r="BH17" i="25" s="1"/>
  <c r="D49" i="25" s="1"/>
  <c r="F49" i="25" s="1"/>
  <c r="J49" i="25" s="1"/>
  <c r="N49" i="25" s="1"/>
  <c r="P49" i="25" s="1"/>
  <c r="T49" i="25" s="1"/>
  <c r="X49" i="25" s="1"/>
  <c r="Z49" i="25" s="1"/>
  <c r="AD49" i="25" s="1"/>
  <c r="AH49" i="25" s="1"/>
  <c r="AJ49" i="25" s="1"/>
  <c r="AN49" i="25" s="1"/>
  <c r="AR49" i="25" s="1"/>
  <c r="AT49" i="25" s="1"/>
  <c r="AX49" i="25" s="1"/>
  <c r="BB49" i="25" s="1"/>
  <c r="BD49" i="25" s="1"/>
  <c r="BH49" i="25" s="1"/>
  <c r="D81" i="25" s="1"/>
  <c r="F81" i="25" s="1"/>
  <c r="J81" i="25" s="1"/>
  <c r="N81" i="25" s="1"/>
  <c r="P81" i="25" s="1"/>
  <c r="T81" i="25" s="1"/>
  <c r="X81" i="25" s="1"/>
  <c r="M30" i="6"/>
  <c r="K7" i="5" s="1"/>
  <c r="AH20" i="25"/>
  <c r="AJ20" i="25" s="1"/>
  <c r="AN20" i="25" s="1"/>
  <c r="AR20" i="25" s="1"/>
  <c r="AT20" i="25" s="1"/>
  <c r="AX20" i="25" s="1"/>
  <c r="BB20" i="25" s="1"/>
  <c r="BD20" i="25" s="1"/>
  <c r="BH20" i="25" s="1"/>
  <c r="D52" i="25" s="1"/>
  <c r="F52" i="25" s="1"/>
  <c r="J52" i="25" s="1"/>
  <c r="N52" i="25" s="1"/>
  <c r="P52" i="25" s="1"/>
  <c r="T52" i="25" s="1"/>
  <c r="X52" i="25" s="1"/>
  <c r="Z52" i="25" s="1"/>
  <c r="AD52" i="25" s="1"/>
  <c r="AH52" i="25" s="1"/>
  <c r="AJ52" i="25" s="1"/>
  <c r="AN52" i="25" s="1"/>
  <c r="AR52" i="25" s="1"/>
  <c r="AT52" i="25" s="1"/>
  <c r="AX52" i="25" s="1"/>
  <c r="BB52" i="25" s="1"/>
  <c r="BD52" i="25" s="1"/>
  <c r="BH52" i="25" s="1"/>
  <c r="D84" i="25" s="1"/>
  <c r="F84" i="25" s="1"/>
  <c r="J84" i="25" s="1"/>
  <c r="N84" i="25" s="1"/>
  <c r="AH18" i="25"/>
  <c r="AJ18" i="25" s="1"/>
  <c r="AN18" i="25" s="1"/>
  <c r="AR15" i="25"/>
  <c r="AT15" i="25" s="1"/>
  <c r="AX15" i="25" s="1"/>
  <c r="BB15" i="25" s="1"/>
  <c r="BD15" i="25" s="1"/>
  <c r="BH15" i="25" s="1"/>
  <c r="D47" i="25" s="1"/>
  <c r="F47" i="25" s="1"/>
  <c r="J47" i="25" s="1"/>
  <c r="N47" i="25" s="1"/>
  <c r="P47" i="25" s="1"/>
  <c r="T47" i="25" s="1"/>
  <c r="X47" i="25" s="1"/>
  <c r="Z47" i="25" s="1"/>
  <c r="AD47" i="25" s="1"/>
  <c r="AH47" i="25" s="1"/>
  <c r="AJ47" i="25" s="1"/>
  <c r="AN47" i="25" s="1"/>
  <c r="AR47" i="25" s="1"/>
  <c r="AT47" i="25" s="1"/>
  <c r="AX47" i="25" s="1"/>
  <c r="BB47" i="25" s="1"/>
  <c r="BD47" i="25" s="1"/>
  <c r="BH47" i="25" s="1"/>
  <c r="D79" i="25" s="1"/>
  <c r="F85" i="25"/>
  <c r="J85" i="25" s="1"/>
  <c r="N85" i="25" s="1"/>
  <c r="O76" i="25"/>
  <c r="W76" i="25"/>
  <c r="AB76" i="25" s="1"/>
  <c r="E79" i="25"/>
  <c r="M79" i="25"/>
  <c r="R79" i="25" s="1"/>
  <c r="E77" i="25"/>
  <c r="M77" i="25"/>
  <c r="R77" i="25" s="1"/>
  <c r="Y81" i="25"/>
  <c r="AG81" i="25"/>
  <c r="AL81" i="25" s="1"/>
  <c r="W84" i="25"/>
  <c r="AB84" i="25" s="1"/>
  <c r="O84" i="25"/>
  <c r="E80" i="25"/>
  <c r="M80" i="25"/>
  <c r="R80" i="25" s="1"/>
  <c r="O85" i="25"/>
  <c r="W85" i="25"/>
  <c r="AB85" i="25" s="1"/>
  <c r="O82" i="25"/>
  <c r="W82" i="25"/>
  <c r="AB82" i="25" s="1"/>
  <c r="M78" i="25"/>
  <c r="R78" i="25" s="1"/>
  <c r="E78" i="25"/>
  <c r="E83" i="25"/>
  <c r="M83" i="25"/>
  <c r="R83" i="25" s="1"/>
  <c r="W75" i="25"/>
  <c r="AB75" i="25" s="1"/>
  <c r="O75" i="25"/>
  <c r="H15" i="6"/>
  <c r="O55" i="5"/>
  <c r="K54" i="5"/>
  <c r="K52" i="5"/>
  <c r="O52" i="5" s="1"/>
  <c r="K50" i="5"/>
  <c r="K51" i="5"/>
  <c r="D38" i="5"/>
  <c r="AE6" i="5" s="1"/>
  <c r="S22" i="6"/>
  <c r="U22" i="6" s="1"/>
  <c r="Q9" i="6"/>
  <c r="AD1" i="8"/>
  <c r="AD2" i="8" s="1"/>
  <c r="L18" i="6"/>
  <c r="M25" i="6"/>
  <c r="N25" i="6"/>
  <c r="L25" i="6"/>
  <c r="E24" i="5"/>
  <c r="Z24" i="5"/>
  <c r="D31" i="5" s="1"/>
  <c r="E32" i="5"/>
  <c r="Y24" i="5"/>
  <c r="P33" i="5" s="1"/>
  <c r="C31" i="5"/>
  <c r="C25" i="5"/>
  <c r="C24" i="5"/>
  <c r="E31" i="5"/>
  <c r="K25" i="6"/>
  <c r="E38" i="5"/>
  <c r="C39" i="5"/>
  <c r="C38" i="5"/>
  <c r="E39" i="5"/>
  <c r="AE10" i="5"/>
  <c r="C42" i="5"/>
  <c r="AE9" i="5"/>
  <c r="O53" i="5" s="1"/>
  <c r="E41" i="5"/>
  <c r="E29" i="5"/>
  <c r="S36" i="5"/>
  <c r="E34" i="5"/>
  <c r="AD9" i="5"/>
  <c r="C27" i="5"/>
  <c r="AC9" i="5"/>
  <c r="Q36" i="5"/>
  <c r="R36" i="5" s="1"/>
  <c r="S38" i="5"/>
  <c r="E43" i="5"/>
  <c r="C43" i="5"/>
  <c r="Q38" i="5"/>
  <c r="R38" i="5" s="1"/>
  <c r="AC11" i="5"/>
  <c r="C40" i="5"/>
  <c r="C26" i="5"/>
  <c r="AC8" i="5"/>
  <c r="E40" i="5"/>
  <c r="Q35" i="5"/>
  <c r="R35" i="5" s="1"/>
  <c r="S35" i="5"/>
  <c r="AD8" i="5"/>
  <c r="E33" i="5"/>
  <c r="S37" i="5"/>
  <c r="C35" i="5"/>
  <c r="AD10" i="5"/>
  <c r="D39" i="5"/>
  <c r="AE7" i="5" s="1"/>
  <c r="O24" i="6"/>
  <c r="E28" i="5"/>
  <c r="C28" i="5"/>
  <c r="AC10" i="5"/>
  <c r="Q37" i="5"/>
  <c r="R37" i="5" s="1"/>
  <c r="I25" i="6" l="1"/>
  <c r="M9" i="6"/>
  <c r="M59" i="6" s="1"/>
  <c r="O15" i="6"/>
  <c r="M7" i="6"/>
  <c r="N57" i="6"/>
  <c r="H57" i="6" s="1"/>
  <c r="M8" i="6"/>
  <c r="R4" i="12"/>
  <c r="X5" i="12"/>
  <c r="H25" i="6"/>
  <c r="H18" i="6"/>
  <c r="J18" i="6"/>
  <c r="G25" i="6"/>
  <c r="G18" i="6"/>
  <c r="I18" i="6"/>
  <c r="J25" i="6"/>
  <c r="AR18" i="25"/>
  <c r="AT18" i="25" s="1"/>
  <c r="AX18" i="25" s="1"/>
  <c r="BB18" i="25" s="1"/>
  <c r="BD18" i="25" s="1"/>
  <c r="BH18" i="25" s="1"/>
  <c r="D50" i="25" s="1"/>
  <c r="F50" i="25" s="1"/>
  <c r="J50" i="25" s="1"/>
  <c r="N50" i="25" s="1"/>
  <c r="P50" i="25" s="1"/>
  <c r="T50" i="25" s="1"/>
  <c r="X50" i="25" s="1"/>
  <c r="Z50" i="25" s="1"/>
  <c r="AD50" i="25" s="1"/>
  <c r="AH50" i="25" s="1"/>
  <c r="AJ50" i="25" s="1"/>
  <c r="AN50" i="25" s="1"/>
  <c r="AR50" i="25" s="1"/>
  <c r="AT50" i="25" s="1"/>
  <c r="AX50" i="25" s="1"/>
  <c r="BB50" i="25" s="1"/>
  <c r="BD50" i="25" s="1"/>
  <c r="BH50" i="25" s="1"/>
  <c r="D82" i="25" s="1"/>
  <c r="F82" i="25" s="1"/>
  <c r="J82" i="25" s="1"/>
  <c r="N82" i="25" s="1"/>
  <c r="P82" i="25" s="1"/>
  <c r="T82" i="25" s="1"/>
  <c r="X82" i="25" s="1"/>
  <c r="P75" i="25"/>
  <c r="T75" i="25" s="1"/>
  <c r="X75" i="25" s="1"/>
  <c r="Z81" i="25"/>
  <c r="AD81" i="25" s="1"/>
  <c r="AH81" i="25" s="1"/>
  <c r="N87" i="25"/>
  <c r="P76" i="25"/>
  <c r="T76" i="25" s="1"/>
  <c r="X76" i="25" s="1"/>
  <c r="F83" i="25"/>
  <c r="J83" i="25" s="1"/>
  <c r="N83" i="25" s="1"/>
  <c r="P85" i="25"/>
  <c r="T85" i="25" s="1"/>
  <c r="X85" i="25" s="1"/>
  <c r="F78" i="25"/>
  <c r="J78" i="25" s="1"/>
  <c r="N78" i="25" s="1"/>
  <c r="P84" i="25"/>
  <c r="T84" i="25" s="1"/>
  <c r="X84" i="25" s="1"/>
  <c r="F80" i="25"/>
  <c r="J80" i="25" s="1"/>
  <c r="N80" i="25" s="1"/>
  <c r="F77" i="25"/>
  <c r="J77" i="25" s="1"/>
  <c r="N77" i="25" s="1"/>
  <c r="F79" i="25"/>
  <c r="J79" i="25" s="1"/>
  <c r="N79" i="25" s="1"/>
  <c r="AG76" i="25"/>
  <c r="AL76" i="25" s="1"/>
  <c r="Y76" i="25"/>
  <c r="Y85" i="25"/>
  <c r="AG85" i="25"/>
  <c r="AL85" i="25" s="1"/>
  <c r="AG84" i="25"/>
  <c r="Y84" i="25"/>
  <c r="O78" i="25"/>
  <c r="W78" i="25"/>
  <c r="AB78" i="25" s="1"/>
  <c r="AI81" i="25"/>
  <c r="AQ81" i="25"/>
  <c r="AV81" i="25" s="1"/>
  <c r="W79" i="25"/>
  <c r="O79" i="25"/>
  <c r="AG75" i="25"/>
  <c r="AL75" i="25" s="1"/>
  <c r="Y75" i="25"/>
  <c r="O80" i="25"/>
  <c r="W80" i="25"/>
  <c r="AB80" i="25" s="1"/>
  <c r="O77" i="25"/>
  <c r="W77" i="25"/>
  <c r="AB77" i="25" s="1"/>
  <c r="Y82" i="25"/>
  <c r="AG82" i="25"/>
  <c r="AL82" i="25" s="1"/>
  <c r="W83" i="25"/>
  <c r="AB83" i="25" s="1"/>
  <c r="O83" i="25"/>
  <c r="R24" i="6"/>
  <c r="R25" i="6" s="1"/>
  <c r="P53" i="5"/>
  <c r="R53" i="5"/>
  <c r="Q53" i="5"/>
  <c r="Q52" i="5"/>
  <c r="R52" i="5"/>
  <c r="Q55" i="5"/>
  <c r="R55" i="5"/>
  <c r="O54" i="5"/>
  <c r="P55" i="5"/>
  <c r="O50" i="5"/>
  <c r="O51" i="5"/>
  <c r="P52" i="5"/>
  <c r="S33" i="5"/>
  <c r="V24" i="6"/>
  <c r="V25" i="6" s="1"/>
  <c r="U20" i="6"/>
  <c r="U24" i="6"/>
  <c r="U25" i="6" s="1"/>
  <c r="S24" i="6"/>
  <c r="S25" i="6" s="1"/>
  <c r="T24" i="6"/>
  <c r="T25" i="6" s="1"/>
  <c r="AD6" i="5"/>
  <c r="D32" i="5"/>
  <c r="S34" i="5" s="1"/>
  <c r="P34" i="5"/>
  <c r="Y33" i="5" s="1"/>
  <c r="D24" i="5"/>
  <c r="AC6" i="5" s="1"/>
  <c r="D25" i="5"/>
  <c r="AC7" i="5" s="1"/>
  <c r="K47" i="5"/>
  <c r="K48" i="5" s="1"/>
  <c r="J47" i="5"/>
  <c r="T36" i="5"/>
  <c r="T38" i="5"/>
  <c r="T35" i="5"/>
  <c r="T37" i="5"/>
  <c r="O7" i="6" l="1"/>
  <c r="O57" i="6" s="1"/>
  <c r="I57" i="6" s="1"/>
  <c r="O8" i="6"/>
  <c r="O58" i="6" s="1"/>
  <c r="I58" i="6" s="1"/>
  <c r="O6" i="6"/>
  <c r="O56" i="6" s="1"/>
  <c r="I56" i="6" s="1"/>
  <c r="M58" i="6"/>
  <c r="M57" i="6"/>
  <c r="O9" i="6"/>
  <c r="O59" i="6" s="1"/>
  <c r="I59" i="6" s="1"/>
  <c r="AB5" i="12"/>
  <c r="V4" i="12"/>
  <c r="O18" i="6"/>
  <c r="O25" i="6"/>
  <c r="AH87" i="25"/>
  <c r="AL84" i="25"/>
  <c r="X87" i="25"/>
  <c r="AB79" i="25"/>
  <c r="Z75" i="25"/>
  <c r="AD75" i="25" s="1"/>
  <c r="AH75" i="25" s="1"/>
  <c r="AJ81" i="25"/>
  <c r="AN81" i="25" s="1"/>
  <c r="AR81" i="25" s="1"/>
  <c r="Z76" i="25"/>
  <c r="AD76" i="25" s="1"/>
  <c r="AH76" i="25" s="1"/>
  <c r="P83" i="25"/>
  <c r="T83" i="25" s="1"/>
  <c r="X83" i="25" s="1"/>
  <c r="Z85" i="25"/>
  <c r="AD85" i="25" s="1"/>
  <c r="AH85" i="25" s="1"/>
  <c r="Z82" i="25"/>
  <c r="AD82" i="25" s="1"/>
  <c r="AH82" i="25" s="1"/>
  <c r="P78" i="25"/>
  <c r="T78" i="25" s="1"/>
  <c r="X78" i="25" s="1"/>
  <c r="P77" i="25"/>
  <c r="T77" i="25" s="1"/>
  <c r="X77" i="25" s="1"/>
  <c r="P79" i="25"/>
  <c r="T79" i="25" s="1"/>
  <c r="X79" i="25" s="1"/>
  <c r="Z84" i="25"/>
  <c r="AD84" i="25" s="1"/>
  <c r="AH84" i="25" s="1"/>
  <c r="P80" i="25"/>
  <c r="T80" i="25" s="1"/>
  <c r="X80" i="25" s="1"/>
  <c r="AQ76" i="25"/>
  <c r="AV76" i="25" s="1"/>
  <c r="AI76" i="25"/>
  <c r="AS81" i="25"/>
  <c r="AI82" i="25"/>
  <c r="AQ82" i="25"/>
  <c r="AV82" i="25" s="1"/>
  <c r="AQ84" i="25"/>
  <c r="AV84" i="25" s="1"/>
  <c r="AI84" i="25"/>
  <c r="AQ75" i="25"/>
  <c r="AV75" i="25" s="1"/>
  <c r="AI75" i="25"/>
  <c r="AG77" i="25"/>
  <c r="AL77" i="25" s="1"/>
  <c r="Y77" i="25"/>
  <c r="AQ85" i="25"/>
  <c r="AV85" i="25" s="1"/>
  <c r="AI85" i="25"/>
  <c r="Y78" i="25"/>
  <c r="AG78" i="25"/>
  <c r="AL78" i="25" s="1"/>
  <c r="AG79" i="25"/>
  <c r="AL79" i="25" s="1"/>
  <c r="Y79" i="25"/>
  <c r="AG83" i="25"/>
  <c r="AL83" i="25" s="1"/>
  <c r="Y83" i="25"/>
  <c r="Y80" i="25"/>
  <c r="AG80" i="25"/>
  <c r="AL80" i="25" s="1"/>
  <c r="T55" i="5"/>
  <c r="S55" i="5"/>
  <c r="S52" i="5"/>
  <c r="T52" i="5"/>
  <c r="S53" i="5"/>
  <c r="T53" i="5"/>
  <c r="AM8" i="8"/>
  <c r="P54" i="5"/>
  <c r="R54" i="5"/>
  <c r="Q54" i="5"/>
  <c r="AM5" i="8"/>
  <c r="Q51" i="5"/>
  <c r="R51" i="5"/>
  <c r="Q50" i="5"/>
  <c r="R50" i="5"/>
  <c r="AM6" i="8"/>
  <c r="P50" i="5"/>
  <c r="P51" i="5"/>
  <c r="AM4" i="8" s="1"/>
  <c r="W25" i="6"/>
  <c r="W24" i="6"/>
  <c r="AC15" i="8" s="1"/>
  <c r="AC16" i="8" s="1"/>
  <c r="X24" i="6" s="1"/>
  <c r="Q33" i="5"/>
  <c r="R33" i="5" s="1"/>
  <c r="T33" i="5" s="1"/>
  <c r="K46" i="5"/>
  <c r="H47" i="5"/>
  <c r="H48" i="5" s="1"/>
  <c r="Q34" i="5"/>
  <c r="R34" i="5" s="1"/>
  <c r="T34" i="5" s="1"/>
  <c r="AD7" i="5"/>
  <c r="J48" i="5"/>
  <c r="J46" i="5"/>
  <c r="AA33" i="5"/>
  <c r="AB33" i="5" s="1"/>
  <c r="Z4" i="12" l="1"/>
  <c r="AF5" i="12"/>
  <c r="AJ75" i="25"/>
  <c r="AN75" i="25" s="1"/>
  <c r="AR75" i="25" s="1"/>
  <c r="AT81" i="25"/>
  <c r="AX81" i="25" s="1"/>
  <c r="AJ76" i="25"/>
  <c r="AN76" i="25" s="1"/>
  <c r="AR76" i="25" s="1"/>
  <c r="Z78" i="25"/>
  <c r="AD78" i="25" s="1"/>
  <c r="AH78" i="25" s="1"/>
  <c r="Z83" i="25"/>
  <c r="AD83" i="25" s="1"/>
  <c r="AH83" i="25" s="1"/>
  <c r="Z77" i="25"/>
  <c r="AD77" i="25" s="1"/>
  <c r="AH77" i="25" s="1"/>
  <c r="AJ82" i="25"/>
  <c r="AN82" i="25" s="1"/>
  <c r="AR82" i="25" s="1"/>
  <c r="AJ85" i="25"/>
  <c r="AN85" i="25" s="1"/>
  <c r="AR85" i="25" s="1"/>
  <c r="Z79" i="25"/>
  <c r="AD79" i="25" s="1"/>
  <c r="AH79" i="25" s="1"/>
  <c r="AJ84" i="25"/>
  <c r="AN84" i="25" s="1"/>
  <c r="AR84" i="25" s="1"/>
  <c r="Z80" i="25"/>
  <c r="AD80" i="25" s="1"/>
  <c r="AH80" i="25" s="1"/>
  <c r="AS76" i="25"/>
  <c r="AQ80" i="25"/>
  <c r="AV80" i="25" s="1"/>
  <c r="AI80" i="25"/>
  <c r="AQ79" i="25"/>
  <c r="AV79" i="25" s="1"/>
  <c r="AI79" i="25"/>
  <c r="AQ77" i="25"/>
  <c r="AV77" i="25" s="1"/>
  <c r="AI77" i="25"/>
  <c r="AQ78" i="25"/>
  <c r="AV78" i="25" s="1"/>
  <c r="AI78" i="25"/>
  <c r="AS82" i="25"/>
  <c r="AS75" i="25"/>
  <c r="AQ83" i="25"/>
  <c r="AI83" i="25"/>
  <c r="AS85" i="25"/>
  <c r="AS84" i="25"/>
  <c r="S51" i="5"/>
  <c r="T51" i="5"/>
  <c r="S50" i="5"/>
  <c r="T50" i="5"/>
  <c r="T54" i="5"/>
  <c r="S54" i="5"/>
  <c r="AM3" i="8"/>
  <c r="AM7" i="8"/>
  <c r="H46" i="5"/>
  <c r="AJ5" i="12" l="1"/>
  <c r="AD4" i="12"/>
  <c r="AR87" i="25"/>
  <c r="U4" i="25" s="1"/>
  <c r="AV83" i="25"/>
  <c r="AT75" i="25"/>
  <c r="AX75" i="25" s="1"/>
  <c r="AT76" i="25"/>
  <c r="AX76" i="25" s="1"/>
  <c r="AJ78" i="25"/>
  <c r="AN78" i="25" s="1"/>
  <c r="AR78" i="25" s="1"/>
  <c r="AJ83" i="25"/>
  <c r="AN83" i="25" s="1"/>
  <c r="AR83" i="25" s="1"/>
  <c r="AJ77" i="25"/>
  <c r="AN77" i="25" s="1"/>
  <c r="AR77" i="25" s="1"/>
  <c r="AT85" i="25"/>
  <c r="AX85" i="25" s="1"/>
  <c r="AJ80" i="25"/>
  <c r="AN80" i="25" s="1"/>
  <c r="AR80" i="25" s="1"/>
  <c r="AT82" i="25"/>
  <c r="AX82" i="25" s="1"/>
  <c r="AT84" i="25"/>
  <c r="AX84" i="25" s="1"/>
  <c r="AJ79" i="25"/>
  <c r="AN79" i="25" s="1"/>
  <c r="AR79" i="25" s="1"/>
  <c r="AS77" i="25"/>
  <c r="AS79" i="25"/>
  <c r="AS83" i="25"/>
  <c r="AS78" i="25"/>
  <c r="AS80" i="25"/>
  <c r="H22" i="12" l="1"/>
  <c r="AH4" i="12"/>
  <c r="AT78" i="25"/>
  <c r="AX78" i="25" s="1"/>
  <c r="AT77" i="25"/>
  <c r="AX77" i="25" s="1"/>
  <c r="AT80" i="25"/>
  <c r="AX80" i="25" s="1"/>
  <c r="AT83" i="25"/>
  <c r="AX83" i="25" s="1"/>
  <c r="AT79" i="25"/>
  <c r="AX79" i="25" s="1"/>
  <c r="L22" i="12" l="1"/>
  <c r="F21" i="12"/>
  <c r="AN3" i="8"/>
  <c r="P22" i="12" l="1"/>
  <c r="J21" i="12"/>
  <c r="AO4" i="8"/>
  <c r="AO3" i="8"/>
  <c r="AE13" i="5" s="1"/>
  <c r="AO7" i="8"/>
  <c r="AN7" i="8"/>
  <c r="AO8" i="8"/>
  <c r="AN8" i="8"/>
  <c r="AN5" i="8"/>
  <c r="AO5" i="8"/>
  <c r="AN6" i="8"/>
  <c r="AO6" i="8"/>
  <c r="AN4" i="8"/>
  <c r="T22" i="12" l="1"/>
  <c r="N21" i="12"/>
  <c r="AE14" i="5"/>
  <c r="AE18" i="5"/>
  <c r="AE15" i="5"/>
  <c r="AE17" i="5"/>
  <c r="AE16" i="5"/>
  <c r="R21" i="12" l="1"/>
  <c r="X22" i="12"/>
  <c r="V21" i="12" l="1"/>
  <c r="AB22" i="12"/>
  <c r="Z21" i="12" l="1"/>
  <c r="AF22" i="12"/>
  <c r="AD21" i="12" l="1"/>
  <c r="AJ22" i="12"/>
  <c r="AH21" i="12" l="1"/>
  <c r="AO22" i="12"/>
  <c r="AL21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9" authorId="0" shapeId="0" xr:uid="{00000000-0006-0000-0400-000002000000}">
      <text>
        <r>
          <rPr>
            <sz val="11"/>
            <color rgb="FF000000"/>
            <rFont val="Calibri"/>
            <family val="2"/>
            <charset val="1"/>
          </rPr>
          <t xml:space="preserve">Joelson Goncalves:
</t>
        </r>
        <r>
          <rPr>
            <sz val="9"/>
            <color rgb="FF000000"/>
            <rFont val="Segoe UI"/>
            <family val="2"/>
            <charset val="1"/>
          </rPr>
          <t>Preencha a temperatura dos quadrantes da corrida no quadro abaixo.</t>
        </r>
      </text>
    </comment>
    <comment ref="E17" authorId="0" shapeId="0" xr:uid="{00000000-0006-0000-0400-000001000000}">
      <text>
        <r>
          <rPr>
            <sz val="8"/>
            <color rgb="FF000000"/>
            <rFont val="Calibri Light"/>
            <family val="2"/>
            <charset val="1"/>
          </rPr>
          <t>Joelson Goncalves:
Ao mudar o valor aqui mudará a energia do final da corrida.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9" authorId="0" shapeId="0" xr:uid="{00000000-0006-0000-0500-000002000000}">
      <text>
        <r>
          <rPr>
            <sz val="8"/>
            <color rgb="FF000000"/>
            <rFont val="Calibri Light"/>
            <family val="2"/>
            <charset val="1"/>
          </rPr>
          <t>Joelson Goncalves:
Desgaste de energia com base no XP e Resistência do seu "Piloto"</t>
        </r>
      </text>
    </comment>
    <comment ref="K27" authorId="0" shapeId="0" xr:uid="{2F7AF3FE-A2C4-4B9F-8E30-6C9D7B6D6B07}">
      <text>
        <r>
          <rPr>
            <sz val="11"/>
            <color rgb="FF000000"/>
            <rFont val="Calibri"/>
            <family val="2"/>
            <charset val="1"/>
          </rPr>
          <t xml:space="preserve">Joelson Goncalves:
</t>
        </r>
        <r>
          <rPr>
            <sz val="9"/>
            <color rgb="FF000000"/>
            <rFont val="Segoe UI"/>
            <family val="2"/>
            <charset val="1"/>
          </rPr>
          <t>Se marcar "Sim", escolha quantas voltas de testes.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Joelson Goncalves</author>
  </authors>
  <commentList>
    <comment ref="D10" authorId="0" shapeId="0" xr:uid="{A1B1126F-E91F-4F0F-BC42-27706747FB29}">
      <text>
        <r>
          <rPr>
            <b/>
            <sz val="9"/>
            <color indexed="81"/>
            <rFont val="Segoe UI"/>
            <family val="2"/>
          </rPr>
          <t>Joelson Goncalves:</t>
        </r>
        <r>
          <rPr>
            <sz val="9"/>
            <color indexed="81"/>
            <rFont val="Segoe UI"/>
            <family val="2"/>
          </rPr>
          <t xml:space="preserve">
"Cuidado!!!"
O progresso médio é somente estimativo quando tiver 3 gerentes negociando.</t>
        </r>
      </text>
    </comment>
    <comment ref="D20" authorId="0" shapeId="0" xr:uid="{BDC1BAD9-F8D7-4B99-ADC3-250412EE1D15}">
      <text>
        <r>
          <rPr>
            <b/>
            <sz val="9"/>
            <color indexed="81"/>
            <rFont val="Segoe UI"/>
            <family val="2"/>
          </rPr>
          <t>Joelson Goncalves:</t>
        </r>
        <r>
          <rPr>
            <sz val="9"/>
            <color indexed="81"/>
            <rFont val="Segoe UI"/>
            <family val="2"/>
          </rPr>
          <t xml:space="preserve">
"Cuidado!!!"
O progresso médio é somente estimativo quando tiver 3 gerentes negociando.</t>
        </r>
      </text>
    </comment>
    <comment ref="D30" authorId="0" shapeId="0" xr:uid="{D9BC02C2-D286-4200-8994-DDB375D363B9}">
      <text>
        <r>
          <rPr>
            <b/>
            <sz val="9"/>
            <color indexed="81"/>
            <rFont val="Segoe UI"/>
            <family val="2"/>
          </rPr>
          <t>Joelson Goncalves:</t>
        </r>
        <r>
          <rPr>
            <sz val="9"/>
            <color indexed="81"/>
            <rFont val="Segoe UI"/>
            <family val="2"/>
          </rPr>
          <t xml:space="preserve">
"Cuidado!!!"
O progresso médio é somente estimativo quando tiver 3 gerentes negociando.</t>
        </r>
      </text>
    </comment>
    <comment ref="D40" authorId="0" shapeId="0" xr:uid="{5DB8C81F-5829-47EE-8A3A-95DBB4781D38}">
      <text>
        <r>
          <rPr>
            <b/>
            <sz val="9"/>
            <color indexed="81"/>
            <rFont val="Segoe UI"/>
            <family val="2"/>
          </rPr>
          <t>Joelson Goncalves:</t>
        </r>
        <r>
          <rPr>
            <sz val="9"/>
            <color indexed="81"/>
            <rFont val="Segoe UI"/>
            <family val="2"/>
          </rPr>
          <t xml:space="preserve">
"Cuidado!!!"
O progresso médio é somente estimativo quando tiver 3 gerentes negociando.</t>
        </r>
      </text>
    </comment>
    <comment ref="D50" authorId="0" shapeId="0" xr:uid="{898459DD-F3D9-44AE-B577-83A1AA0F04FA}">
      <text>
        <r>
          <rPr>
            <b/>
            <sz val="9"/>
            <color indexed="81"/>
            <rFont val="Segoe UI"/>
            <family val="2"/>
          </rPr>
          <t>Joelson Goncalves:</t>
        </r>
        <r>
          <rPr>
            <sz val="9"/>
            <color indexed="81"/>
            <rFont val="Segoe UI"/>
            <family val="2"/>
          </rPr>
          <t xml:space="preserve">
"Cuidado!!!"
O progresso médio é somente estimativo quando tiver 3 gerentes negociando.</t>
        </r>
      </text>
    </comment>
    <comment ref="D60" authorId="0" shapeId="0" xr:uid="{7420052D-FF26-4032-9071-864ECCC7216C}">
      <text>
        <r>
          <rPr>
            <b/>
            <sz val="9"/>
            <color indexed="81"/>
            <rFont val="Segoe UI"/>
            <family val="2"/>
          </rPr>
          <t>Joelson Goncalves:</t>
        </r>
        <r>
          <rPr>
            <sz val="9"/>
            <color indexed="81"/>
            <rFont val="Segoe UI"/>
            <family val="2"/>
          </rPr>
          <t xml:space="preserve">
"Cuidado!!!"
O progresso médio é somente estimativo quando tiver 3 gerentes negociando.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F385A7F-7C1D-4E8A-A741-301F601D0869}" keepAlive="1" name="Consulta - Tabela2" description="Conexão com a consulta 'Tabela2' na pasta de trabalho." type="5" refreshedVersion="0" background="1">
    <dbPr connection="Provider=Microsoft.Mashup.OleDb.1;Data Source=$Workbook$;Location=Tabela2;Extended Properties=&quot;&quot;" command="SELECT * FROM [Tabela2]"/>
  </connection>
</connections>
</file>

<file path=xl/sharedStrings.xml><?xml version="1.0" encoding="utf-8"?>
<sst xmlns="http://schemas.openxmlformats.org/spreadsheetml/2006/main" count="2932" uniqueCount="992">
  <si>
    <t>Início</t>
  </si>
  <si>
    <t>Corrida</t>
  </si>
  <si>
    <t>Final</t>
  </si>
  <si>
    <t>Pista</t>
  </si>
  <si>
    <t>Chassi</t>
  </si>
  <si>
    <t>Concentração</t>
  </si>
  <si>
    <t>Motor</t>
  </si>
  <si>
    <t>Talento</t>
  </si>
  <si>
    <t>Agressividade</t>
  </si>
  <si>
    <t>Experiência</t>
  </si>
  <si>
    <t>Assoalho</t>
  </si>
  <si>
    <t>Consumo de combustível</t>
  </si>
  <si>
    <t>Laterais</t>
  </si>
  <si>
    <t>Resistência</t>
  </si>
  <si>
    <t>Desgaste do pneu</t>
  </si>
  <si>
    <t>Radiador</t>
  </si>
  <si>
    <t>Carisma</t>
  </si>
  <si>
    <t>Câmbio</t>
  </si>
  <si>
    <t>Motivação</t>
  </si>
  <si>
    <t>Freios</t>
  </si>
  <si>
    <t>Reputação</t>
  </si>
  <si>
    <t>Suspensão</t>
  </si>
  <si>
    <t>Eletrônicos</t>
  </si>
  <si>
    <t>Clima</t>
  </si>
  <si>
    <t>Ultrapassagem</t>
  </si>
  <si>
    <t>CT</t>
  </si>
  <si>
    <t>Downforce</t>
  </si>
  <si>
    <t>Combustível</t>
  </si>
  <si>
    <t>Baixo</t>
  </si>
  <si>
    <t>Alto</t>
  </si>
  <si>
    <t>Normal</t>
  </si>
  <si>
    <t>Básico</t>
  </si>
  <si>
    <t>Piloto</t>
  </si>
  <si>
    <t>Carro</t>
  </si>
  <si>
    <t>Stints Detalhes Temp. Clima</t>
  </si>
  <si>
    <t>Configurações perfeitas previstas</t>
  </si>
  <si>
    <t>OA</t>
  </si>
  <si>
    <t>Peças</t>
  </si>
  <si>
    <t>Nível</t>
  </si>
  <si>
    <t>Desgas.</t>
  </si>
  <si>
    <t>Part</t>
  </si>
  <si>
    <t>Total</t>
  </si>
  <si>
    <t>Yeongam xxxx</t>
  </si>
  <si>
    <t>Q1</t>
  </si>
  <si>
    <t>Q2</t>
  </si>
  <si>
    <t>Power</t>
  </si>
  <si>
    <t>Sessão</t>
  </si>
  <si>
    <t>Temp</t>
  </si>
  <si>
    <t>A.D.</t>
  </si>
  <si>
    <t>Handling</t>
  </si>
  <si>
    <t>Dry</t>
  </si>
  <si>
    <t>A.T.</t>
  </si>
  <si>
    <t>Asa Dianteira</t>
  </si>
  <si>
    <t>Accel.</t>
  </si>
  <si>
    <t>Asa Traseira</t>
  </si>
  <si>
    <t>Race</t>
  </si>
  <si>
    <t>Wet</t>
  </si>
  <si>
    <t>Conhec. Técnico</t>
  </si>
  <si>
    <t>Diretor Técnico</t>
  </si>
  <si>
    <t xml:space="preserve">Câmbio </t>
  </si>
  <si>
    <t>R&amp;D mecânico</t>
  </si>
  <si>
    <t>Temperatura da corrida</t>
  </si>
  <si>
    <t>Susp.</t>
  </si>
  <si>
    <t>R&amp;D eletrônico</t>
  </si>
  <si>
    <t>Início - 0h30m</t>
  </si>
  <si>
    <t>R&amp;D aerodinâmico</t>
  </si>
  <si>
    <t>0h30m - 1h</t>
  </si>
  <si>
    <t>1h - 1h30m</t>
  </si>
  <si>
    <t>Peso(kg)</t>
  </si>
  <si>
    <t>Cord. de pit</t>
  </si>
  <si>
    <t>1h30min - 2h</t>
  </si>
  <si>
    <t>Idade</t>
  </si>
  <si>
    <t>Pessoal e Instalações</t>
  </si>
  <si>
    <t xml:space="preserve">                                                                                                                              </t>
  </si>
  <si>
    <t xml:space="preserve">  </t>
  </si>
  <si>
    <t>Energia</t>
  </si>
  <si>
    <t>Tolerância a Pressão</t>
  </si>
  <si>
    <t>Avançado</t>
  </si>
  <si>
    <t>Cálculos de fator de configuração</t>
  </si>
  <si>
    <t>Zona de Satisfação (ZS)</t>
  </si>
  <si>
    <t>Corte de Asas</t>
  </si>
  <si>
    <t>Setup</t>
  </si>
  <si>
    <t>Sess</t>
  </si>
  <si>
    <t>Base da Pista</t>
  </si>
  <si>
    <t>Setups</t>
  </si>
  <si>
    <t>Generic</t>
  </si>
  <si>
    <t>TD</t>
  </si>
  <si>
    <t>Asas</t>
  </si>
  <si>
    <t>Guia Prático</t>
  </si>
  <si>
    <t>Determina a configuração final quando as configurações perfeitas são diferentes</t>
  </si>
  <si>
    <t>Q1 setup Sobrepor</t>
  </si>
  <si>
    <t>Determ. Val. de Base de Acompanham.</t>
  </si>
  <si>
    <t>Baixa</t>
  </si>
  <si>
    <t>Satisfeito</t>
  </si>
  <si>
    <t>Proxim.</t>
  </si>
  <si>
    <t>Peça</t>
  </si>
  <si>
    <t>Treinos</t>
  </si>
  <si>
    <t>Happy</t>
  </si>
  <si>
    <t>Q1 setup</t>
  </si>
  <si>
    <t>Q1-Q2</t>
  </si>
  <si>
    <t>Q2 setup</t>
  </si>
  <si>
    <t>Q2-Corrid.</t>
  </si>
  <si>
    <t>Q1 Setup</t>
  </si>
  <si>
    <t>My Base</t>
  </si>
  <si>
    <t>Diff.</t>
  </si>
  <si>
    <t>+13wetfctr</t>
  </si>
  <si>
    <t>AD+AT/2</t>
  </si>
  <si>
    <t>C.A Base</t>
  </si>
  <si>
    <t>Custom WS?</t>
  </si>
  <si>
    <t>No</t>
  </si>
  <si>
    <t>use previsto se vazio</t>
  </si>
  <si>
    <t>calculates?</t>
  </si>
  <si>
    <t>if calc then right?</t>
  </si>
  <si>
    <t>Determina a divisão de asa personalizada nas 3 voltas de treino finais</t>
  </si>
  <si>
    <t>A.D+A.T.</t>
  </si>
  <si>
    <t>Formula</t>
  </si>
  <si>
    <t>Denom</t>
  </si>
  <si>
    <t>AD</t>
  </si>
  <si>
    <t>FW-RW pred</t>
  </si>
  <si>
    <t>pred filled</t>
  </si>
  <si>
    <t>Predetermined Study Laps</t>
  </si>
  <si>
    <t>A</t>
  </si>
  <si>
    <t>AT</t>
  </si>
  <si>
    <t>WS input</t>
  </si>
  <si>
    <t>0+1</t>
  </si>
  <si>
    <t>FW–RW</t>
  </si>
  <si>
    <t>Time (s)</t>
  </si>
  <si>
    <t>FW</t>
  </si>
  <si>
    <t>RF</t>
  </si>
  <si>
    <t>B</t>
  </si>
  <si>
    <t>AD-AT</t>
  </si>
  <si>
    <t>1+1</t>
  </si>
  <si>
    <t>C</t>
  </si>
  <si>
    <t>custom check sum</t>
  </si>
  <si>
    <t>XV</t>
  </si>
  <si>
    <t>custom filled</t>
  </si>
  <si>
    <t>YV</t>
  </si>
  <si>
    <t>Opções da corrida</t>
  </si>
  <si>
    <t>Determina o melhor pneu com base em CTD, Tempo de Pit, Cargas de combustível e CT</t>
  </si>
  <si>
    <t>Determina o gasto de energia da corrida</t>
  </si>
  <si>
    <t>Rookie</t>
  </si>
  <si>
    <t>Amador</t>
  </si>
  <si>
    <t>Pro</t>
  </si>
  <si>
    <t>Master</t>
  </si>
  <si>
    <t>Desgas. do pneu</t>
  </si>
  <si>
    <t>(em que ponto os pneus devem ser substituídos)</t>
  </si>
  <si>
    <t>Fator Ene. (%)</t>
  </si>
  <si>
    <t>Pista/Categoria</t>
  </si>
  <si>
    <t>Final corrida</t>
  </si>
  <si>
    <t>Marca</t>
  </si>
  <si>
    <t>Yokomama</t>
  </si>
  <si>
    <t>Composto</t>
  </si>
  <si>
    <t>Req. Stops</t>
  </si>
  <si>
    <t>Forçar Pits</t>
  </si>
  <si>
    <t>Forçar CT</t>
  </si>
  <si>
    <t>Pits</t>
  </si>
  <si>
    <t>Fuel Load</t>
  </si>
  <si>
    <t>TCD</t>
  </si>
  <si>
    <t>Final Calc</t>
  </si>
  <si>
    <t>Tyre Wear</t>
  </si>
  <si>
    <t>Rookie x</t>
  </si>
  <si>
    <t>Tipo</t>
  </si>
  <si>
    <t>Soft</t>
  </si>
  <si>
    <t>Extra Soft</t>
  </si>
  <si>
    <t>Yes</t>
  </si>
  <si>
    <t>Amador x</t>
  </si>
  <si>
    <t>Pitstops</t>
  </si>
  <si>
    <t>Pró x</t>
  </si>
  <si>
    <t>Medium</t>
  </si>
  <si>
    <t>Master x</t>
  </si>
  <si>
    <t>DON’T</t>
  </si>
  <si>
    <t>CHANGE</t>
  </si>
  <si>
    <t>THESE</t>
  </si>
  <si>
    <t>Cálculos pneus e combustível</t>
  </si>
  <si>
    <t>Hard</t>
  </si>
  <si>
    <t>Total Comb.</t>
  </si>
  <si>
    <t>Rain</t>
  </si>
  <si>
    <t>L/km</t>
  </si>
  <si>
    <t>Km/L</t>
  </si>
  <si>
    <t>Max. Km</t>
  </si>
  <si>
    <t>Voltas</t>
  </si>
  <si>
    <t>Stints pré defin.</t>
  </si>
  <si>
    <t>Stint1</t>
  </si>
  <si>
    <t>Stint2</t>
  </si>
  <si>
    <t>Stint3</t>
  </si>
  <si>
    <t>Stint4</t>
  </si>
  <si>
    <t>Stint5</t>
  </si>
  <si>
    <t>Stint6</t>
  </si>
  <si>
    <t>Stint7</t>
  </si>
  <si>
    <t>Stint8</t>
  </si>
  <si>
    <t>Combustível de uma volta:</t>
  </si>
  <si>
    <t>litros</t>
  </si>
  <si>
    <t>Pneus</t>
  </si>
  <si>
    <t>Combust. Para 1 boost:</t>
  </si>
  <si>
    <t>Desg. final do pneu</t>
  </si>
  <si>
    <t>Combustível extra, apenas:</t>
  </si>
  <si>
    <t>Dados da Corrida</t>
  </si>
  <si>
    <t>Comb. Necessário</t>
  </si>
  <si>
    <t>Est. Tempo de Pit</t>
  </si>
  <si>
    <t>-</t>
  </si>
  <si>
    <t>Voltas em bad</t>
  </si>
  <si>
    <t>Voltas de Boost:</t>
  </si>
  <si>
    <t>Custom Stints</t>
  </si>
  <si>
    <t>Pit I/O</t>
  </si>
  <si>
    <t>Volta</t>
  </si>
  <si>
    <t>Stint #</t>
  </si>
  <si>
    <t>Votas</t>
  </si>
  <si>
    <t>Dividir?</t>
  </si>
  <si>
    <t>Track factor</t>
  </si>
  <si>
    <t>Stints personal.</t>
  </si>
  <si>
    <t>Boost 1</t>
  </si>
  <si>
    <t>Boost 2</t>
  </si>
  <si>
    <t>Boost 3</t>
  </si>
  <si>
    <t>Stint</t>
  </si>
  <si>
    <t>Nível de aderência</t>
  </si>
  <si>
    <t>Boosts</t>
  </si>
  <si>
    <t>Combust.</t>
  </si>
  <si>
    <t>Testar</t>
  </si>
  <si>
    <t>Nº Voltas</t>
  </si>
  <si>
    <t>Estimativa de desgaste de peças</t>
  </si>
  <si>
    <t>Est.desg.</t>
  </si>
  <si>
    <t>Desg. Teste</t>
  </si>
  <si>
    <t>Testes</t>
  </si>
  <si>
    <t>Antes corr.</t>
  </si>
  <si>
    <t>Após corr.</t>
  </si>
  <si>
    <t>Desgaste Total</t>
  </si>
  <si>
    <t>A1-Ring xxx</t>
  </si>
  <si>
    <t>Adelaide xxx</t>
  </si>
  <si>
    <t>Ahvenisto xxx</t>
  </si>
  <si>
    <t>Anderstorp xxxx</t>
  </si>
  <si>
    <t>Austin xxxx</t>
  </si>
  <si>
    <t>Avus xxx</t>
  </si>
  <si>
    <t>Baku City xxxx</t>
  </si>
  <si>
    <t>Barcelona xxx</t>
  </si>
  <si>
    <t>Brands Hatch xxxx</t>
  </si>
  <si>
    <t>Brasilia xxxx</t>
  </si>
  <si>
    <t>Bremgarten xxx</t>
  </si>
  <si>
    <t>Brno xxxx</t>
  </si>
  <si>
    <t>Bucharest Ring xxxx</t>
  </si>
  <si>
    <t>Buenos Aires xxx</t>
  </si>
  <si>
    <t>Fiorano xxxx</t>
  </si>
  <si>
    <t>Estoril xxx</t>
  </si>
  <si>
    <t>Fuji xxxx</t>
  </si>
  <si>
    <t>Grobnik xxx</t>
  </si>
  <si>
    <t>Hockenheim xxx</t>
  </si>
  <si>
    <t>Hungaroring xxx</t>
  </si>
  <si>
    <t>Imola xxxx</t>
  </si>
  <si>
    <t>Indianapolis Oval x</t>
  </si>
  <si>
    <t>Indianapolis xx</t>
  </si>
  <si>
    <t>Interlagos xxxx</t>
  </si>
  <si>
    <t>Irungattukottai xxx</t>
  </si>
  <si>
    <t>Istanbul xxxx</t>
  </si>
  <si>
    <t>Jerez xxxx</t>
  </si>
  <si>
    <t>Jyllands-Ringen xxx</t>
  </si>
  <si>
    <t>Kaunas xxxx</t>
  </si>
  <si>
    <t>Kyalami xxx</t>
  </si>
  <si>
    <t>Laguna Seca xxxx</t>
  </si>
  <si>
    <t>Magny Cours xxxx</t>
  </si>
  <si>
    <t>Melbourne xxxx</t>
  </si>
  <si>
    <t>Mexico City xxxx</t>
  </si>
  <si>
    <t>Monte Carlo xxx</t>
  </si>
  <si>
    <t>Montreal xxx</t>
  </si>
  <si>
    <t>Monza xxx</t>
  </si>
  <si>
    <t>Mugello xxx</t>
  </si>
  <si>
    <t>New Delhi xxxx</t>
  </si>
  <si>
    <t>Nurburgring xxxx</t>
  </si>
  <si>
    <t>Oesterreichring xxx</t>
  </si>
  <si>
    <t>Paul Ricard xxxx</t>
  </si>
  <si>
    <t>Portimao xxxx</t>
  </si>
  <si>
    <t>Poznan xxxx</t>
  </si>
  <si>
    <t>Rafaela Oval xx</t>
  </si>
  <si>
    <t>Sakhir xxx</t>
  </si>
  <si>
    <t>Sepang xxx</t>
  </si>
  <si>
    <t>Serres xxx</t>
  </si>
  <si>
    <t>Shanghai xxxx</t>
  </si>
  <si>
    <t>Silverstone xxxx</t>
  </si>
  <si>
    <t>Singapore xxx</t>
  </si>
  <si>
    <t>Slovakiaring xxxx</t>
  </si>
  <si>
    <t>Sochi xxxx</t>
  </si>
  <si>
    <t>Spa xxx</t>
  </si>
  <si>
    <t>Suzuka xxxx</t>
  </si>
  <si>
    <t>Valencia xxxx</t>
  </si>
  <si>
    <t>Yas Marina xxxx</t>
  </si>
  <si>
    <t>Zandvoort xxx</t>
  </si>
  <si>
    <t>Zolder xxx</t>
  </si>
  <si>
    <t>Jeddah x</t>
  </si>
  <si>
    <t>Setup Calculation - Weather Influence Table</t>
  </si>
  <si>
    <t>Season tracks</t>
  </si>
  <si>
    <t>Elite</t>
  </si>
  <si>
    <t>Common Factor</t>
  </si>
  <si>
    <t>Sem testes</t>
  </si>
  <si>
    <t>Offset</t>
  </si>
  <si>
    <t>Wings</t>
  </si>
  <si>
    <t>Engine</t>
  </si>
  <si>
    <t>Brakes</t>
  </si>
  <si>
    <t>Gear</t>
  </si>
  <si>
    <t>Suspsensions</t>
  </si>
  <si>
    <t>Setup Calculation – Car Influence Table</t>
  </si>
  <si>
    <t>Cha</t>
  </si>
  <si>
    <t>Eng</t>
  </si>
  <si>
    <t>F Wing</t>
  </si>
  <si>
    <t>R Wing</t>
  </si>
  <si>
    <t>Und</t>
  </si>
  <si>
    <t>Side</t>
  </si>
  <si>
    <t>Cool</t>
  </si>
  <si>
    <t>Brake</t>
  </si>
  <si>
    <t>Susp</t>
  </si>
  <si>
    <t>Elec</t>
  </si>
  <si>
    <t>Level</t>
  </si>
  <si>
    <t>Gearbox</t>
  </si>
  <si>
    <t>Suspension</t>
  </si>
  <si>
    <t>Wear</t>
  </si>
  <si>
    <t>Same</t>
  </si>
  <si>
    <t>Up</t>
  </si>
  <si>
    <t>Down</t>
  </si>
  <si>
    <t>Setup Calculation – Driver Influence Table</t>
  </si>
  <si>
    <t>Conc</t>
  </si>
  <si>
    <t>Tal</t>
  </si>
  <si>
    <t>Aggr</t>
  </si>
  <si>
    <t>Exp</t>
  </si>
  <si>
    <t>Weight</t>
  </si>
  <si>
    <t>Driver Overall Calculation</t>
  </si>
  <si>
    <t>Factor</t>
  </si>
  <si>
    <t>F*Att</t>
  </si>
  <si>
    <t>Concentration</t>
  </si>
  <si>
    <t>Talent</t>
  </si>
  <si>
    <t>Agressiveness</t>
  </si>
  <si>
    <t>Experience</t>
  </si>
  <si>
    <t>Technical insight</t>
  </si>
  <si>
    <t>Stamina</t>
  </si>
  <si>
    <t>Charisma</t>
  </si>
  <si>
    <t>Motivation</t>
  </si>
  <si>
    <t xml:space="preserve">OA </t>
  </si>
  <si>
    <t>Fuel Calculation – Using method 2</t>
  </si>
  <si>
    <t>Agg</t>
  </si>
  <si>
    <t>TI</t>
  </si>
  <si>
    <t>Eng lvl</t>
  </si>
  <si>
    <t>Elec lvl</t>
  </si>
  <si>
    <t>Factors</t>
  </si>
  <si>
    <t>Tyre Wear Calculation</t>
  </si>
  <si>
    <t>Type</t>
  </si>
  <si>
    <t>max km</t>
  </si>
  <si>
    <t>Tyre Diff</t>
  </si>
  <si>
    <t>Pipirelli</t>
  </si>
  <si>
    <t>Avonn</t>
  </si>
  <si>
    <t>Dunnolop</t>
  </si>
  <si>
    <t>Contimental</t>
  </si>
  <si>
    <t>Badyear</t>
  </si>
  <si>
    <t>Hancock</t>
  </si>
  <si>
    <t>Michelini</t>
  </si>
  <si>
    <t>Bridgerock</t>
  </si>
  <si>
    <t>Very high</t>
  </si>
  <si>
    <t>Selected Track</t>
  </si>
  <si>
    <t>High</t>
  </si>
  <si>
    <t>Track Wear</t>
  </si>
  <si>
    <t>Low</t>
  </si>
  <si>
    <t>Very low</t>
  </si>
  <si>
    <t>Base Wear</t>
  </si>
  <si>
    <t>Trk Wear</t>
  </si>
  <si>
    <t>AvgT</t>
  </si>
  <si>
    <t>T Dur</t>
  </si>
  <si>
    <t>T Type</t>
  </si>
  <si>
    <t>Weig</t>
  </si>
  <si>
    <t>Values</t>
  </si>
  <si>
    <t>Factors^Val</t>
  </si>
  <si>
    <t>Race Pit Stop Calculation</t>
  </si>
  <si>
    <t>Lap Calcs</t>
  </si>
  <si>
    <t>Parts Wear Calculation</t>
  </si>
  <si>
    <t>Lvl</t>
  </si>
  <si>
    <t>CT Risk Factors / Lvl</t>
  </si>
  <si>
    <t>Pit Stop Estimated Refuel Time</t>
  </si>
  <si>
    <t>No TD</t>
  </si>
  <si>
    <t>Using TD?</t>
  </si>
  <si>
    <t>Fuel Tanked</t>
  </si>
  <si>
    <t>Staff Concentration</t>
  </si>
  <si>
    <t>Staff Stress Handling</t>
  </si>
  <si>
    <t>TD Experience</t>
  </si>
  <si>
    <t>TD Pit Coordination</t>
  </si>
  <si>
    <t>Base Pitstop</t>
  </si>
  <si>
    <t>Change in CCP for Parts</t>
  </si>
  <si>
    <t>Target</t>
  </si>
  <si>
    <t>Chassis</t>
  </si>
  <si>
    <t>Front Wing</t>
  </si>
  <si>
    <t>Rear Wing</t>
  </si>
  <si>
    <t>Cost</t>
  </si>
  <si>
    <t>p</t>
  </si>
  <si>
    <t>h</t>
  </si>
  <si>
    <t>a</t>
  </si>
  <si>
    <t>P</t>
  </si>
  <si>
    <t>H</t>
  </si>
  <si>
    <t>Underbody</t>
  </si>
  <si>
    <t>Sidepods</t>
  </si>
  <si>
    <t>Cooling</t>
  </si>
  <si>
    <t>Breaks</t>
  </si>
  <si>
    <t>Electronics</t>
  </si>
  <si>
    <t>Finances</t>
  </si>
  <si>
    <t>Level 1</t>
  </si>
  <si>
    <t>Level 2</t>
  </si>
  <si>
    <t>Level 3</t>
  </si>
  <si>
    <t>Level 4</t>
  </si>
  <si>
    <t>Level 5</t>
  </si>
  <si>
    <t>Level 6</t>
  </si>
  <si>
    <t>Level 7</t>
  </si>
  <si>
    <t>Level 8</t>
  </si>
  <si>
    <t>Level 9</t>
  </si>
  <si>
    <t>Position</t>
  </si>
  <si>
    <t>Qualifying</t>
  </si>
  <si>
    <t>No Cup</t>
  </si>
  <si>
    <t>Did not start</t>
  </si>
  <si>
    <t>Not Top 10</t>
  </si>
  <si>
    <t>Yes - Elite</t>
  </si>
  <si>
    <t>Elite 1</t>
  </si>
  <si>
    <t>Yes - Mast</t>
  </si>
  <si>
    <t>Elite 2</t>
  </si>
  <si>
    <t>Yes - Pro</t>
  </si>
  <si>
    <t>Elite 3</t>
  </si>
  <si>
    <t>Yes - Ama</t>
  </si>
  <si>
    <t>Elite 4</t>
  </si>
  <si>
    <t>Yes - Rook</t>
  </si>
  <si>
    <t>Elite 5</t>
  </si>
  <si>
    <t>Amateur</t>
  </si>
  <si>
    <t>Elite 6</t>
  </si>
  <si>
    <t>None</t>
  </si>
  <si>
    <t>Elite 7</t>
  </si>
  <si>
    <t>Fitness</t>
  </si>
  <si>
    <t>Elite 8</t>
  </si>
  <si>
    <t>Yoga</t>
  </si>
  <si>
    <t>Elite 9</t>
  </si>
  <si>
    <t>Elite 10</t>
  </si>
  <si>
    <t>Elite 11</t>
  </si>
  <si>
    <t>Master 1</t>
  </si>
  <si>
    <t>Nose</t>
  </si>
  <si>
    <t>Elite 12</t>
  </si>
  <si>
    <t>Master 2</t>
  </si>
  <si>
    <t>Ninja</t>
  </si>
  <si>
    <t>Elite 13</t>
  </si>
  <si>
    <t>Master 3</t>
  </si>
  <si>
    <t>Elite 14</t>
  </si>
  <si>
    <t>Master 4</t>
  </si>
  <si>
    <t>Repeat</t>
  </si>
  <si>
    <t>No Offer</t>
  </si>
  <si>
    <t>Elite 15</t>
  </si>
  <si>
    <t>Master 5</t>
  </si>
  <si>
    <t>Public</t>
  </si>
  <si>
    <t>Elite 16</t>
  </si>
  <si>
    <t>Master 6</t>
  </si>
  <si>
    <t>No Change</t>
  </si>
  <si>
    <t>Semi-pri.</t>
  </si>
  <si>
    <t>Elite 17</t>
  </si>
  <si>
    <t>Master 7</t>
  </si>
  <si>
    <t>Downgrade</t>
  </si>
  <si>
    <t>Private</t>
  </si>
  <si>
    <t>Elite 18</t>
  </si>
  <si>
    <t>Master 8</t>
  </si>
  <si>
    <t>Elite 19</t>
  </si>
  <si>
    <t>Master 9</t>
  </si>
  <si>
    <t>Elite 20</t>
  </si>
  <si>
    <t>Master 10</t>
  </si>
  <si>
    <t>Elite 21</t>
  </si>
  <si>
    <t>Pro 1</t>
  </si>
  <si>
    <t>Elite 22</t>
  </si>
  <si>
    <t>Pro 2</t>
  </si>
  <si>
    <t>Elite 23</t>
  </si>
  <si>
    <t>Pro 3</t>
  </si>
  <si>
    <t>Elite 24</t>
  </si>
  <si>
    <t>Pro 4</t>
  </si>
  <si>
    <t>Elite 25</t>
  </si>
  <si>
    <t>Pro 5</t>
  </si>
  <si>
    <t>Elite 26</t>
  </si>
  <si>
    <t>Pro 6</t>
  </si>
  <si>
    <t>Elite 27</t>
  </si>
  <si>
    <t>Pro 7</t>
  </si>
  <si>
    <t>Elite 28</t>
  </si>
  <si>
    <t>Pro 8</t>
  </si>
  <si>
    <t>Elite 29</t>
  </si>
  <si>
    <t>Pro 9</t>
  </si>
  <si>
    <t>Elite 30</t>
  </si>
  <si>
    <t>Pro 10</t>
  </si>
  <si>
    <t>Stress Ha..</t>
  </si>
  <si>
    <t>Elite 31</t>
  </si>
  <si>
    <t>Amateur 1</t>
  </si>
  <si>
    <t>Concent..</t>
  </si>
  <si>
    <t>Elite 32</t>
  </si>
  <si>
    <t>Amateur 2</t>
  </si>
  <si>
    <t>Efficiency</t>
  </si>
  <si>
    <t>Elite 33</t>
  </si>
  <si>
    <t>Amateur 3</t>
  </si>
  <si>
    <t>Elite 34</t>
  </si>
  <si>
    <t>Amateur 4</t>
  </si>
  <si>
    <t>1 - No Bonus</t>
  </si>
  <si>
    <t>Elite 35</t>
  </si>
  <si>
    <t>Amateur 5</t>
  </si>
  <si>
    <t>1 - Win</t>
  </si>
  <si>
    <t>Elite 36</t>
  </si>
  <si>
    <t>Amateur 6</t>
  </si>
  <si>
    <t>1 - Podium</t>
  </si>
  <si>
    <t>Elite 37</t>
  </si>
  <si>
    <t>Amateur 7</t>
  </si>
  <si>
    <t>1 - Points</t>
  </si>
  <si>
    <t>Elite 38</t>
  </si>
  <si>
    <t>Amateur 8</t>
  </si>
  <si>
    <t>2 - No Bonus</t>
  </si>
  <si>
    <t>Elite 39</t>
  </si>
  <si>
    <t>Amateur 9</t>
  </si>
  <si>
    <t>2 - Win</t>
  </si>
  <si>
    <t>Elite 40</t>
  </si>
  <si>
    <t>Amateur 10</t>
  </si>
  <si>
    <t>Yes - 1</t>
  </si>
  <si>
    <t>2 - Podium</t>
  </si>
  <si>
    <t>Rookie 1</t>
  </si>
  <si>
    <t>Yes - 2</t>
  </si>
  <si>
    <t>2 - Points</t>
  </si>
  <si>
    <t>Rookie 2</t>
  </si>
  <si>
    <t>Rookie 3</t>
  </si>
  <si>
    <t>Rookie 4</t>
  </si>
  <si>
    <t>Rookie 5</t>
  </si>
  <si>
    <t>Rookie 6</t>
  </si>
  <si>
    <t>Favourite</t>
  </si>
  <si>
    <t>Ok</t>
  </si>
  <si>
    <t>Far too High</t>
  </si>
  <si>
    <t>Rookie 7</t>
  </si>
  <si>
    <t>Popular</t>
  </si>
  <si>
    <t>A bit more</t>
  </si>
  <si>
    <t>Too High</t>
  </si>
  <si>
    <t>Rookie 8</t>
  </si>
  <si>
    <t>Liked</t>
  </si>
  <si>
    <t>Too low</t>
  </si>
  <si>
    <t>OK</t>
  </si>
  <si>
    <t>Rookie 9</t>
  </si>
  <si>
    <t>Not Popular</t>
  </si>
  <si>
    <t>Unacceptable</t>
  </si>
  <si>
    <t>A bit Low</t>
  </si>
  <si>
    <t>Rookie 10</t>
  </si>
  <si>
    <t>Hated</t>
  </si>
  <si>
    <t>Far too Low</t>
  </si>
  <si>
    <t>Master 11</t>
  </si>
  <si>
    <t>Master 12</t>
  </si>
  <si>
    <t>Master 13</t>
  </si>
  <si>
    <t>Master 14</t>
  </si>
  <si>
    <t>Master 15</t>
  </si>
  <si>
    <t>V High</t>
  </si>
  <si>
    <t>Champion</t>
  </si>
  <si>
    <t>Master 16</t>
  </si>
  <si>
    <t>Promotion</t>
  </si>
  <si>
    <t>Master 17</t>
  </si>
  <si>
    <t>Mid Table</t>
  </si>
  <si>
    <t>Master 18</t>
  </si>
  <si>
    <t>Low Table</t>
  </si>
  <si>
    <t>Master 19</t>
  </si>
  <si>
    <t>V Low</t>
  </si>
  <si>
    <t>Relegation</t>
  </si>
  <si>
    <t>Master 20</t>
  </si>
  <si>
    <t>Master 21</t>
  </si>
  <si>
    <t>Master 22</t>
  </si>
  <si>
    <t>Master 23</t>
  </si>
  <si>
    <t>Master 24</t>
  </si>
  <si>
    <t>Master 25</t>
  </si>
  <si>
    <t>Master 26</t>
  </si>
  <si>
    <t>Master 27</t>
  </si>
  <si>
    <t>Master 28</t>
  </si>
  <si>
    <t>Master 29</t>
  </si>
  <si>
    <t>Master 30</t>
  </si>
  <si>
    <t>Master 31</t>
  </si>
  <si>
    <t>Master 32</t>
  </si>
  <si>
    <t>Master 33</t>
  </si>
  <si>
    <t>Master 34</t>
  </si>
  <si>
    <t>Master 35</t>
  </si>
  <si>
    <t>Master 36</t>
  </si>
  <si>
    <t>Master 37</t>
  </si>
  <si>
    <t>Master 38</t>
  </si>
  <si>
    <t>Master 39</t>
  </si>
  <si>
    <t>Master 40</t>
  </si>
  <si>
    <t>Pro 11</t>
  </si>
  <si>
    <t>Pro 12</t>
  </si>
  <si>
    <t>Pro 13</t>
  </si>
  <si>
    <t>Pro 14</t>
  </si>
  <si>
    <t>Pro 15</t>
  </si>
  <si>
    <t>Pro 16</t>
  </si>
  <si>
    <t>Pro 17</t>
  </si>
  <si>
    <t>Pro 18</t>
  </si>
  <si>
    <t>Pro 19</t>
  </si>
  <si>
    <t>Pro 20</t>
  </si>
  <si>
    <t>Pro 21</t>
  </si>
  <si>
    <t>Pro 22</t>
  </si>
  <si>
    <t>Pro 23</t>
  </si>
  <si>
    <t>Pro 24</t>
  </si>
  <si>
    <t>Pro 25</t>
  </si>
  <si>
    <t>Pro 26</t>
  </si>
  <si>
    <t>Pro 27</t>
  </si>
  <si>
    <t>Pro 28</t>
  </si>
  <si>
    <t>Pro 29</t>
  </si>
  <si>
    <t>Pro 30</t>
  </si>
  <si>
    <t>Pro 31</t>
  </si>
  <si>
    <t>Pro 32</t>
  </si>
  <si>
    <t>Pro 33</t>
  </si>
  <si>
    <t>Pro 34</t>
  </si>
  <si>
    <t>Pro 35</t>
  </si>
  <si>
    <t>Pro 36</t>
  </si>
  <si>
    <t>Pro 37</t>
  </si>
  <si>
    <t>Pro 38</t>
  </si>
  <si>
    <t>Pro 39</t>
  </si>
  <si>
    <t>Pro 40</t>
  </si>
  <si>
    <t>Amateur 11</t>
  </si>
  <si>
    <t>Amateur 12</t>
  </si>
  <si>
    <t>Amateur 13</t>
  </si>
  <si>
    <t>Amateur 14</t>
  </si>
  <si>
    <t>Amateur 15</t>
  </si>
  <si>
    <t>Amateur 16</t>
  </si>
  <si>
    <t>Amateur 17</t>
  </si>
  <si>
    <t>Amateur 18</t>
  </si>
  <si>
    <t>Amateur 19</t>
  </si>
  <si>
    <t>Amateur 20</t>
  </si>
  <si>
    <t>Amateur 21</t>
  </si>
  <si>
    <t>Amateur 22</t>
  </si>
  <si>
    <t>Amateur 23</t>
  </si>
  <si>
    <t>Amateur 24</t>
  </si>
  <si>
    <t>Amateur 25</t>
  </si>
  <si>
    <t>Amateur 26</t>
  </si>
  <si>
    <t>Amateur 27</t>
  </si>
  <si>
    <t>Amateur 28</t>
  </si>
  <si>
    <t>Amateur 29</t>
  </si>
  <si>
    <t>Amateur 30</t>
  </si>
  <si>
    <t>Amateur 31</t>
  </si>
  <si>
    <t>Amateur 32</t>
  </si>
  <si>
    <t>Amateur 33</t>
  </si>
  <si>
    <t>Amateur 34</t>
  </si>
  <si>
    <t>Amateur 35</t>
  </si>
  <si>
    <t>Amateur 36</t>
  </si>
  <si>
    <t>Amateur 37</t>
  </si>
  <si>
    <t>Amateur 38</t>
  </si>
  <si>
    <t>Amateur 39</t>
  </si>
  <si>
    <t>Amateur 40</t>
  </si>
  <si>
    <t>Rookie 11</t>
  </si>
  <si>
    <t>Rookie 12</t>
  </si>
  <si>
    <t>Rookie 13</t>
  </si>
  <si>
    <t>Rookie 14</t>
  </si>
  <si>
    <t>Rookie 15</t>
  </si>
  <si>
    <t>Rookie 16</t>
  </si>
  <si>
    <t>Rookie 17</t>
  </si>
  <si>
    <t>Rookie 18</t>
  </si>
  <si>
    <t>Rookie 19</t>
  </si>
  <si>
    <t>Rookie 20</t>
  </si>
  <si>
    <t>Rookie 21</t>
  </si>
  <si>
    <t>Rookie 22</t>
  </si>
  <si>
    <t>Rookie 23</t>
  </si>
  <si>
    <t>Rookie 24</t>
  </si>
  <si>
    <t>Rookie 25</t>
  </si>
  <si>
    <t>Rookie 26</t>
  </si>
  <si>
    <t>Rookie 27</t>
  </si>
  <si>
    <t>Rookie 28</t>
  </si>
  <si>
    <t>Rookie 29</t>
  </si>
  <si>
    <t>Rookie 30</t>
  </si>
  <si>
    <t>Rookie 31</t>
  </si>
  <si>
    <t>Rookie 32</t>
  </si>
  <si>
    <t>Rookie 33</t>
  </si>
  <si>
    <t>Rookie 34</t>
  </si>
  <si>
    <t>Rookie 35</t>
  </si>
  <si>
    <t>Rookie 36</t>
  </si>
  <si>
    <t>Rookie 37</t>
  </si>
  <si>
    <t>Rookie 38</t>
  </si>
  <si>
    <t>Rookie 39</t>
  </si>
  <si>
    <t>Rookie 40</t>
  </si>
  <si>
    <t>Track List</t>
  </si>
  <si>
    <t>Track Details Table</t>
  </si>
  <si>
    <t>Track Base Setup</t>
  </si>
  <si>
    <t>WS Base</t>
  </si>
  <si>
    <t>Fuel 2 Base</t>
  </si>
  <si>
    <t>Tyre Base</t>
  </si>
  <si>
    <t>Parts Wear Base</t>
  </si>
  <si>
    <t>CTR</t>
  </si>
  <si>
    <t>Name</t>
  </si>
  <si>
    <t>Overtaking</t>
  </si>
  <si>
    <t>Fuel (5)</t>
  </si>
  <si>
    <t>Lap Length</t>
  </si>
  <si>
    <t>Laps</t>
  </si>
  <si>
    <t>Distance</t>
  </si>
  <si>
    <t>P (10)</t>
  </si>
  <si>
    <t>Avg. Speed</t>
  </si>
  <si>
    <t>Corners (15)</t>
  </si>
  <si>
    <t>Grip</t>
  </si>
  <si>
    <t>Wings (19)</t>
  </si>
  <si>
    <t>WS (25)</t>
  </si>
  <si>
    <t>L/km (27)</t>
  </si>
  <si>
    <t>L/km (wet)</t>
  </si>
  <si>
    <t>Cha (32)</t>
  </si>
  <si>
    <t>RW</t>
  </si>
  <si>
    <t>UndB</t>
  </si>
  <si>
    <t>SidP</t>
  </si>
  <si>
    <t>Coo</t>
  </si>
  <si>
    <t>GeaB</t>
  </si>
  <si>
    <t>Bra</t>
  </si>
  <si>
    <t>Sus</t>
  </si>
  <si>
    <t>Ele</t>
  </si>
  <si>
    <t>Easy</t>
  </si>
  <si>
    <t>Very hard</t>
  </si>
  <si>
    <t>SEASON 81</t>
  </si>
  <si>
    <t xml:space="preserve">Driver: </t>
  </si>
  <si>
    <t>T</t>
  </si>
  <si>
    <t>Aggressiveness</t>
  </si>
  <si>
    <t>Reputation</t>
  </si>
  <si>
    <t>Weight(kg)</t>
  </si>
  <si>
    <t>Age</t>
  </si>
  <si>
    <t>Training</t>
  </si>
  <si>
    <t>Testing</t>
  </si>
  <si>
    <t>E</t>
  </si>
  <si>
    <r>
      <rPr>
        <b/>
        <u/>
        <sz val="9"/>
        <rFont val="Arial"/>
        <family val="2"/>
        <charset val="1"/>
      </rPr>
      <t>Driver training</t>
    </r>
    <r>
      <rPr>
        <b/>
        <sz val="9"/>
        <rFont val="Arial"/>
        <family val="2"/>
        <charset val="1"/>
      </rPr>
      <t xml:space="preserve"> </t>
    </r>
    <r>
      <rPr>
        <sz val="9"/>
        <rFont val="Arial"/>
        <family val="2"/>
        <charset val="1"/>
      </rPr>
      <t>(before race)</t>
    </r>
  </si>
  <si>
    <t>PR Training</t>
  </si>
  <si>
    <t>Tech Training</t>
  </si>
  <si>
    <t>Ninja class</t>
  </si>
  <si>
    <t>Stamina +2</t>
  </si>
  <si>
    <t>Concentration +4 / +6</t>
  </si>
  <si>
    <t>Charisma +5 / +7</t>
  </si>
  <si>
    <t>Technical Insight +5</t>
  </si>
  <si>
    <t>Agressivness +2 / +7</t>
  </si>
  <si>
    <t>Weight -1</t>
  </si>
  <si>
    <t>Stamina -2</t>
  </si>
  <si>
    <t>Concentration -3</t>
  </si>
  <si>
    <t>Motivation + / - (age)</t>
  </si>
  <si>
    <t>Concentration +1 / +2</t>
  </si>
  <si>
    <t>Motivation -5 / -10</t>
  </si>
  <si>
    <t>Agressivness -2</t>
  </si>
  <si>
    <t>Motivation +5 / + 10</t>
  </si>
  <si>
    <t>Helpful advice</t>
  </si>
  <si>
    <t>Before the race is complete, enter any driver skill changes. Usually from driver training (above).</t>
  </si>
  <si>
    <t>After the race is complete, enter any driver skill changes. Usually; Stamina, Experience, Technical insight, Motivation, etc.</t>
  </si>
  <si>
    <t xml:space="preserve">A total of the before and after driver skill changes once race is complete, this is automatically calculated. </t>
  </si>
  <si>
    <t>Estimation/Evaluation. Used to change the final total. Use to predict what the OA will be if you like.</t>
  </si>
  <si>
    <r>
      <rPr>
        <b/>
        <u/>
        <sz val="9"/>
        <color rgb="FF000000"/>
        <rFont val="Arial"/>
        <family val="2"/>
        <charset val="1"/>
      </rPr>
      <t>Driver changes</t>
    </r>
    <r>
      <rPr>
        <sz val="9"/>
        <color rgb="FF000000"/>
        <rFont val="Arial"/>
        <family val="2"/>
        <charset val="1"/>
      </rPr>
      <t xml:space="preserve"> (after the race)</t>
    </r>
  </si>
  <si>
    <t>Stamina 0 - 40</t>
  </si>
  <si>
    <t>Stamina 41 - 90</t>
  </si>
  <si>
    <t>Stamina 91 - 110</t>
  </si>
  <si>
    <t>Stamina 111 - 130</t>
  </si>
  <si>
    <t>Stamina 131 - higher</t>
  </si>
  <si>
    <t>Change:               Stamina</t>
  </si>
  <si>
    <t>Per 100 laps               +4 / +6</t>
  </si>
  <si>
    <t>Per 100 laps                 +3 / +5</t>
  </si>
  <si>
    <t>Per 100 laps                     +3</t>
  </si>
  <si>
    <t>Per 100 laps                  +2</t>
  </si>
  <si>
    <t>Per 200 laps
+1</t>
  </si>
  <si>
    <t>Position in race</t>
  </si>
  <si>
    <t>1st - 5th</t>
  </si>
  <si>
    <t>6th - 15th</t>
  </si>
  <si>
    <t>16th - 25th</t>
  </si>
  <si>
    <t>26th - 35th</t>
  </si>
  <si>
    <t>36th - 40th</t>
  </si>
  <si>
    <t>Change: Aggressiveness</t>
  </si>
  <si>
    <t>+1</t>
  </si>
  <si>
    <t>+2</t>
  </si>
  <si>
    <t>After the race</t>
  </si>
  <si>
    <t>Technical Insight</t>
  </si>
  <si>
    <t>Only Race:                        Race &amp; testing:</t>
  </si>
  <si>
    <t>+1                                    0 / +2</t>
  </si>
  <si>
    <t>0 / +1                                         +1 / +2</t>
  </si>
  <si>
    <t>After four races      + 1</t>
  </si>
  <si>
    <t>Start</t>
  </si>
  <si>
    <t>End</t>
  </si>
  <si>
    <t>Action</t>
  </si>
  <si>
    <t>After</t>
  </si>
  <si>
    <t>Coluna1</t>
  </si>
  <si>
    <t>Finanças</t>
  </si>
  <si>
    <t>Informação de negociação</t>
  </si>
  <si>
    <t>Resposta</t>
  </si>
  <si>
    <t>Expectativas</t>
  </si>
  <si>
    <t>Em qual área do carro nosso anúncio seria colocado?</t>
  </si>
  <si>
    <t>Paciencia</t>
  </si>
  <si>
    <t>O que você espera alcançar na próxima temporada?</t>
  </si>
  <si>
    <t>Quão popular é o seu piloto com os fãs?</t>
  </si>
  <si>
    <t>Imagem</t>
  </si>
  <si>
    <t>O que você acha do valor por corrida que propomos?</t>
  </si>
  <si>
    <t>Negociação</t>
  </si>
  <si>
    <t>O que você acha da duração do contrato que propusemos?</t>
  </si>
  <si>
    <t>Progres. da negociação</t>
  </si>
  <si>
    <t>Diferença em andamento</t>
  </si>
  <si>
    <t>Progresso médio</t>
  </si>
  <si>
    <t>Não toque nas caixas abaixo</t>
  </si>
  <si>
    <t>Expectations</t>
  </si>
  <si>
    <t>Popularity</t>
  </si>
  <si>
    <t>Amount</t>
  </si>
  <si>
    <t>Duration</t>
  </si>
  <si>
    <t>Area</t>
  </si>
  <si>
    <t>Relegar com dinheiro</t>
  </si>
  <si>
    <t>Meu piloto é odiado pelos fãs</t>
  </si>
  <si>
    <t>Posição baixa na tabela</t>
  </si>
  <si>
    <t>Piloto não é muito popular com os fãs</t>
  </si>
  <si>
    <t>Um pouco baixo</t>
  </si>
  <si>
    <t>Bico/Laterais</t>
  </si>
  <si>
    <t>Posição meio da tabela</t>
  </si>
  <si>
    <t>Promoção / top 4</t>
  </si>
  <si>
    <t>Meu motorista é apreciado pelos fãs</t>
  </si>
  <si>
    <t>Muito baixo</t>
  </si>
  <si>
    <t>Tampa do Motor</t>
  </si>
  <si>
    <t>Championship win (Elite)</t>
  </si>
  <si>
    <t>Meu Piloto é um dos favoritos dos fãs</t>
  </si>
  <si>
    <t>Inaceitável</t>
  </si>
  <si>
    <t>Margem</t>
  </si>
  <si>
    <t>Asa Diant.</t>
  </si>
  <si>
    <t>Asa Tras.</t>
  </si>
  <si>
    <t>Não largou</t>
  </si>
  <si>
    <t>Fast lap</t>
  </si>
  <si>
    <t>Fast Lap</t>
  </si>
  <si>
    <t>Custo peças</t>
  </si>
  <si>
    <t>Teste</t>
  </si>
  <si>
    <t>Fator desgas. pista teste</t>
  </si>
  <si>
    <t>(+ou-)</t>
  </si>
  <si>
    <t>Gerentes Negociando</t>
  </si>
  <si>
    <t>Patrocinador 1</t>
  </si>
  <si>
    <t>Patrocinador 2</t>
  </si>
  <si>
    <t>Patrocinador 3</t>
  </si>
  <si>
    <t>Patrocinador 4</t>
  </si>
  <si>
    <t>Patrocinador 5</t>
  </si>
  <si>
    <t>Patrocinador 6</t>
  </si>
  <si>
    <t>Progresso do(s) adversário(s)</t>
  </si>
  <si>
    <t>2Down</t>
  </si>
  <si>
    <t>Tyre</t>
  </si>
  <si>
    <t>Confiança</t>
  </si>
  <si>
    <t>Fuel</t>
  </si>
  <si>
    <t>Conf.</t>
  </si>
  <si>
    <t>Margem Confiab. Desgaste do Pneu/Comb.</t>
  </si>
  <si>
    <t>Miami x</t>
  </si>
  <si>
    <t>DESGASTE DO MOTOR COM BOOST</t>
  </si>
  <si>
    <t>Motor com Boost</t>
  </si>
  <si>
    <t>Motor Final</t>
  </si>
  <si>
    <t>CCPs (Só para informação)</t>
  </si>
  <si>
    <t>Caracteristicas</t>
  </si>
  <si>
    <t>P. Teste</t>
  </si>
  <si>
    <t>Pista de Teste</t>
  </si>
  <si>
    <t>Fator P. teste</t>
  </si>
  <si>
    <t>Fator Teste</t>
  </si>
  <si>
    <t>Chuva</t>
  </si>
  <si>
    <t>CTR (Corrida)</t>
  </si>
  <si>
    <t>CTR (Volta)</t>
  </si>
  <si>
    <t>Seco</t>
  </si>
  <si>
    <t>Misto</t>
  </si>
  <si>
    <t>75% Dry</t>
  </si>
  <si>
    <t>Misto 50%</t>
  </si>
  <si>
    <t>Configuração do Clima Misto</t>
  </si>
  <si>
    <t>Salário do Piloto</t>
  </si>
  <si>
    <t>Tipo de treinamento</t>
  </si>
  <si>
    <t>Tolerância à pressão:</t>
  </si>
  <si>
    <t>Concentração:</t>
  </si>
  <si>
    <t>Eficiência:</t>
  </si>
  <si>
    <t>Treino do Piloto</t>
  </si>
  <si>
    <t>Sem Treino</t>
  </si>
  <si>
    <t>Físico</t>
  </si>
  <si>
    <t>Spa</t>
  </si>
  <si>
    <t>Treino R.P.</t>
  </si>
  <si>
    <t>Técnico</t>
  </si>
  <si>
    <t>Psic. Esport.</t>
  </si>
  <si>
    <t>75% Wet</t>
  </si>
  <si>
    <t>Não</t>
  </si>
  <si>
    <t>Patrocinadores</t>
  </si>
  <si>
    <t>Voltas de Testes + Q1/Q2</t>
  </si>
  <si>
    <t>Custos</t>
  </si>
  <si>
    <t>Q1/Q2</t>
  </si>
  <si>
    <t>Você irá correr com setup 75% seco.</t>
  </si>
  <si>
    <t>Sál. Piloto + Pneus</t>
  </si>
  <si>
    <t>Voltas treinos+Q1/Q2</t>
  </si>
  <si>
    <t>Treino do Pessoal</t>
  </si>
  <si>
    <t>Salário de Pessoal</t>
  </si>
  <si>
    <t>Upgrade Instalações</t>
  </si>
  <si>
    <t>Salário Dir. Técnico</t>
  </si>
  <si>
    <t>Posição de Largada</t>
  </si>
  <si>
    <t>Posição de chegada</t>
  </si>
  <si>
    <t>Finanças Inicial</t>
  </si>
  <si>
    <t>Sem D.T.</t>
  </si>
  <si>
    <t>Manut. Instalações</t>
  </si>
  <si>
    <t>Class. Na Copa</t>
  </si>
  <si>
    <t>Não Disponível</t>
  </si>
  <si>
    <t>Salário do D.T.</t>
  </si>
  <si>
    <t>Corrida 1</t>
  </si>
  <si>
    <t>Corrida 2</t>
  </si>
  <si>
    <t>Corrida 3</t>
  </si>
  <si>
    <t>Corrida 4</t>
  </si>
  <si>
    <t>Corrida 5</t>
  </si>
  <si>
    <t>Corrida 6</t>
  </si>
  <si>
    <t>Corrida 7</t>
  </si>
  <si>
    <t>Corrida 8</t>
  </si>
  <si>
    <t>Corrida 9</t>
  </si>
  <si>
    <t>Corrida 10</t>
  </si>
  <si>
    <t>Corrida 11</t>
  </si>
  <si>
    <t>Corrida 12</t>
  </si>
  <si>
    <t>Corrida 13</t>
  </si>
  <si>
    <t>Corrida 14</t>
  </si>
  <si>
    <t>Corrida 15</t>
  </si>
  <si>
    <t>Corrida 16</t>
  </si>
  <si>
    <t>Corrida 17</t>
  </si>
  <si>
    <t>Fornec. De Pneus</t>
  </si>
  <si>
    <t>Finanças Inicial $</t>
  </si>
  <si>
    <t>Pista de Testes</t>
  </si>
  <si>
    <t>Sem treino</t>
  </si>
  <si>
    <t>VISA</t>
  </si>
  <si>
    <t>John&amp;John</t>
  </si>
  <si>
    <t>Bank of Americans</t>
  </si>
  <si>
    <t>Gillate</t>
  </si>
  <si>
    <t>Você esta com testes</t>
  </si>
  <si>
    <t>Super Macio</t>
  </si>
  <si>
    <t>Macio</t>
  </si>
  <si>
    <t>Médio</t>
  </si>
  <si>
    <t>Duro</t>
  </si>
  <si>
    <t>NãoTestar</t>
  </si>
  <si>
    <t>Você irá correr com setup à 50% seco e 50% chuva.</t>
  </si>
  <si>
    <t>Você irá correr com setup 75% chuva.</t>
  </si>
  <si>
    <t>Domcast</t>
  </si>
  <si>
    <t>Finanças Final $</t>
  </si>
  <si>
    <t>very high</t>
  </si>
  <si>
    <t>Very Easy</t>
  </si>
  <si>
    <t>Losail</t>
  </si>
  <si>
    <t>Las Vegas</t>
  </si>
  <si>
    <t>TEMPORADA</t>
  </si>
  <si>
    <t/>
  </si>
  <si>
    <t>Fator fixo</t>
  </si>
  <si>
    <t>Add. (=/-)</t>
  </si>
  <si>
    <t>&amp;</t>
  </si>
  <si>
    <t xml:space="preserve">Fuel </t>
  </si>
  <si>
    <t>Tyre Dry</t>
  </si>
  <si>
    <t>Tyre Wet</t>
  </si>
  <si>
    <t xml:space="preserve">A1-Ring </t>
  </si>
  <si>
    <t>Adelaide</t>
  </si>
  <si>
    <t>Ahvenisto</t>
  </si>
  <si>
    <t>Anderstorp</t>
  </si>
  <si>
    <t>Austin</t>
  </si>
  <si>
    <t>Avus</t>
  </si>
  <si>
    <t>Baku City</t>
  </si>
  <si>
    <t>Barcelona</t>
  </si>
  <si>
    <t>Brands Hatch</t>
  </si>
  <si>
    <t>Brasilia</t>
  </si>
  <si>
    <t>Bremgarten</t>
  </si>
  <si>
    <t>Brno</t>
  </si>
  <si>
    <t>Bucharest Ring</t>
  </si>
  <si>
    <t>Buenos Aires</t>
  </si>
  <si>
    <t>Fiorano</t>
  </si>
  <si>
    <t>Estoril</t>
  </si>
  <si>
    <t>Fuji</t>
  </si>
  <si>
    <t>Grobnik</t>
  </si>
  <si>
    <t>Hockenheim</t>
  </si>
  <si>
    <t>Hungaroring</t>
  </si>
  <si>
    <t>Imola</t>
  </si>
  <si>
    <t>Indianapolis Oval</t>
  </si>
  <si>
    <t>Indianapolis</t>
  </si>
  <si>
    <t>Interlagos</t>
  </si>
  <si>
    <t>Irungattukottai</t>
  </si>
  <si>
    <t>Istanbul</t>
  </si>
  <si>
    <t>Jerez</t>
  </si>
  <si>
    <t>Jyllands-Ringen</t>
  </si>
  <si>
    <t>Kaunas</t>
  </si>
  <si>
    <t>Kyalami</t>
  </si>
  <si>
    <t>Laguna Seca</t>
  </si>
  <si>
    <t>Magny Cours</t>
  </si>
  <si>
    <t>Melbourne</t>
  </si>
  <si>
    <t>Mexico City</t>
  </si>
  <si>
    <t>Monte Carlo</t>
  </si>
  <si>
    <t>Montreal</t>
  </si>
  <si>
    <t>Monza</t>
  </si>
  <si>
    <t>Mugello</t>
  </si>
  <si>
    <t>New Delhi</t>
  </si>
  <si>
    <t>Nurburgring</t>
  </si>
  <si>
    <t>Oesterreichring</t>
  </si>
  <si>
    <t>Paul Ricard</t>
  </si>
  <si>
    <t>Portimao</t>
  </si>
  <si>
    <t>Poznan</t>
  </si>
  <si>
    <t>Rafaela Oval</t>
  </si>
  <si>
    <t>Sakhir</t>
  </si>
  <si>
    <t>Sepang</t>
  </si>
  <si>
    <t>Serres</t>
  </si>
  <si>
    <t>Shanghai</t>
  </si>
  <si>
    <t>Silverstone</t>
  </si>
  <si>
    <t>Singapore</t>
  </si>
  <si>
    <t>Slovakiaring</t>
  </si>
  <si>
    <t>Sochi</t>
  </si>
  <si>
    <t>Suzuka</t>
  </si>
  <si>
    <t>Valencia</t>
  </si>
  <si>
    <t>Yas Marina</t>
  </si>
  <si>
    <t>Yeongam</t>
  </si>
  <si>
    <t>Zandvoort</t>
  </si>
  <si>
    <t>Zolder</t>
  </si>
  <si>
    <t>Jeddah</t>
  </si>
  <si>
    <t>Miami</t>
  </si>
  <si>
    <t>Em qual área do carro nossa propaganda será colocada?</t>
  </si>
  <si>
    <t>Desgaste</t>
  </si>
  <si>
    <t>Estratégias</t>
  </si>
  <si>
    <t>A (Brand)</t>
  </si>
  <si>
    <t>B (RainCol)</t>
  </si>
  <si>
    <t>C (DryCol)</t>
  </si>
  <si>
    <t>D (Range)</t>
  </si>
  <si>
    <t>BC</t>
  </si>
  <si>
    <t>BJ</t>
  </si>
  <si>
    <t>BQ</t>
  </si>
  <si>
    <t>BX</t>
  </si>
  <si>
    <t>CE</t>
  </si>
  <si>
    <t>CL</t>
  </si>
  <si>
    <t>CS</t>
  </si>
  <si>
    <t>CZ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</si>
</sst>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R$&quot;\ #,##0;\-&quot;R$&quot;\ #,##0"/>
    <numFmt numFmtId="44" formatCode="_-&quot;R$&quot;\ * #,##0.00_-;\-&quot;R$&quot;\ * #,##0.00_-;_-&quot;R$&quot;\ * &quot;-&quot;??_-;_-@_-"/>
    <numFmt numFmtId="164" formatCode="_-* #,##0.00_-;\-* #,##0.00_-;_-* \-??_-;_-@_-"/>
    <numFmt numFmtId="165" formatCode="_-\$* #,##0.00_-;&quot;-$&quot;* #,##0.00_-;_-\$* \-??_-;_-@_-"/>
    <numFmt numFmtId="166" formatCode="0.000"/>
    <numFmt numFmtId="167" formatCode="0.0000"/>
    <numFmt numFmtId="168" formatCode="0.0"/>
    <numFmt numFmtId="169" formatCode="0.0000000"/>
    <numFmt numFmtId="170" formatCode="0&quot; %&quot;"/>
    <numFmt numFmtId="171" formatCode="0.00&quot; s&quot;"/>
    <numFmt numFmtId="172" formatCode="0.0&quot; %&quot;"/>
    <numFmt numFmtId="173" formatCode="0.00000"/>
    <numFmt numFmtId="174" formatCode="0&quot; L&quot;"/>
    <numFmt numFmtId="175" formatCode="0.0&quot; s&quot;"/>
    <numFmt numFmtId="176" formatCode="0.0%"/>
    <numFmt numFmtId="177" formatCode="0.000000000"/>
    <numFmt numFmtId="178" formatCode="[$$-409]#,##0_ ;\-[$$-409]#,##0\ "/>
    <numFmt numFmtId="179" formatCode="[$$-540A]#,##0_ ;\-[$$-540A]#,##0\ "/>
    <numFmt numFmtId="180" formatCode="_-\$* #,##0_-;&quot;-$&quot;* #,##0_-;_-\$* \-??_-;_-@_-"/>
    <numFmt numFmtId="181" formatCode="&quot;R$&quot;\ #,##0"/>
    <numFmt numFmtId="182" formatCode="0.000&quot; s&quot;"/>
    <numFmt numFmtId="183" formatCode="0;[Red]0"/>
  </numFmts>
  <fonts count="11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238"/>
    </font>
    <font>
      <sz val="11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0"/>
      <name val="Arial"/>
      <family val="2"/>
      <charset val="238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14"/>
      <name val="Arial"/>
      <family val="2"/>
      <charset val="1"/>
    </font>
    <font>
      <sz val="8"/>
      <color rgb="FFFF0000"/>
      <name val="Arial"/>
      <family val="2"/>
      <charset val="1"/>
    </font>
    <font>
      <b/>
      <sz val="8"/>
      <name val="Arial"/>
      <family val="2"/>
      <charset val="1"/>
    </font>
    <font>
      <b/>
      <sz val="7.5"/>
      <name val="Arial"/>
      <family val="2"/>
      <charset val="238"/>
    </font>
    <font>
      <b/>
      <sz val="9"/>
      <name val="Arial"/>
      <family val="2"/>
      <charset val="238"/>
    </font>
    <font>
      <b/>
      <sz val="8"/>
      <name val="Arial"/>
      <family val="2"/>
      <charset val="238"/>
    </font>
    <font>
      <b/>
      <sz val="7"/>
      <name val="Arial"/>
      <family val="2"/>
      <charset val="238"/>
    </font>
    <font>
      <sz val="8"/>
      <color rgb="FF595959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238"/>
    </font>
    <font>
      <sz val="6"/>
      <color rgb="FFFF0000"/>
      <name val="Arial"/>
      <family val="2"/>
      <charset val="1"/>
    </font>
    <font>
      <sz val="6"/>
      <color rgb="FFF2F2F2"/>
      <name val="Arial"/>
      <family val="2"/>
      <charset val="1"/>
    </font>
    <font>
      <sz val="8"/>
      <color rgb="FF808080"/>
      <name val="Arial"/>
      <family val="2"/>
      <charset val="1"/>
    </font>
    <font>
      <sz val="8"/>
      <color rgb="FFF2F2F2"/>
      <name val="Arial"/>
      <family val="2"/>
      <charset val="1"/>
    </font>
    <font>
      <sz val="6"/>
      <name val="Arial"/>
      <family val="2"/>
      <charset val="1"/>
    </font>
    <font>
      <sz val="8"/>
      <color rgb="FF000000"/>
      <name val="Calibri Light"/>
      <family val="2"/>
      <charset val="1"/>
    </font>
    <font>
      <sz val="9"/>
      <color rgb="FF000000"/>
      <name val="Segoe UI"/>
      <family val="2"/>
      <charset val="1"/>
    </font>
    <font>
      <b/>
      <sz val="10"/>
      <name val="Arial"/>
      <family val="2"/>
      <charset val="1"/>
    </font>
    <font>
      <b/>
      <sz val="11"/>
      <name val="Arial"/>
      <family val="2"/>
      <charset val="1"/>
    </font>
    <font>
      <sz val="9"/>
      <name val="Arial"/>
      <family val="2"/>
      <charset val="1"/>
    </font>
    <font>
      <b/>
      <sz val="9"/>
      <color rgb="FFFFFFFF"/>
      <name val="Arial"/>
      <family val="2"/>
      <charset val="238"/>
    </font>
    <font>
      <sz val="8"/>
      <color rgb="FFFFFFFF"/>
      <name val="Arial"/>
      <family val="2"/>
      <charset val="1"/>
    </font>
    <font>
      <b/>
      <sz val="11"/>
      <name val="Arial"/>
      <family val="2"/>
      <charset val="238"/>
    </font>
    <font>
      <b/>
      <sz val="10"/>
      <color rgb="FFFF0000"/>
      <name val="Arial"/>
      <family val="2"/>
      <charset val="1"/>
    </font>
    <font>
      <sz val="8"/>
      <name val="Arial Black"/>
      <family val="2"/>
      <charset val="1"/>
    </font>
    <font>
      <b/>
      <sz val="9"/>
      <name val="Arial"/>
      <family val="2"/>
      <charset val="1"/>
    </font>
    <font>
      <sz val="11"/>
      <name val="Arial"/>
      <family val="2"/>
      <charset val="1"/>
    </font>
    <font>
      <sz val="7"/>
      <name val="Arial"/>
      <family val="2"/>
      <charset val="1"/>
    </font>
    <font>
      <b/>
      <sz val="8"/>
      <color rgb="FF548235"/>
      <name val="Arial"/>
      <family val="2"/>
      <charset val="1"/>
    </font>
    <font>
      <b/>
      <sz val="8"/>
      <color rgb="FFFF0000"/>
      <name val="Arial"/>
      <family val="2"/>
      <charset val="1"/>
    </font>
    <font>
      <b/>
      <sz val="9"/>
      <color rgb="FFFF0000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  <charset val="204"/>
    </font>
    <font>
      <sz val="10"/>
      <color rgb="FF808080"/>
      <name val="Arial"/>
      <family val="2"/>
      <charset val="1"/>
    </font>
    <font>
      <sz val="10"/>
      <color rgb="FF666699"/>
      <name val="Arial"/>
      <family val="2"/>
      <charset val="1"/>
    </font>
    <font>
      <b/>
      <sz val="6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sz val="9"/>
      <color rgb="FFFF6600"/>
      <name val="Arial"/>
      <family val="2"/>
      <charset val="1"/>
    </font>
    <font>
      <b/>
      <sz val="8"/>
      <color rgb="FF000000"/>
      <name val="Tahoma"/>
      <family val="2"/>
      <charset val="1"/>
    </font>
    <font>
      <sz val="9"/>
      <color rgb="FF00B0F0"/>
      <name val="Arial"/>
      <family val="2"/>
      <charset val="1"/>
    </font>
    <font>
      <sz val="9"/>
      <color rgb="FFFF0000"/>
      <name val="Arial"/>
      <family val="2"/>
      <charset val="1"/>
    </font>
    <font>
      <sz val="9"/>
      <color rgb="FF538DD5"/>
      <name val="Arial"/>
      <family val="2"/>
      <charset val="1"/>
    </font>
    <font>
      <b/>
      <u/>
      <sz val="9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b/>
      <u/>
      <sz val="9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name val="Verdana"/>
      <family val="2"/>
      <charset val="1"/>
    </font>
    <font>
      <sz val="10"/>
      <name val="Verdana"/>
      <family val="2"/>
      <charset val="1"/>
    </font>
    <font>
      <b/>
      <sz val="10"/>
      <color rgb="FFFFFF00"/>
      <name val="Verdana"/>
      <family val="2"/>
      <charset val="1"/>
    </font>
    <font>
      <sz val="28"/>
      <name val="Arial"/>
      <family val="2"/>
      <charset val="1"/>
    </font>
    <font>
      <sz val="8"/>
      <name val="Verdana"/>
      <family val="2"/>
      <charset val="1"/>
    </font>
    <font>
      <b/>
      <sz val="8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10"/>
      <name val="Arial"/>
      <family val="2"/>
    </font>
    <font>
      <b/>
      <sz val="8"/>
      <name val="Arial"/>
      <family val="2"/>
    </font>
    <font>
      <sz val="8"/>
      <color rgb="FF000000"/>
      <name val="Calibri"/>
      <family val="2"/>
    </font>
    <font>
      <sz val="8"/>
      <color rgb="FF333333"/>
      <name val="Arial"/>
      <family val="2"/>
      <charset val="1"/>
    </font>
    <font>
      <b/>
      <sz val="9"/>
      <name val="Arial"/>
      <family val="2"/>
    </font>
    <font>
      <sz val="9"/>
      <name val="Arial"/>
      <family val="2"/>
    </font>
    <font>
      <b/>
      <sz val="6"/>
      <name val="Arial"/>
      <family val="2"/>
    </font>
    <font>
      <b/>
      <sz val="7"/>
      <color rgb="FFFF4E00"/>
      <name val="Arial"/>
      <family val="2"/>
    </font>
    <font>
      <b/>
      <sz val="10"/>
      <color theme="7" tint="0.39997558519241921"/>
      <name val="Verdana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7"/>
      <name val="Arial"/>
      <family val="2"/>
    </font>
    <font>
      <b/>
      <sz val="11"/>
      <color rgb="FF000000"/>
      <name val="Calibri"/>
      <family val="2"/>
    </font>
    <font>
      <sz val="8"/>
      <name val="Arial"/>
      <family val="2"/>
    </font>
    <font>
      <b/>
      <sz val="8"/>
      <color rgb="FF000000"/>
      <name val="Calibri"/>
      <family val="2"/>
    </font>
    <font>
      <b/>
      <sz val="8"/>
      <color theme="1"/>
      <name val="Arial"/>
      <family val="2"/>
    </font>
    <font>
      <b/>
      <sz val="6"/>
      <name val="Arial"/>
      <family val="2"/>
      <charset val="1"/>
    </font>
    <font>
      <b/>
      <sz val="7"/>
      <name val="Arial"/>
      <family val="2"/>
      <charset val="1"/>
    </font>
    <font>
      <b/>
      <sz val="11"/>
      <name val="Arial"/>
      <family val="2"/>
    </font>
    <font>
      <sz val="8"/>
      <color rgb="FF000000"/>
      <name val="Arial"/>
      <family val="2"/>
    </font>
    <font>
      <u/>
      <sz val="11"/>
      <color theme="10"/>
      <name val="Calibri"/>
      <family val="2"/>
      <charset val="1"/>
    </font>
    <font>
      <b/>
      <sz val="18"/>
      <color theme="0"/>
      <name val="Algerian"/>
      <family val="5"/>
    </font>
    <font>
      <b/>
      <sz val="22"/>
      <color theme="0"/>
      <name val="Algerian"/>
      <family val="5"/>
    </font>
    <font>
      <b/>
      <sz val="14"/>
      <color theme="0"/>
      <name val="Algerian"/>
      <family val="5"/>
    </font>
    <font>
      <b/>
      <sz val="11"/>
      <color theme="0"/>
      <name val="Algerian"/>
      <family val="5"/>
    </font>
    <font>
      <b/>
      <sz val="12"/>
      <color theme="0"/>
      <name val="Algerian"/>
      <family val="5"/>
    </font>
    <font>
      <b/>
      <sz val="16"/>
      <color theme="0"/>
      <name val="Algerian"/>
      <family val="5"/>
    </font>
    <font>
      <b/>
      <sz val="10"/>
      <color theme="0"/>
      <name val="Algerian"/>
      <family val="5"/>
    </font>
    <font>
      <b/>
      <sz val="9"/>
      <color rgb="FF000000"/>
      <name val="Arial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color rgb="FF000000"/>
      <name val="Calibri"/>
      <family val="2"/>
    </font>
    <font>
      <b/>
      <sz val="14"/>
      <color rgb="FF000000"/>
      <name val="Calibri"/>
      <family val="2"/>
    </font>
    <font>
      <b/>
      <sz val="16"/>
      <color rgb="FF000000"/>
      <name val="Calibri"/>
      <family val="2"/>
    </font>
    <font>
      <b/>
      <u/>
      <sz val="14"/>
      <color theme="0"/>
      <name val="Algerian"/>
      <family val="5"/>
    </font>
    <font>
      <sz val="16"/>
      <color theme="0"/>
      <name val="Algerian"/>
      <family val="5"/>
    </font>
    <font>
      <b/>
      <sz val="10"/>
      <color rgb="FFFF4E00"/>
      <name val="Footlight MT Light"/>
      <family val="1"/>
    </font>
    <font>
      <b/>
      <sz val="11"/>
      <name val="Calibri"/>
      <family val="2"/>
    </font>
    <font>
      <b/>
      <sz val="8"/>
      <name val="Bahnschrift Light SemiCondensed"/>
      <family val="2"/>
    </font>
    <font>
      <b/>
      <sz val="6"/>
      <name val="Bahnschrift SemiBold Condensed"/>
      <family val="2"/>
    </font>
    <font>
      <b/>
      <sz val="8"/>
      <name val="Bahnschrift SemiBold Condensed"/>
      <family val="2"/>
    </font>
    <font>
      <sz val="9"/>
      <color theme="1"/>
      <name val="Arial"/>
      <family val="2"/>
    </font>
    <font>
      <sz val="11"/>
      <color theme="1"/>
      <name val="Calibri"/>
      <family val="2"/>
    </font>
    <font>
      <b/>
      <sz val="9"/>
      <color theme="1"/>
      <name val="Arial"/>
      <family val="2"/>
    </font>
    <font>
      <sz val="8"/>
      <color theme="1"/>
      <name val="Arial"/>
      <family val="2"/>
    </font>
    <font>
      <b/>
      <sz val="11"/>
      <name val="Calibri"/>
      <family val="2"/>
      <charset val="1"/>
    </font>
    <font>
      <sz val="8"/>
      <color rgb="FF000000"/>
      <name val="Calibri"/>
      <family val="2"/>
      <charset val="1"/>
    </font>
    <font>
      <u/>
      <sz val="8"/>
      <name val="Arial"/>
      <family val="2"/>
      <charset val="1"/>
    </font>
  </fonts>
  <fills count="132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FFFF00"/>
        <bgColor rgb="FFFFED01"/>
      </patternFill>
    </fill>
    <fill>
      <patternFill patternType="solid">
        <fgColor rgb="FFEDEEED"/>
        <bgColor rgb="FFF2F2F2"/>
      </patternFill>
    </fill>
    <fill>
      <patternFill patternType="solid">
        <fgColor rgb="FFFFFF66"/>
        <bgColor rgb="FFFFFF99"/>
      </patternFill>
    </fill>
    <fill>
      <patternFill patternType="solid">
        <fgColor rgb="FFFFC000"/>
        <bgColor rgb="FFFFCC00"/>
      </patternFill>
    </fill>
    <fill>
      <patternFill patternType="solid">
        <fgColor rgb="FF9DC3E6"/>
        <bgColor rgb="FF99CCFF"/>
      </patternFill>
    </fill>
    <fill>
      <patternFill patternType="solid">
        <fgColor rgb="FF92D050"/>
        <bgColor rgb="FF92D04F"/>
      </patternFill>
    </fill>
    <fill>
      <patternFill patternType="solid">
        <fgColor rgb="FFF8CBAD"/>
        <bgColor rgb="FFFFCC99"/>
      </patternFill>
    </fill>
    <fill>
      <patternFill patternType="solid">
        <fgColor rgb="FFFBE5D6"/>
        <bgColor rgb="FFEDEEED"/>
      </patternFill>
    </fill>
    <fill>
      <patternFill patternType="solid">
        <fgColor rgb="FFF2F2F2"/>
        <bgColor rgb="FFEDEEED"/>
      </patternFill>
    </fill>
    <fill>
      <patternFill patternType="solid">
        <fgColor rgb="FFF4B183"/>
        <bgColor rgb="FFFFCC99"/>
      </patternFill>
    </fill>
    <fill>
      <patternFill patternType="solid">
        <fgColor rgb="FFED7D2D"/>
        <bgColor rgb="FFFF6C5C"/>
      </patternFill>
    </fill>
    <fill>
      <patternFill patternType="solid">
        <fgColor rgb="FFFFE699"/>
        <bgColor rgb="FFFFFF99"/>
      </patternFill>
    </fill>
    <fill>
      <patternFill patternType="solid">
        <fgColor rgb="FFFFFFA6"/>
        <bgColor rgb="FFFFFF99"/>
      </patternFill>
    </fill>
    <fill>
      <patternFill patternType="solid">
        <fgColor rgb="FFFFFF99"/>
        <bgColor rgb="FFFFFFA6"/>
      </patternFill>
    </fill>
    <fill>
      <patternFill patternType="solid">
        <fgColor rgb="FF92D04F"/>
        <bgColor rgb="FF92D050"/>
      </patternFill>
    </fill>
    <fill>
      <patternFill patternType="solid">
        <fgColor rgb="FF91AFDB"/>
        <bgColor rgb="FF9FABB1"/>
      </patternFill>
    </fill>
    <fill>
      <patternFill patternType="solid">
        <fgColor rgb="FFFF6C5C"/>
        <bgColor rgb="FFED7D2D"/>
      </patternFill>
    </fill>
    <fill>
      <patternFill patternType="solid">
        <fgColor rgb="FF00B0F0"/>
        <bgColor rgb="FF09CCF6"/>
      </patternFill>
    </fill>
    <fill>
      <patternFill patternType="darkGray">
        <fgColor rgb="FFAF8A00"/>
        <bgColor rgb="FF948400"/>
      </patternFill>
    </fill>
    <fill>
      <patternFill patternType="mediumGray">
        <fgColor rgb="FFFF9400"/>
        <bgColor rgb="FFED7D2D"/>
      </patternFill>
    </fill>
    <fill>
      <patternFill patternType="solid">
        <fgColor rgb="FFA0ABAA"/>
        <bgColor rgb="FF9FABB1"/>
      </patternFill>
    </fill>
    <fill>
      <patternFill patternType="solid">
        <fgColor rgb="FF01B04F"/>
        <bgColor rgb="FF00B050"/>
      </patternFill>
    </fill>
    <fill>
      <patternFill patternType="solid">
        <fgColor rgb="FFCCCCFF"/>
        <bgColor rgb="FFCFCFCF"/>
      </patternFill>
    </fill>
    <fill>
      <patternFill patternType="solid">
        <fgColor rgb="FFFF0000"/>
        <bgColor rgb="FF980000"/>
      </patternFill>
    </fill>
    <fill>
      <patternFill patternType="solid">
        <fgColor rgb="FF538DD5"/>
        <bgColor rgb="FF7096C8"/>
      </patternFill>
    </fill>
    <fill>
      <patternFill patternType="solid">
        <fgColor rgb="FF9FABB1"/>
        <bgColor rgb="FFA0ABAA"/>
      </patternFill>
    </fill>
    <fill>
      <patternFill patternType="mediumGray">
        <fgColor rgb="FFAF8A00"/>
        <bgColor rgb="FF948400"/>
      </patternFill>
    </fill>
    <fill>
      <patternFill patternType="solid">
        <fgColor rgb="FFFF9933"/>
        <bgColor rgb="FFFF9400"/>
      </patternFill>
    </fill>
    <fill>
      <patternFill patternType="solid">
        <fgColor rgb="FFC4E9BC"/>
        <bgColor rgb="FFDBDBDB"/>
      </patternFill>
    </fill>
    <fill>
      <patternFill patternType="darkGray">
        <fgColor rgb="FF980000"/>
        <bgColor rgb="FFFF0000"/>
      </patternFill>
    </fill>
    <fill>
      <patternFill patternType="mediumGray">
        <fgColor rgb="FFF4B183"/>
        <bgColor rgb="FFFFCC99"/>
      </patternFill>
    </fill>
    <fill>
      <patternFill patternType="solid">
        <fgColor rgb="FF99CCFF"/>
        <bgColor rgb="FF9DC3E6"/>
      </patternFill>
    </fill>
    <fill>
      <patternFill patternType="solid">
        <fgColor rgb="FF8C97A7"/>
        <bgColor rgb="FF9FABB1"/>
      </patternFill>
    </fill>
    <fill>
      <patternFill patternType="solid">
        <fgColor rgb="FFFF9400"/>
        <bgColor rgb="FFFF9933"/>
      </patternFill>
    </fill>
    <fill>
      <patternFill patternType="solid">
        <fgColor rgb="FFDBDBDB"/>
        <bgColor rgb="FFCFCFCF"/>
      </patternFill>
    </fill>
    <fill>
      <patternFill patternType="solid">
        <fgColor rgb="FFCAC9C9"/>
        <bgColor rgb="FFCFCFCF"/>
      </patternFill>
    </fill>
    <fill>
      <patternFill patternType="solid">
        <fgColor rgb="FF7F7F81"/>
        <bgColor rgb="FF8C97A7"/>
      </patternFill>
    </fill>
    <fill>
      <patternFill patternType="solid">
        <fgColor rgb="FFFFD966"/>
        <bgColor rgb="FFFFCC99"/>
      </patternFill>
    </fill>
    <fill>
      <patternFill patternType="solid">
        <fgColor rgb="FFC55A11"/>
        <bgColor rgb="FFC55A10"/>
      </patternFill>
    </fill>
    <fill>
      <patternFill patternType="solid">
        <fgColor rgb="FF09CCF6"/>
        <bgColor rgb="FF00B0F0"/>
      </patternFill>
    </fill>
    <fill>
      <patternFill patternType="darkGray">
        <fgColor rgb="FF8C97A7"/>
        <bgColor rgb="FF7096C8"/>
      </patternFill>
    </fill>
    <fill>
      <patternFill patternType="solid">
        <fgColor rgb="FFD2F381"/>
        <bgColor rgb="FFC4E9BC"/>
      </patternFill>
    </fill>
    <fill>
      <patternFill patternType="solid">
        <fgColor rgb="FFFFCC99"/>
        <bgColor rgb="FFF8CBAD"/>
      </patternFill>
    </fill>
    <fill>
      <patternFill patternType="solid">
        <fgColor rgb="FFCFCFCF"/>
        <bgColor rgb="FFCAC9C9"/>
      </patternFill>
    </fill>
    <fill>
      <patternFill patternType="solid">
        <fgColor rgb="FFFFED01"/>
        <bgColor rgb="FFFFFF00"/>
      </patternFill>
    </fill>
    <fill>
      <patternFill patternType="darkGray">
        <fgColor rgb="FFDBDBDB"/>
        <bgColor rgb="FFCFCFCF"/>
      </patternFill>
    </fill>
    <fill>
      <patternFill patternType="solid">
        <fgColor rgb="FFFFCC00"/>
        <bgColor rgb="FFFFC000"/>
      </patternFill>
    </fill>
    <fill>
      <patternFill patternType="solid">
        <fgColor rgb="FFAF8A00"/>
        <bgColor rgb="FFBF9000"/>
      </patternFill>
    </fill>
    <fill>
      <patternFill patternType="solid">
        <fgColor rgb="FFBF9000"/>
        <bgColor rgb="FFAF8A00"/>
      </patternFill>
    </fill>
    <fill>
      <patternFill patternType="solid">
        <fgColor rgb="FFFF6600"/>
        <bgColor rgb="FFFF4E00"/>
      </patternFill>
    </fill>
    <fill>
      <patternFill patternType="solid">
        <fgColor rgb="FFFFFF00"/>
        <bgColor rgb="FFCFCFCF"/>
      </patternFill>
    </fill>
    <fill>
      <patternFill patternType="solid">
        <fgColor theme="0"/>
        <bgColor rgb="FFFFCC99"/>
      </patternFill>
    </fill>
    <fill>
      <patternFill patternType="solid">
        <fgColor rgb="FFED7D2D"/>
        <bgColor rgb="FFCFCFCF"/>
      </patternFill>
    </fill>
    <fill>
      <patternFill patternType="solid">
        <fgColor rgb="FFFFFF00"/>
        <bgColor rgb="FFBF9000"/>
      </patternFill>
    </fill>
    <fill>
      <patternFill patternType="solid">
        <fgColor rgb="FFFFFF00"/>
        <bgColor rgb="FFC4E9BC"/>
      </patternFill>
    </fill>
    <fill>
      <patternFill patternType="solid">
        <fgColor rgb="FFED7D2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CCFF"/>
        <bgColor rgb="FFC0C0C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EDEEED"/>
      </patternFill>
    </fill>
    <fill>
      <patternFill patternType="solid">
        <fgColor theme="8"/>
        <bgColor rgb="FF1C6424"/>
      </patternFill>
    </fill>
    <fill>
      <patternFill patternType="solid">
        <fgColor theme="7" tint="0.59999389629810485"/>
        <bgColor rgb="FFFFCC99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0000"/>
        <bgColor rgb="FFCFCFCF"/>
      </patternFill>
    </fill>
    <fill>
      <patternFill patternType="solid">
        <fgColor rgb="FFF4B183"/>
        <bgColor rgb="FFEDEEED"/>
      </patternFill>
    </fill>
    <fill>
      <patternFill patternType="solid">
        <fgColor rgb="FFBF9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rgb="FFFF6C5C"/>
      </patternFill>
    </fill>
    <fill>
      <patternFill patternType="solid">
        <fgColor rgb="FFFFFF00"/>
        <bgColor rgb="FFEDEEED"/>
      </patternFill>
    </fill>
    <fill>
      <patternFill patternType="solid">
        <fgColor rgb="FF00B0F0"/>
        <bgColor rgb="FFEDEEED"/>
      </patternFill>
    </fill>
    <fill>
      <patternFill patternType="solid">
        <fgColor theme="8" tint="0.59999389629810485"/>
        <bgColor rgb="FF9FABB1"/>
      </patternFill>
    </fill>
    <fill>
      <patternFill patternType="darkGray">
        <fgColor rgb="FF7096C8"/>
        <bgColor theme="8" tint="0.59999389629810485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rgb="FF9FABB1"/>
      </patternFill>
    </fill>
    <fill>
      <patternFill patternType="solid">
        <fgColor rgb="FFED7D2D"/>
        <bgColor rgb="FFEDEEED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CCFF"/>
        <bgColor rgb="FF9FABB1"/>
      </patternFill>
    </fill>
    <fill>
      <patternFill patternType="solid">
        <fgColor theme="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8C97A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00"/>
        <bgColor rgb="FFFF6C5C"/>
      </patternFill>
    </fill>
    <fill>
      <patternFill patternType="solid">
        <fgColor rgb="FF5DF12F"/>
        <bgColor indexed="64"/>
      </patternFill>
    </fill>
    <fill>
      <patternFill patternType="solid">
        <fgColor rgb="FF78F42C"/>
        <bgColor indexed="64"/>
      </patternFill>
    </fill>
    <fill>
      <patternFill patternType="solid">
        <fgColor rgb="FFFFFF00"/>
        <bgColor rgb="FFFFFFA6"/>
      </patternFill>
    </fill>
    <fill>
      <patternFill patternType="solid">
        <fgColor theme="7" tint="-0.249977111117893"/>
        <bgColor rgb="FFFF6C5C"/>
      </patternFill>
    </fill>
    <fill>
      <patternFill patternType="solid">
        <fgColor theme="7" tint="-0.249977111117893"/>
        <bgColor rgb="FFFFED01"/>
      </patternFill>
    </fill>
    <fill>
      <patternFill patternType="solid">
        <fgColor theme="7" tint="-0.249977111117893"/>
        <bgColor rgb="FFBF9000"/>
      </patternFill>
    </fill>
    <fill>
      <patternFill patternType="solid">
        <fgColor rgb="FF00B0F0"/>
        <bgColor rgb="FFFFC000"/>
      </patternFill>
    </fill>
    <fill>
      <patternFill patternType="solid">
        <fgColor theme="7" tint="0.59999389629810485"/>
        <bgColor rgb="FFFFC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66"/>
        <bgColor rgb="FFFFFF66"/>
      </patternFill>
    </fill>
    <fill>
      <patternFill patternType="solid">
        <fgColor rgb="FFFF9933"/>
        <bgColor rgb="FFFF9933"/>
      </patternFill>
    </fill>
    <fill>
      <patternFill patternType="solid">
        <fgColor rgb="FFFF0000"/>
        <bgColor rgb="FFFF0000"/>
      </patternFill>
    </fill>
    <fill>
      <patternFill patternType="solid">
        <fgColor rgb="FFFFCC99"/>
        <bgColor rgb="FFFFCC99"/>
      </patternFill>
    </fill>
    <fill>
      <patternFill patternType="solid">
        <fgColor rgb="FFCCCCFF"/>
        <bgColor rgb="FFCCCCFF"/>
      </patternFill>
    </fill>
    <fill>
      <patternFill patternType="solid">
        <fgColor rgb="FF9FABB1"/>
        <bgColor rgb="FF9FABB1"/>
      </patternFill>
    </fill>
    <fill>
      <patternFill patternType="solid">
        <fgColor rgb="FFFFFFFF"/>
        <bgColor rgb="FFFFFFFF"/>
      </patternFill>
    </fill>
    <fill>
      <patternFill patternType="solid">
        <fgColor rgb="FFA0ABAA"/>
        <bgColor rgb="FFA0ABAA"/>
      </patternFill>
    </fill>
    <fill>
      <patternFill patternType="solid">
        <fgColor rgb="FFA6A5AA"/>
        <bgColor rgb="FFA6A5AA"/>
      </patternFill>
    </fill>
    <fill>
      <patternFill patternType="solid">
        <fgColor rgb="FFD2F381"/>
        <bgColor rgb="FFD2F381"/>
      </patternFill>
    </fill>
    <fill>
      <patternFill patternType="solid">
        <fgColor rgb="FFFF6699"/>
        <bgColor rgb="FFFF6699"/>
      </patternFill>
    </fill>
    <fill>
      <patternFill patternType="solid">
        <fgColor theme="5"/>
        <bgColor theme="5"/>
      </patternFill>
    </fill>
    <fill>
      <patternFill patternType="solid">
        <fgColor rgb="FF92D04F"/>
        <bgColor rgb="FF92D04F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CCCCFF"/>
      </patternFill>
    </fill>
    <fill>
      <patternFill patternType="solid">
        <fgColor theme="7" tint="0.79998168889431442"/>
        <bgColor rgb="FFCCCCFF"/>
      </patternFill>
    </fill>
    <fill>
      <patternFill patternType="solid">
        <fgColor rgb="FF09CCF6"/>
        <bgColor indexed="64"/>
      </patternFill>
    </fill>
    <fill>
      <patternFill patternType="solid">
        <fgColor rgb="FFFF6699"/>
        <bgColor rgb="FFFFCC00"/>
      </patternFill>
    </fill>
    <fill>
      <patternFill patternType="solid">
        <fgColor rgb="FF78F52B"/>
        <bgColor rgb="FFFF6699"/>
      </patternFill>
    </fill>
    <fill>
      <patternFill patternType="solid">
        <fgColor rgb="FF78F52B"/>
        <bgColor rgb="FFD2F381"/>
      </patternFill>
    </fill>
    <fill>
      <patternFill patternType="solid">
        <fgColor rgb="FF78F52B"/>
        <bgColor theme="5"/>
      </patternFill>
    </fill>
    <fill>
      <patternFill patternType="solid">
        <fgColor rgb="FF78F52B"/>
        <bgColor rgb="FF92D04F"/>
      </patternFill>
    </fill>
    <fill>
      <patternFill patternType="solid">
        <fgColor rgb="FF78F52B"/>
        <bgColor rgb="FFFFFF00"/>
      </patternFill>
    </fill>
    <fill>
      <patternFill patternType="solid">
        <fgColor rgb="FF78F52B"/>
        <bgColor rgb="FF00B0F0"/>
      </patternFill>
    </fill>
    <fill>
      <patternFill patternType="solid">
        <fgColor rgb="FF78F52B"/>
        <bgColor indexed="64"/>
      </patternFill>
    </fill>
    <fill>
      <patternFill patternType="solid">
        <fgColor rgb="FF78F52B"/>
        <bgColor rgb="FFC4E9BC"/>
      </patternFill>
    </fill>
    <fill>
      <patternFill patternType="solid">
        <fgColor rgb="FF00B050"/>
        <bgColor rgb="FFFFCC00"/>
      </patternFill>
    </fill>
    <fill>
      <patternFill patternType="solid">
        <fgColor theme="5" tint="0.59999389629810485"/>
        <bgColor rgb="FFFFCC99"/>
      </patternFill>
    </fill>
    <fill>
      <patternFill patternType="solid">
        <fgColor theme="5" tint="0.59999389629810485"/>
        <bgColor rgb="FFFFFF99"/>
      </patternFill>
    </fill>
    <fill>
      <patternFill patternType="solid">
        <fgColor theme="0" tint="-0.249977111117893"/>
        <bgColor indexed="64"/>
      </patternFill>
    </fill>
  </fills>
  <borders count="13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auto="1"/>
      </bottom>
      <diagonal/>
    </border>
    <border>
      <left style="double">
        <color rgb="FFFF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medium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hair">
        <color rgb="FF7F7F81"/>
      </right>
      <top style="thin">
        <color rgb="FF7F7F81"/>
      </top>
      <bottom style="hair">
        <color rgb="FF7F7F81"/>
      </bottom>
      <diagonal/>
    </border>
    <border>
      <left style="hair">
        <color rgb="FF7F7F81"/>
      </left>
      <right style="hair">
        <color rgb="FF7F7F81"/>
      </right>
      <top/>
      <bottom style="hair">
        <color rgb="FF7F7F81"/>
      </bottom>
      <diagonal/>
    </border>
    <border>
      <left style="hair">
        <color rgb="FF7F7F81"/>
      </left>
      <right style="thin">
        <color rgb="FF7F7F81"/>
      </right>
      <top/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thin">
        <color rgb="FF7F7F8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/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6">
    <xf numFmtId="0" fontId="0" fillId="0" borderId="0"/>
    <xf numFmtId="164" fontId="62" fillId="0" borderId="0" applyBorder="0" applyProtection="0"/>
    <xf numFmtId="165" fontId="62" fillId="0" borderId="0" applyBorder="0" applyProtection="0"/>
    <xf numFmtId="0" fontId="2" fillId="0" borderId="0"/>
    <xf numFmtId="0" fontId="62" fillId="0" borderId="0"/>
    <xf numFmtId="0" fontId="2" fillId="0" borderId="0"/>
    <xf numFmtId="0" fontId="3" fillId="0" borderId="0"/>
    <xf numFmtId="0" fontId="3" fillId="0" borderId="0"/>
    <xf numFmtId="0" fontId="4" fillId="0" borderId="0"/>
    <xf numFmtId="9" fontId="62" fillId="0" borderId="0" applyBorder="0" applyProtection="0"/>
    <xf numFmtId="164" fontId="62" fillId="0" borderId="0" applyBorder="0" applyProtection="0"/>
    <xf numFmtId="0" fontId="5" fillId="2" borderId="0" applyBorder="0" applyProtection="0"/>
    <xf numFmtId="0" fontId="2" fillId="0" borderId="0"/>
    <xf numFmtId="0" fontId="83" fillId="0" borderId="0" applyNumberFormat="0" applyFill="0" applyBorder="0" applyAlignment="0" applyProtection="0"/>
    <xf numFmtId="44" fontId="62" fillId="0" borderId="0" applyFont="0" applyFill="0" applyBorder="0" applyAlignment="0" applyProtection="0"/>
    <xf numFmtId="0" fontId="1" fillId="0" borderId="0"/>
  </cellStyleXfs>
  <cellXfs count="1162">
    <xf numFmtId="0" fontId="0" fillId="0" borderId="0" xfId="0"/>
    <xf numFmtId="0" fontId="2" fillId="0" borderId="0" xfId="5"/>
    <xf numFmtId="0" fontId="9" fillId="0" borderId="0" xfId="5" applyFont="1"/>
    <xf numFmtId="0" fontId="9" fillId="0" borderId="0" xfId="5" applyFont="1" applyAlignment="1">
      <alignment horizontal="center"/>
    </xf>
    <xf numFmtId="0" fontId="11" fillId="0" borderId="0" xfId="5" applyFont="1"/>
    <xf numFmtId="0" fontId="9" fillId="11" borderId="12" xfId="5" applyFont="1" applyFill="1" applyBorder="1"/>
    <xf numFmtId="0" fontId="9" fillId="11" borderId="0" xfId="5" applyFont="1" applyFill="1" applyAlignment="1">
      <alignment horizontal="center"/>
    </xf>
    <xf numFmtId="0" fontId="9" fillId="11" borderId="0" xfId="5" applyFont="1" applyFill="1"/>
    <xf numFmtId="0" fontId="9" fillId="11" borderId="13" xfId="5" applyFont="1" applyFill="1" applyBorder="1"/>
    <xf numFmtId="2" fontId="0" fillId="0" borderId="0" xfId="0" applyNumberFormat="1" applyAlignment="1">
      <alignment horizontal="center"/>
    </xf>
    <xf numFmtId="0" fontId="14" fillId="11" borderId="0" xfId="5" applyFont="1" applyFill="1" applyAlignment="1" applyProtection="1">
      <alignment vertical="center"/>
      <protection locked="0"/>
    </xf>
    <xf numFmtId="2" fontId="12" fillId="9" borderId="16" xfId="5" applyNumberFormat="1" applyFont="1" applyFill="1" applyBorder="1" applyAlignment="1" applyProtection="1">
      <alignment horizontal="center"/>
      <protection hidden="1"/>
    </xf>
    <xf numFmtId="0" fontId="15" fillId="13" borderId="11" xfId="5" applyFont="1" applyFill="1" applyBorder="1" applyAlignment="1" applyProtection="1">
      <alignment horizontal="center"/>
      <protection hidden="1"/>
    </xf>
    <xf numFmtId="0" fontId="9" fillId="13" borderId="11" xfId="5" applyFont="1" applyFill="1" applyBorder="1" applyAlignment="1" applyProtection="1">
      <alignment horizontal="center"/>
      <protection hidden="1"/>
    </xf>
    <xf numFmtId="0" fontId="15" fillId="13" borderId="19" xfId="5" applyFont="1" applyFill="1" applyBorder="1" applyAlignment="1" applyProtection="1">
      <alignment horizontal="center"/>
      <protection hidden="1"/>
    </xf>
    <xf numFmtId="0" fontId="15" fillId="13" borderId="19" xfId="5" applyFont="1" applyFill="1" applyBorder="1" applyAlignment="1" applyProtection="1">
      <alignment horizontal="center" vertical="center"/>
      <protection hidden="1"/>
    </xf>
    <xf numFmtId="0" fontId="9" fillId="13" borderId="20" xfId="5" applyFont="1" applyFill="1" applyBorder="1" applyAlignment="1" applyProtection="1">
      <alignment horizontal="center"/>
      <protection hidden="1"/>
    </xf>
    <xf numFmtId="0" fontId="9" fillId="14" borderId="22" xfId="5" applyFont="1" applyFill="1" applyBorder="1" applyAlignment="1" applyProtection="1">
      <alignment horizontal="center"/>
      <protection locked="0"/>
    </xf>
    <xf numFmtId="0" fontId="9" fillId="13" borderId="23" xfId="5" applyFont="1" applyFill="1" applyBorder="1" applyAlignment="1" applyProtection="1">
      <alignment horizontal="center"/>
      <protection hidden="1"/>
    </xf>
    <xf numFmtId="0" fontId="12" fillId="9" borderId="7" xfId="5" applyFont="1" applyFill="1" applyBorder="1" applyAlignment="1" applyProtection="1">
      <alignment horizontal="center"/>
      <protection hidden="1"/>
    </xf>
    <xf numFmtId="0" fontId="9" fillId="16" borderId="25" xfId="5" applyFont="1" applyFill="1" applyBorder="1" applyAlignment="1" applyProtection="1">
      <alignment horizontal="center"/>
      <protection locked="0"/>
    </xf>
    <xf numFmtId="0" fontId="9" fillId="13" borderId="26" xfId="5" applyFont="1" applyFill="1" applyBorder="1" applyAlignment="1" applyProtection="1">
      <alignment horizontal="center"/>
      <protection hidden="1"/>
    </xf>
    <xf numFmtId="0" fontId="9" fillId="13" borderId="18" xfId="5" applyFont="1" applyFill="1" applyBorder="1" applyAlignment="1" applyProtection="1">
      <alignment horizontal="center"/>
      <protection hidden="1"/>
    </xf>
    <xf numFmtId="0" fontId="12" fillId="17" borderId="25" xfId="5" applyFont="1" applyFill="1" applyBorder="1" applyAlignment="1" applyProtection="1">
      <alignment horizontal="center"/>
      <protection hidden="1"/>
    </xf>
    <xf numFmtId="0" fontId="9" fillId="13" borderId="27" xfId="5" applyFont="1" applyFill="1" applyBorder="1" applyAlignment="1" applyProtection="1">
      <alignment horizontal="center"/>
      <protection hidden="1"/>
    </xf>
    <xf numFmtId="0" fontId="9" fillId="14" borderId="28" xfId="5" applyFont="1" applyFill="1" applyBorder="1" applyAlignment="1" applyProtection="1">
      <alignment horizontal="center"/>
      <protection locked="0"/>
    </xf>
    <xf numFmtId="0" fontId="12" fillId="9" borderId="29" xfId="5" applyFont="1" applyFill="1" applyBorder="1" applyAlignment="1" applyProtection="1">
      <alignment horizontal="center"/>
      <protection hidden="1"/>
    </xf>
    <xf numFmtId="0" fontId="9" fillId="16" borderId="8" xfId="5" applyFont="1" applyFill="1" applyBorder="1" applyAlignment="1" applyProtection="1">
      <alignment horizontal="center"/>
      <protection locked="0"/>
    </xf>
    <xf numFmtId="0" fontId="12" fillId="12" borderId="30" xfId="5" applyFont="1" applyFill="1" applyBorder="1" applyAlignment="1" applyProtection="1">
      <alignment horizontal="center"/>
      <protection hidden="1"/>
    </xf>
    <xf numFmtId="0" fontId="12" fillId="17" borderId="8" xfId="5" applyFont="1" applyFill="1" applyBorder="1" applyAlignment="1" applyProtection="1">
      <alignment horizontal="center"/>
      <protection hidden="1"/>
    </xf>
    <xf numFmtId="0" fontId="12" fillId="17" borderId="30" xfId="5" applyFont="1" applyFill="1" applyBorder="1" applyAlignment="1" applyProtection="1">
      <alignment horizontal="center"/>
      <protection hidden="1"/>
    </xf>
    <xf numFmtId="0" fontId="9" fillId="13" borderId="32" xfId="5" applyFont="1" applyFill="1" applyBorder="1" applyAlignment="1" applyProtection="1">
      <alignment horizontal="center"/>
      <protection hidden="1"/>
    </xf>
    <xf numFmtId="0" fontId="12" fillId="9" borderId="33" xfId="5" applyFont="1" applyFill="1" applyBorder="1" applyAlignment="1" applyProtection="1">
      <alignment horizontal="center"/>
      <protection hidden="1"/>
    </xf>
    <xf numFmtId="0" fontId="9" fillId="16" borderId="34" xfId="5" applyFont="1" applyFill="1" applyBorder="1" applyAlignment="1" applyProtection="1">
      <alignment horizontal="center"/>
      <protection locked="0"/>
    </xf>
    <xf numFmtId="0" fontId="9" fillId="11" borderId="0" xfId="5" applyFont="1" applyFill="1" applyProtection="1">
      <protection hidden="1"/>
    </xf>
    <xf numFmtId="0" fontId="9" fillId="16" borderId="22" xfId="5" applyFont="1" applyFill="1" applyBorder="1" applyAlignment="1" applyProtection="1">
      <alignment horizontal="center"/>
      <protection locked="0"/>
    </xf>
    <xf numFmtId="0" fontId="12" fillId="17" borderId="34" xfId="5" applyFont="1" applyFill="1" applyBorder="1" applyAlignment="1" applyProtection="1">
      <alignment horizontal="center"/>
      <protection hidden="1"/>
    </xf>
    <xf numFmtId="0" fontId="12" fillId="17" borderId="35" xfId="5" applyFont="1" applyFill="1" applyBorder="1" applyAlignment="1" applyProtection="1">
      <alignment horizontal="center"/>
      <protection hidden="1"/>
    </xf>
    <xf numFmtId="0" fontId="9" fillId="16" borderId="28" xfId="5" applyFont="1" applyFill="1" applyBorder="1" applyAlignment="1" applyProtection="1">
      <alignment horizontal="center"/>
      <protection locked="0"/>
    </xf>
    <xf numFmtId="0" fontId="9" fillId="16" borderId="39" xfId="5" applyFont="1" applyFill="1" applyBorder="1" applyAlignment="1" applyProtection="1">
      <alignment horizontal="center"/>
      <protection locked="0"/>
    </xf>
    <xf numFmtId="0" fontId="9" fillId="16" borderId="40" xfId="5" applyFont="1" applyFill="1" applyBorder="1" applyAlignment="1" applyProtection="1">
      <alignment horizontal="center"/>
      <protection locked="0"/>
    </xf>
    <xf numFmtId="0" fontId="9" fillId="16" borderId="43" xfId="5" applyFont="1" applyFill="1" applyBorder="1" applyAlignment="1" applyProtection="1">
      <alignment horizontal="center"/>
      <protection locked="0"/>
    </xf>
    <xf numFmtId="0" fontId="9" fillId="16" borderId="45" xfId="5" applyFont="1" applyFill="1" applyBorder="1" applyAlignment="1" applyProtection="1">
      <alignment horizontal="center"/>
      <protection locked="0"/>
    </xf>
    <xf numFmtId="0" fontId="11" fillId="11" borderId="0" xfId="5" applyFont="1" applyFill="1" applyAlignment="1" applyProtection="1">
      <alignment horizontal="center"/>
      <protection hidden="1"/>
    </xf>
    <xf numFmtId="0" fontId="11" fillId="0" borderId="12" xfId="5" applyFont="1" applyBorder="1"/>
    <xf numFmtId="0" fontId="9" fillId="11" borderId="42" xfId="5" applyFont="1" applyFill="1" applyBorder="1"/>
    <xf numFmtId="0" fontId="9" fillId="11" borderId="42" xfId="5" applyFont="1" applyFill="1" applyBorder="1" applyProtection="1">
      <protection hidden="1"/>
    </xf>
    <xf numFmtId="0" fontId="9" fillId="11" borderId="16" xfId="5" applyFont="1" applyFill="1" applyBorder="1"/>
    <xf numFmtId="0" fontId="11" fillId="0" borderId="41" xfId="5" applyFont="1" applyBorder="1"/>
    <xf numFmtId="0" fontId="11" fillId="0" borderId="42" xfId="5" applyFont="1" applyBorder="1"/>
    <xf numFmtId="0" fontId="9" fillId="0" borderId="42" xfId="5" applyFont="1" applyBorder="1"/>
    <xf numFmtId="0" fontId="9" fillId="0" borderId="0" xfId="5" applyFont="1" applyProtection="1">
      <protection hidden="1"/>
    </xf>
    <xf numFmtId="0" fontId="15" fillId="13" borderId="46" xfId="5" applyFont="1" applyFill="1" applyBorder="1" applyAlignment="1" applyProtection="1">
      <alignment horizontal="center"/>
      <protection hidden="1"/>
    </xf>
    <xf numFmtId="0" fontId="9" fillId="13" borderId="19" xfId="5" applyFont="1" applyFill="1" applyBorder="1" applyAlignment="1" applyProtection="1">
      <alignment horizontal="center"/>
      <protection hidden="1"/>
    </xf>
    <xf numFmtId="0" fontId="17" fillId="9" borderId="7" xfId="5" applyFont="1" applyFill="1" applyBorder="1" applyAlignment="1" applyProtection="1">
      <alignment horizontal="center"/>
      <protection hidden="1"/>
    </xf>
    <xf numFmtId="0" fontId="12" fillId="12" borderId="25" xfId="5" applyFont="1" applyFill="1" applyBorder="1" applyAlignment="1" applyProtection="1">
      <alignment horizontal="center"/>
      <protection hidden="1"/>
    </xf>
    <xf numFmtId="0" fontId="17" fillId="9" borderId="5" xfId="5" applyFont="1" applyFill="1" applyBorder="1" applyAlignment="1" applyProtection="1">
      <alignment horizontal="center"/>
      <protection hidden="1"/>
    </xf>
    <xf numFmtId="0" fontId="9" fillId="13" borderId="47" xfId="5" applyFont="1" applyFill="1" applyBorder="1" applyAlignment="1" applyProtection="1">
      <alignment horizontal="center"/>
      <protection hidden="1"/>
    </xf>
    <xf numFmtId="0" fontId="9" fillId="13" borderId="48" xfId="5" applyFont="1" applyFill="1" applyBorder="1" applyAlignment="1" applyProtection="1">
      <alignment horizontal="center"/>
      <protection hidden="1"/>
    </xf>
    <xf numFmtId="0" fontId="9" fillId="13" borderId="49" xfId="5" applyFont="1" applyFill="1" applyBorder="1" applyAlignment="1" applyProtection="1">
      <alignment horizontal="center"/>
      <protection hidden="1"/>
    </xf>
    <xf numFmtId="0" fontId="9" fillId="13" borderId="36" xfId="5" applyFont="1" applyFill="1" applyBorder="1" applyAlignment="1" applyProtection="1">
      <alignment horizontal="center"/>
      <protection hidden="1"/>
    </xf>
    <xf numFmtId="1" fontId="12" fillId="9" borderId="8" xfId="5" applyNumberFormat="1" applyFont="1" applyFill="1" applyBorder="1" applyAlignment="1" applyProtection="1">
      <alignment horizontal="center"/>
      <protection hidden="1"/>
    </xf>
    <xf numFmtId="1" fontId="12" fillId="9" borderId="30" xfId="5" applyNumberFormat="1" applyFont="1" applyFill="1" applyBorder="1" applyAlignment="1" applyProtection="1">
      <alignment horizontal="center"/>
      <protection hidden="1"/>
    </xf>
    <xf numFmtId="0" fontId="12" fillId="9" borderId="37" xfId="5" applyFont="1" applyFill="1" applyBorder="1" applyAlignment="1" applyProtection="1">
      <alignment horizontal="center"/>
      <protection hidden="1"/>
    </xf>
    <xf numFmtId="2" fontId="12" fillId="9" borderId="34" xfId="5" applyNumberFormat="1" applyFont="1" applyFill="1" applyBorder="1" applyAlignment="1" applyProtection="1">
      <alignment horizontal="center"/>
      <protection hidden="1"/>
    </xf>
    <xf numFmtId="2" fontId="12" fillId="9" borderId="35" xfId="5" applyNumberFormat="1" applyFont="1" applyFill="1" applyBorder="1" applyAlignment="1" applyProtection="1">
      <alignment horizontal="center"/>
      <protection hidden="1"/>
    </xf>
    <xf numFmtId="0" fontId="18" fillId="0" borderId="0" xfId="5" applyFont="1"/>
    <xf numFmtId="0" fontId="17" fillId="9" borderId="29" xfId="5" applyFont="1" applyFill="1" applyBorder="1" applyAlignment="1" applyProtection="1">
      <alignment horizontal="center"/>
      <protection hidden="1"/>
    </xf>
    <xf numFmtId="0" fontId="12" fillId="12" borderId="8" xfId="5" applyFont="1" applyFill="1" applyBorder="1" applyAlignment="1" applyProtection="1">
      <alignment horizontal="center"/>
      <protection hidden="1"/>
    </xf>
    <xf numFmtId="0" fontId="17" fillId="9" borderId="50" xfId="5" applyFont="1" applyFill="1" applyBorder="1" applyAlignment="1" applyProtection="1">
      <alignment horizontal="center"/>
      <protection hidden="1"/>
    </xf>
    <xf numFmtId="2" fontId="12" fillId="9" borderId="51" xfId="5" applyNumberFormat="1" applyFont="1" applyFill="1" applyBorder="1" applyAlignment="1" applyProtection="1">
      <alignment horizontal="center"/>
      <protection hidden="1"/>
    </xf>
    <xf numFmtId="2" fontId="12" fillId="9" borderId="31" xfId="5" applyNumberFormat="1" applyFont="1" applyFill="1" applyBorder="1" applyAlignment="1" applyProtection="1">
      <alignment horizontal="center"/>
      <protection hidden="1"/>
    </xf>
    <xf numFmtId="2" fontId="12" fillId="9" borderId="52" xfId="5" applyNumberFormat="1" applyFont="1" applyFill="1" applyBorder="1" applyAlignment="1" applyProtection="1">
      <alignment horizontal="center"/>
      <protection hidden="1"/>
    </xf>
    <xf numFmtId="2" fontId="12" fillId="9" borderId="40" xfId="5" applyNumberFormat="1" applyFont="1" applyFill="1" applyBorder="1" applyAlignment="1" applyProtection="1">
      <alignment horizontal="center"/>
      <protection hidden="1"/>
    </xf>
    <xf numFmtId="2" fontId="12" fillId="9" borderId="28" xfId="5" applyNumberFormat="1" applyFont="1" applyFill="1" applyBorder="1" applyAlignment="1" applyProtection="1">
      <alignment horizontal="center"/>
      <protection hidden="1"/>
    </xf>
    <xf numFmtId="2" fontId="12" fillId="9" borderId="36" xfId="5" applyNumberFormat="1" applyFont="1" applyFill="1" applyBorder="1" applyAlignment="1" applyProtection="1">
      <alignment horizontal="center"/>
      <protection hidden="1"/>
    </xf>
    <xf numFmtId="2" fontId="12" fillId="9" borderId="8" xfId="5" applyNumberFormat="1" applyFont="1" applyFill="1" applyBorder="1" applyAlignment="1" applyProtection="1">
      <alignment horizontal="center"/>
      <protection hidden="1"/>
    </xf>
    <xf numFmtId="2" fontId="12" fillId="9" borderId="30" xfId="5" applyNumberFormat="1" applyFont="1" applyFill="1" applyBorder="1" applyAlignment="1" applyProtection="1">
      <alignment horizontal="center"/>
      <protection hidden="1"/>
    </xf>
    <xf numFmtId="0" fontId="12" fillId="9" borderId="30" xfId="5" applyFont="1" applyFill="1" applyBorder="1" applyAlignment="1" applyProtection="1">
      <alignment horizontal="center"/>
      <protection hidden="1"/>
    </xf>
    <xf numFmtId="0" fontId="12" fillId="9" borderId="8" xfId="5" applyFont="1" applyFill="1" applyBorder="1" applyAlignment="1" applyProtection="1">
      <alignment horizontal="center"/>
      <protection hidden="1"/>
    </xf>
    <xf numFmtId="0" fontId="9" fillId="13" borderId="37" xfId="5" applyFont="1" applyFill="1" applyBorder="1" applyAlignment="1" applyProtection="1">
      <alignment horizontal="center"/>
      <protection hidden="1"/>
    </xf>
    <xf numFmtId="0" fontId="12" fillId="9" borderId="34" xfId="5" applyFont="1" applyFill="1" applyBorder="1" applyAlignment="1" applyProtection="1">
      <alignment horizontal="center"/>
      <protection hidden="1"/>
    </xf>
    <xf numFmtId="0" fontId="12" fillId="9" borderId="35" xfId="5" applyFont="1" applyFill="1" applyBorder="1" applyAlignment="1" applyProtection="1">
      <alignment horizontal="center"/>
      <protection hidden="1"/>
    </xf>
    <xf numFmtId="0" fontId="17" fillId="9" borderId="33" xfId="5" applyFont="1" applyFill="1" applyBorder="1" applyAlignment="1" applyProtection="1">
      <alignment horizontal="center"/>
      <protection hidden="1"/>
    </xf>
    <xf numFmtId="0" fontId="12" fillId="12" borderId="34" xfId="5" applyFont="1" applyFill="1" applyBorder="1" applyAlignment="1" applyProtection="1">
      <alignment horizontal="center"/>
      <protection hidden="1"/>
    </xf>
    <xf numFmtId="0" fontId="17" fillId="9" borderId="53" xfId="5" applyFont="1" applyFill="1" applyBorder="1" applyAlignment="1" applyProtection="1">
      <alignment horizontal="center"/>
      <protection hidden="1"/>
    </xf>
    <xf numFmtId="2" fontId="12" fillId="9" borderId="54" xfId="5" applyNumberFormat="1" applyFont="1" applyFill="1" applyBorder="1" applyAlignment="1" applyProtection="1">
      <alignment horizontal="center"/>
      <protection hidden="1"/>
    </xf>
    <xf numFmtId="2" fontId="12" fillId="9" borderId="37" xfId="5" applyNumberFormat="1" applyFont="1" applyFill="1" applyBorder="1" applyAlignment="1" applyProtection="1">
      <alignment horizontal="center"/>
      <protection hidden="1"/>
    </xf>
    <xf numFmtId="2" fontId="12" fillId="9" borderId="43" xfId="5" applyNumberFormat="1" applyFont="1" applyFill="1" applyBorder="1" applyAlignment="1" applyProtection="1">
      <alignment horizontal="center"/>
      <protection hidden="1"/>
    </xf>
    <xf numFmtId="0" fontId="9" fillId="11" borderId="12" xfId="5" applyFont="1" applyFill="1" applyBorder="1" applyProtection="1">
      <protection hidden="1"/>
    </xf>
    <xf numFmtId="0" fontId="17" fillId="9" borderId="39" xfId="5" applyFont="1" applyFill="1" applyBorder="1" applyAlignment="1" applyProtection="1">
      <alignment horizontal="center"/>
      <protection hidden="1"/>
    </xf>
    <xf numFmtId="0" fontId="12" fillId="12" borderId="52" xfId="5" applyFont="1" applyFill="1" applyBorder="1" applyAlignment="1" applyProtection="1">
      <alignment horizontal="center"/>
      <protection hidden="1"/>
    </xf>
    <xf numFmtId="0" fontId="17" fillId="9" borderId="55" xfId="5" applyFont="1" applyFill="1" applyBorder="1" applyAlignment="1" applyProtection="1">
      <alignment horizontal="center"/>
      <protection hidden="1"/>
    </xf>
    <xf numFmtId="0" fontId="19" fillId="13" borderId="11" xfId="5" applyFont="1" applyFill="1" applyBorder="1" applyAlignment="1" applyProtection="1">
      <alignment horizontal="center"/>
      <protection hidden="1"/>
    </xf>
    <xf numFmtId="0" fontId="19" fillId="13" borderId="26" xfId="5" applyFont="1" applyFill="1" applyBorder="1" applyAlignment="1" applyProtection="1">
      <alignment horizontal="center"/>
      <protection hidden="1"/>
    </xf>
    <xf numFmtId="0" fontId="19" fillId="13" borderId="18" xfId="5" applyFont="1" applyFill="1" applyBorder="1" applyAlignment="1" applyProtection="1">
      <alignment horizontal="center"/>
      <protection hidden="1"/>
    </xf>
    <xf numFmtId="0" fontId="9" fillId="13" borderId="11" xfId="5" applyFont="1" applyFill="1" applyBorder="1" applyAlignment="1" applyProtection="1">
      <alignment horizontal="center" vertical="center"/>
      <protection hidden="1"/>
    </xf>
    <xf numFmtId="0" fontId="9" fillId="19" borderId="30" xfId="5" applyFont="1" applyFill="1" applyBorder="1" applyAlignment="1" applyProtection="1">
      <alignment horizontal="center"/>
      <protection locked="0"/>
    </xf>
    <xf numFmtId="0" fontId="9" fillId="13" borderId="38" xfId="5" applyFont="1" applyFill="1" applyBorder="1" applyAlignment="1" applyProtection="1">
      <alignment horizontal="center" vertical="center"/>
      <protection hidden="1"/>
    </xf>
    <xf numFmtId="0" fontId="9" fillId="13" borderId="57" xfId="5" applyFont="1" applyFill="1" applyBorder="1" applyAlignment="1" applyProtection="1">
      <alignment horizontal="center" vertical="center"/>
      <protection hidden="1"/>
    </xf>
    <xf numFmtId="0" fontId="9" fillId="16" borderId="5" xfId="5" applyFont="1" applyFill="1" applyBorder="1" applyAlignment="1" applyProtection="1">
      <alignment horizontal="center"/>
      <protection locked="0"/>
    </xf>
    <xf numFmtId="1" fontId="12" fillId="12" borderId="21" xfId="5" applyNumberFormat="1" applyFont="1" applyFill="1" applyBorder="1" applyAlignment="1" applyProtection="1">
      <alignment horizontal="center"/>
      <protection hidden="1"/>
    </xf>
    <xf numFmtId="0" fontId="21" fillId="11" borderId="0" xfId="5" applyFont="1" applyFill="1" applyAlignment="1">
      <alignment horizontal="center"/>
    </xf>
    <xf numFmtId="0" fontId="12" fillId="16" borderId="8" xfId="5" applyFont="1" applyFill="1" applyBorder="1" applyAlignment="1" applyProtection="1">
      <alignment horizontal="center"/>
      <protection locked="0"/>
    </xf>
    <xf numFmtId="0" fontId="22" fillId="9" borderId="8" xfId="5" applyFont="1" applyFill="1" applyBorder="1" applyAlignment="1" applyProtection="1">
      <alignment horizontal="center"/>
      <protection hidden="1"/>
    </xf>
    <xf numFmtId="2" fontId="12" fillId="9" borderId="23" xfId="5" applyNumberFormat="1" applyFont="1" applyFill="1" applyBorder="1" applyAlignment="1" applyProtection="1">
      <alignment horizontal="center" vertical="center"/>
      <protection hidden="1"/>
    </xf>
    <xf numFmtId="166" fontId="12" fillId="9" borderId="58" xfId="5" applyNumberFormat="1" applyFont="1" applyFill="1" applyBorder="1" applyAlignment="1" applyProtection="1">
      <alignment horizontal="center" vertical="center"/>
      <protection hidden="1"/>
    </xf>
    <xf numFmtId="2" fontId="12" fillId="10" borderId="23" xfId="5" applyNumberFormat="1" applyFont="1" applyFill="1" applyBorder="1" applyAlignment="1" applyProtection="1">
      <alignment horizontal="center" vertical="center"/>
      <protection hidden="1"/>
    </xf>
    <xf numFmtId="0" fontId="9" fillId="16" borderId="50" xfId="5" applyFont="1" applyFill="1" applyBorder="1" applyAlignment="1" applyProtection="1">
      <alignment horizontal="center"/>
      <protection locked="0"/>
    </xf>
    <xf numFmtId="1" fontId="12" fillId="12" borderId="27" xfId="5" applyNumberFormat="1" applyFont="1" applyFill="1" applyBorder="1" applyAlignment="1" applyProtection="1">
      <alignment horizontal="center"/>
      <protection hidden="1"/>
    </xf>
    <xf numFmtId="2" fontId="12" fillId="9" borderId="27" xfId="5" applyNumberFormat="1" applyFont="1" applyFill="1" applyBorder="1" applyAlignment="1" applyProtection="1">
      <alignment horizontal="center" vertical="center"/>
      <protection hidden="1"/>
    </xf>
    <xf numFmtId="166" fontId="12" fillId="9" borderId="51" xfId="5" applyNumberFormat="1" applyFont="1" applyFill="1" applyBorder="1" applyAlignment="1" applyProtection="1">
      <alignment horizontal="center" vertical="center"/>
      <protection hidden="1"/>
    </xf>
    <xf numFmtId="2" fontId="12" fillId="10" borderId="27" xfId="5" applyNumberFormat="1" applyFont="1" applyFill="1" applyBorder="1" applyAlignment="1" applyProtection="1">
      <alignment horizontal="center" vertical="center"/>
      <protection hidden="1"/>
    </xf>
    <xf numFmtId="0" fontId="9" fillId="19" borderId="35" xfId="5" applyFont="1" applyFill="1" applyBorder="1" applyAlignment="1" applyProtection="1">
      <alignment horizontal="center"/>
      <protection locked="0"/>
    </xf>
    <xf numFmtId="2" fontId="0" fillId="10" borderId="0" xfId="0" applyNumberFormat="1" applyFill="1" applyAlignment="1">
      <alignment horizontal="center"/>
    </xf>
    <xf numFmtId="0" fontId="9" fillId="16" borderId="53" xfId="5" applyFont="1" applyFill="1" applyBorder="1" applyAlignment="1" applyProtection="1">
      <alignment horizontal="center"/>
      <protection locked="0"/>
    </xf>
    <xf numFmtId="1" fontId="12" fillId="12" borderId="32" xfId="5" applyNumberFormat="1" applyFont="1" applyFill="1" applyBorder="1" applyAlignment="1" applyProtection="1">
      <alignment horizontal="center"/>
      <protection hidden="1"/>
    </xf>
    <xf numFmtId="0" fontId="12" fillId="16" borderId="34" xfId="5" applyFont="1" applyFill="1" applyBorder="1" applyAlignment="1" applyProtection="1">
      <alignment horizontal="center"/>
      <protection locked="0"/>
    </xf>
    <xf numFmtId="0" fontId="22" fillId="9" borderId="34" xfId="5" applyFont="1" applyFill="1" applyBorder="1" applyAlignment="1" applyProtection="1">
      <alignment horizontal="center"/>
      <protection hidden="1"/>
    </xf>
    <xf numFmtId="2" fontId="12" fillId="9" borderId="32" xfId="5" applyNumberFormat="1" applyFont="1" applyFill="1" applyBorder="1" applyAlignment="1" applyProtection="1">
      <alignment horizontal="center" vertical="center"/>
      <protection hidden="1"/>
    </xf>
    <xf numFmtId="2" fontId="12" fillId="10" borderId="32" xfId="5" applyNumberFormat="1" applyFont="1" applyFill="1" applyBorder="1" applyAlignment="1" applyProtection="1">
      <alignment horizontal="center" vertical="center"/>
      <protection hidden="1"/>
    </xf>
    <xf numFmtId="0" fontId="9" fillId="6" borderId="15" xfId="5" applyFont="1" applyFill="1" applyBorder="1" applyAlignment="1" applyProtection="1">
      <alignment horizontal="center"/>
      <protection locked="0"/>
    </xf>
    <xf numFmtId="2" fontId="0" fillId="0" borderId="0" xfId="0" applyNumberFormat="1" applyAlignment="1">
      <alignment horizontal="left" vertical="top"/>
    </xf>
    <xf numFmtId="0" fontId="21" fillId="11" borderId="0" xfId="5" applyFont="1" applyFill="1" applyAlignment="1">
      <alignment horizontal="right"/>
    </xf>
    <xf numFmtId="0" fontId="21" fillId="11" borderId="0" xfId="5" applyFont="1" applyFill="1"/>
    <xf numFmtId="0" fontId="23" fillId="11" borderId="0" xfId="5" applyFont="1" applyFill="1"/>
    <xf numFmtId="0" fontId="9" fillId="13" borderId="59" xfId="5" applyFont="1" applyFill="1" applyBorder="1" applyAlignment="1" applyProtection="1">
      <alignment horizontal="center"/>
      <protection hidden="1"/>
    </xf>
    <xf numFmtId="0" fontId="12" fillId="12" borderId="15" xfId="5" applyFont="1" applyFill="1" applyBorder="1" applyAlignment="1" applyProtection="1">
      <alignment horizontal="center"/>
      <protection hidden="1"/>
    </xf>
    <xf numFmtId="0" fontId="20" fillId="11" borderId="0" xfId="5" applyFont="1" applyFill="1" applyProtection="1">
      <protection hidden="1"/>
    </xf>
    <xf numFmtId="0" fontId="9" fillId="13" borderId="56" xfId="5" applyFont="1" applyFill="1" applyBorder="1" applyAlignment="1" applyProtection="1">
      <alignment horizontal="center"/>
      <protection hidden="1"/>
    </xf>
    <xf numFmtId="0" fontId="2" fillId="11" borderId="0" xfId="5" applyFill="1" applyAlignment="1" applyProtection="1">
      <alignment horizontal="center"/>
      <protection hidden="1"/>
    </xf>
    <xf numFmtId="166" fontId="2" fillId="11" borderId="0" xfId="5" applyNumberFormat="1" applyFill="1" applyAlignment="1" applyProtection="1">
      <alignment horizontal="center"/>
      <protection hidden="1"/>
    </xf>
    <xf numFmtId="0" fontId="2" fillId="11" borderId="0" xfId="5" applyFill="1" applyProtection="1">
      <protection hidden="1"/>
    </xf>
    <xf numFmtId="0" fontId="9" fillId="12" borderId="23" xfId="5" applyFont="1" applyFill="1" applyBorder="1" applyAlignment="1" applyProtection="1">
      <alignment horizontal="center"/>
      <protection hidden="1"/>
    </xf>
    <xf numFmtId="0" fontId="24" fillId="9" borderId="23" xfId="5" applyFont="1" applyFill="1" applyBorder="1" applyAlignment="1" applyProtection="1">
      <alignment horizontal="center"/>
      <protection hidden="1"/>
    </xf>
    <xf numFmtId="0" fontId="9" fillId="13" borderId="31" xfId="5" applyFont="1" applyFill="1" applyBorder="1" applyAlignment="1" applyProtection="1">
      <alignment horizontal="center"/>
      <protection hidden="1"/>
    </xf>
    <xf numFmtId="1" fontId="12" fillId="9" borderId="40" xfId="5" applyNumberFormat="1" applyFont="1" applyFill="1" applyBorder="1" applyAlignment="1" applyProtection="1">
      <alignment horizontal="center"/>
      <protection hidden="1"/>
    </xf>
    <xf numFmtId="0" fontId="21" fillId="11" borderId="12" xfId="5" applyFont="1" applyFill="1" applyBorder="1"/>
    <xf numFmtId="0" fontId="9" fillId="12" borderId="27" xfId="5" applyFont="1" applyFill="1" applyBorder="1" applyAlignment="1" applyProtection="1">
      <alignment horizontal="center"/>
      <protection hidden="1"/>
    </xf>
    <xf numFmtId="169" fontId="24" fillId="9" borderId="27" xfId="5" applyNumberFormat="1" applyFont="1" applyFill="1" applyBorder="1" applyAlignment="1" applyProtection="1">
      <alignment horizontal="center"/>
      <protection hidden="1"/>
    </xf>
    <xf numFmtId="166" fontId="9" fillId="13" borderId="20" xfId="5" applyNumberFormat="1" applyFont="1" applyFill="1" applyBorder="1" applyAlignment="1" applyProtection="1">
      <alignment horizontal="center"/>
      <protection hidden="1"/>
    </xf>
    <xf numFmtId="166" fontId="9" fillId="13" borderId="26" xfId="5" applyNumberFormat="1" applyFont="1" applyFill="1" applyBorder="1" applyAlignment="1" applyProtection="1">
      <alignment horizontal="center"/>
      <protection hidden="1"/>
    </xf>
    <xf numFmtId="166" fontId="9" fillId="13" borderId="18" xfId="5" applyNumberFormat="1" applyFont="1" applyFill="1" applyBorder="1" applyAlignment="1" applyProtection="1">
      <alignment horizontal="center"/>
      <protection hidden="1"/>
    </xf>
    <xf numFmtId="0" fontId="9" fillId="13" borderId="10" xfId="5" applyFont="1" applyFill="1" applyBorder="1" applyAlignment="1" applyProtection="1">
      <alignment horizontal="center"/>
      <protection hidden="1"/>
    </xf>
    <xf numFmtId="166" fontId="9" fillId="13" borderId="19" xfId="5" applyNumberFormat="1" applyFont="1" applyFill="1" applyBorder="1" applyAlignment="1" applyProtection="1">
      <alignment horizontal="center"/>
      <protection hidden="1"/>
    </xf>
    <xf numFmtId="1" fontId="12" fillId="9" borderId="35" xfId="5" applyNumberFormat="1" applyFont="1" applyFill="1" applyBorder="1" applyAlignment="1" applyProtection="1">
      <alignment horizontal="center"/>
      <protection hidden="1"/>
    </xf>
    <xf numFmtId="1" fontId="21" fillId="11" borderId="12" xfId="5" applyNumberFormat="1" applyFont="1" applyFill="1" applyBorder="1" applyAlignment="1">
      <alignment horizontal="center"/>
    </xf>
    <xf numFmtId="166" fontId="21" fillId="11" borderId="0" xfId="5" applyNumberFormat="1" applyFont="1" applyFill="1" applyAlignment="1">
      <alignment horizontal="center"/>
    </xf>
    <xf numFmtId="1" fontId="21" fillId="11" borderId="0" xfId="5" applyNumberFormat="1" applyFont="1" applyFill="1" applyAlignment="1">
      <alignment horizontal="center"/>
    </xf>
    <xf numFmtId="2" fontId="0" fillId="0" borderId="19" xfId="0" applyNumberFormat="1" applyBorder="1" applyAlignment="1">
      <alignment vertical="center" wrapText="1"/>
    </xf>
    <xf numFmtId="0" fontId="12" fillId="12" borderId="31" xfId="5" applyFont="1" applyFill="1" applyBorder="1" applyAlignment="1" applyProtection="1">
      <alignment horizontal="center"/>
      <protection hidden="1"/>
    </xf>
    <xf numFmtId="166" fontId="9" fillId="16" borderId="23" xfId="5" applyNumberFormat="1" applyFont="1" applyFill="1" applyBorder="1" applyAlignment="1" applyProtection="1">
      <alignment horizontal="center"/>
      <protection locked="0"/>
    </xf>
    <xf numFmtId="0" fontId="12" fillId="12" borderId="40" xfId="5" applyFont="1" applyFill="1" applyBorder="1" applyAlignment="1" applyProtection="1">
      <alignment horizontal="center"/>
      <protection hidden="1"/>
    </xf>
    <xf numFmtId="0" fontId="12" fillId="12" borderId="58" xfId="5" applyFont="1" applyFill="1" applyBorder="1" applyAlignment="1" applyProtection="1">
      <alignment horizontal="center"/>
      <protection hidden="1"/>
    </xf>
    <xf numFmtId="166" fontId="9" fillId="16" borderId="60" xfId="5" applyNumberFormat="1" applyFont="1" applyFill="1" applyBorder="1" applyAlignment="1" applyProtection="1">
      <alignment horizontal="center"/>
      <protection locked="0"/>
    </xf>
    <xf numFmtId="0" fontId="9" fillId="5" borderId="25" xfId="5" applyFont="1" applyFill="1" applyBorder="1" applyAlignment="1" applyProtection="1">
      <alignment horizontal="center"/>
      <protection hidden="1"/>
    </xf>
    <xf numFmtId="0" fontId="9" fillId="5" borderId="24" xfId="5" applyFont="1" applyFill="1" applyBorder="1" applyAlignment="1" applyProtection="1">
      <alignment horizontal="center"/>
      <protection hidden="1"/>
    </xf>
    <xf numFmtId="166" fontId="24" fillId="9" borderId="27" xfId="5" applyNumberFormat="1" applyFont="1" applyFill="1" applyBorder="1" applyAlignment="1" applyProtection="1">
      <alignment horizontal="center"/>
      <protection hidden="1"/>
    </xf>
    <xf numFmtId="0" fontId="12" fillId="12" borderId="36" xfId="5" applyFont="1" applyFill="1" applyBorder="1" applyAlignment="1" applyProtection="1">
      <alignment horizontal="center"/>
      <protection hidden="1"/>
    </xf>
    <xf numFmtId="166" fontId="9" fillId="16" borderId="27" xfId="5" applyNumberFormat="1" applyFont="1" applyFill="1" applyBorder="1" applyAlignment="1" applyProtection="1">
      <alignment horizontal="center"/>
      <protection locked="0"/>
    </xf>
    <xf numFmtId="0" fontId="11" fillId="11" borderId="0" xfId="5" applyFont="1" applyFill="1" applyAlignment="1">
      <alignment horizontal="center"/>
    </xf>
    <xf numFmtId="0" fontId="12" fillId="12" borderId="51" xfId="5" applyFont="1" applyFill="1" applyBorder="1" applyAlignment="1" applyProtection="1">
      <alignment horizontal="center"/>
      <protection hidden="1"/>
    </xf>
    <xf numFmtId="166" fontId="9" fillId="16" borderId="36" xfId="5" applyNumberFormat="1" applyFont="1" applyFill="1" applyBorder="1" applyAlignment="1" applyProtection="1">
      <alignment horizontal="center"/>
      <protection locked="0"/>
    </xf>
    <xf numFmtId="0" fontId="9" fillId="5" borderId="8" xfId="5" applyFont="1" applyFill="1" applyBorder="1" applyAlignment="1" applyProtection="1">
      <alignment horizontal="center"/>
      <protection hidden="1"/>
    </xf>
    <xf numFmtId="0" fontId="9" fillId="5" borderId="30" xfId="5" applyFont="1" applyFill="1" applyBorder="1" applyAlignment="1" applyProtection="1">
      <alignment horizontal="center"/>
      <protection hidden="1"/>
    </xf>
    <xf numFmtId="1" fontId="21" fillId="11" borderId="41" xfId="5" applyNumberFormat="1" applyFont="1" applyFill="1" applyBorder="1" applyAlignment="1">
      <alignment horizontal="center"/>
    </xf>
    <xf numFmtId="166" fontId="21" fillId="11" borderId="42" xfId="5" applyNumberFormat="1" applyFont="1" applyFill="1" applyBorder="1" applyAlignment="1">
      <alignment horizontal="center"/>
    </xf>
    <xf numFmtId="1" fontId="21" fillId="11" borderId="42" xfId="5" applyNumberFormat="1" applyFont="1" applyFill="1" applyBorder="1" applyAlignment="1">
      <alignment horizontal="center"/>
    </xf>
    <xf numFmtId="0" fontId="21" fillId="11" borderId="42" xfId="5" applyFont="1" applyFill="1" applyBorder="1"/>
    <xf numFmtId="2" fontId="0" fillId="0" borderId="61" xfId="0" applyNumberFormat="1" applyBorder="1" applyAlignment="1">
      <alignment vertical="center" wrapText="1"/>
    </xf>
    <xf numFmtId="0" fontId="12" fillId="12" borderId="37" xfId="5" applyFont="1" applyFill="1" applyBorder="1" applyAlignment="1" applyProtection="1">
      <alignment horizontal="center"/>
      <protection hidden="1"/>
    </xf>
    <xf numFmtId="166" fontId="9" fillId="16" borderId="32" xfId="5" applyNumberFormat="1" applyFont="1" applyFill="1" applyBorder="1" applyAlignment="1" applyProtection="1">
      <alignment horizontal="center"/>
      <protection locked="0"/>
    </xf>
    <xf numFmtId="0" fontId="9" fillId="5" borderId="34" xfId="5" applyFont="1" applyFill="1" applyBorder="1" applyAlignment="1" applyProtection="1">
      <alignment horizontal="center"/>
      <protection hidden="1"/>
    </xf>
    <xf numFmtId="0" fontId="2" fillId="11" borderId="42" xfId="5" applyFill="1" applyBorder="1" applyProtection="1">
      <protection hidden="1"/>
    </xf>
    <xf numFmtId="0" fontId="2" fillId="0" borderId="0" xfId="5" applyAlignment="1" applyProtection="1">
      <alignment horizontal="center"/>
      <protection hidden="1"/>
    </xf>
    <xf numFmtId="0" fontId="2" fillId="0" borderId="0" xfId="5" applyAlignment="1" applyProtection="1">
      <alignment horizontal="center"/>
      <protection locked="0"/>
    </xf>
    <xf numFmtId="0" fontId="28" fillId="0" borderId="0" xfId="5" applyFont="1" applyAlignment="1" applyProtection="1">
      <alignment vertical="center"/>
      <protection hidden="1"/>
    </xf>
    <xf numFmtId="0" fontId="27" fillId="6" borderId="0" xfId="3" applyFont="1" applyFill="1" applyAlignment="1">
      <alignment horizontal="center"/>
    </xf>
    <xf numFmtId="0" fontId="9" fillId="0" borderId="0" xfId="5" applyFont="1" applyAlignment="1" applyProtection="1">
      <alignment horizontal="center"/>
      <protection hidden="1"/>
    </xf>
    <xf numFmtId="0" fontId="2" fillId="13" borderId="23" xfId="5" applyFill="1" applyBorder="1" applyAlignment="1" applyProtection="1">
      <alignment horizontal="center"/>
      <protection hidden="1"/>
    </xf>
    <xf numFmtId="0" fontId="2" fillId="16" borderId="5" xfId="5" applyFill="1" applyBorder="1" applyAlignment="1" applyProtection="1">
      <alignment horizontal="center"/>
      <protection locked="0"/>
    </xf>
    <xf numFmtId="2" fontId="6" fillId="13" borderId="8" xfId="0" applyNumberFormat="1" applyFont="1" applyFill="1" applyBorder="1" applyAlignment="1">
      <alignment horizontal="center"/>
    </xf>
    <xf numFmtId="0" fontId="2" fillId="13" borderId="62" xfId="5" applyFill="1" applyBorder="1" applyAlignment="1" applyProtection="1">
      <alignment horizontal="center"/>
      <protection hidden="1"/>
    </xf>
    <xf numFmtId="170" fontId="29" fillId="16" borderId="4" xfId="5" applyNumberFormat="1" applyFont="1" applyFill="1" applyBorder="1" applyAlignment="1" applyProtection="1">
      <alignment horizontal="center"/>
      <protection locked="0"/>
    </xf>
    <xf numFmtId="0" fontId="12" fillId="20" borderId="8" xfId="5" applyFont="1" applyFill="1" applyBorder="1" applyProtection="1">
      <protection hidden="1"/>
    </xf>
    <xf numFmtId="1" fontId="12" fillId="22" borderId="0" xfId="5" applyNumberFormat="1" applyFont="1" applyFill="1" applyAlignment="1">
      <alignment horizontal="center"/>
    </xf>
    <xf numFmtId="0" fontId="2" fillId="13" borderId="27" xfId="5" applyFill="1" applyBorder="1" applyAlignment="1" applyProtection="1">
      <alignment horizontal="center"/>
      <protection hidden="1"/>
    </xf>
    <xf numFmtId="0" fontId="2" fillId="16" borderId="50" xfId="5" applyFill="1" applyBorder="1" applyAlignment="1" applyProtection="1">
      <alignment horizontal="center"/>
      <protection locked="0"/>
    </xf>
    <xf numFmtId="0" fontId="14" fillId="0" borderId="0" xfId="5" applyFont="1" applyProtection="1">
      <protection locked="0"/>
    </xf>
    <xf numFmtId="168" fontId="16" fillId="20" borderId="8" xfId="5" applyNumberFormat="1" applyFont="1" applyFill="1" applyBorder="1" applyProtection="1">
      <protection hidden="1"/>
    </xf>
    <xf numFmtId="0" fontId="9" fillId="13" borderId="63" xfId="5" applyFont="1" applyFill="1" applyBorder="1" applyAlignment="1" applyProtection="1">
      <alignment horizontal="center" wrapText="1"/>
      <protection hidden="1"/>
    </xf>
    <xf numFmtId="0" fontId="9" fillId="13" borderId="64" xfId="5" applyFont="1" applyFill="1" applyBorder="1" applyAlignment="1" applyProtection="1">
      <alignment horizontal="center"/>
      <protection hidden="1"/>
    </xf>
    <xf numFmtId="0" fontId="9" fillId="13" borderId="64" xfId="5" applyFont="1" applyFill="1" applyBorder="1" applyAlignment="1" applyProtection="1">
      <alignment horizontal="center" wrapText="1"/>
      <protection hidden="1"/>
    </xf>
    <xf numFmtId="0" fontId="9" fillId="13" borderId="65" xfId="5" applyFont="1" applyFill="1" applyBorder="1" applyAlignment="1" applyProtection="1">
      <alignment horizontal="center" wrapText="1"/>
      <protection hidden="1"/>
    </xf>
    <xf numFmtId="0" fontId="12" fillId="13" borderId="11" xfId="5" applyFont="1" applyFill="1" applyBorder="1" applyAlignment="1" applyProtection="1">
      <alignment horizontal="center"/>
      <protection hidden="1"/>
    </xf>
    <xf numFmtId="0" fontId="19" fillId="0" borderId="0" xfId="5" applyFont="1" applyAlignment="1" applyProtection="1">
      <alignment horizontal="center"/>
      <protection hidden="1"/>
    </xf>
    <xf numFmtId="1" fontId="9" fillId="0" borderId="8" xfId="5" applyNumberFormat="1" applyFont="1" applyBorder="1" applyAlignment="1">
      <alignment horizontal="center"/>
    </xf>
    <xf numFmtId="2" fontId="9" fillId="0" borderId="0" xfId="5" applyNumberFormat="1" applyFont="1" applyAlignment="1" applyProtection="1">
      <alignment horizontal="center"/>
      <protection hidden="1"/>
    </xf>
    <xf numFmtId="0" fontId="9" fillId="9" borderId="7" xfId="5" applyFont="1" applyFill="1" applyBorder="1" applyAlignment="1" applyProtection="1">
      <alignment horizontal="center"/>
      <protection hidden="1"/>
    </xf>
    <xf numFmtId="0" fontId="9" fillId="5" borderId="25" xfId="5" applyFont="1" applyFill="1" applyBorder="1" applyAlignment="1">
      <alignment horizontal="center"/>
    </xf>
    <xf numFmtId="2" fontId="9" fillId="9" borderId="25" xfId="5" applyNumberFormat="1" applyFont="1" applyFill="1" applyBorder="1" applyAlignment="1" applyProtection="1">
      <alignment horizontal="center"/>
      <protection hidden="1"/>
    </xf>
    <xf numFmtId="172" fontId="29" fillId="9" borderId="5" xfId="5" applyNumberFormat="1" applyFont="1" applyFill="1" applyBorder="1" applyAlignment="1" applyProtection="1">
      <alignment horizontal="center"/>
      <protection hidden="1"/>
    </xf>
    <xf numFmtId="2" fontId="15" fillId="25" borderId="21" xfId="5" applyNumberFormat="1" applyFont="1" applyFill="1" applyBorder="1" applyAlignment="1" applyProtection="1">
      <alignment horizontal="center" vertical="center"/>
      <protection hidden="1"/>
    </xf>
    <xf numFmtId="0" fontId="31" fillId="0" borderId="0" xfId="5" applyFont="1" applyAlignment="1" applyProtection="1">
      <alignment horizontal="center"/>
      <protection locked="0"/>
    </xf>
    <xf numFmtId="0" fontId="9" fillId="26" borderId="0" xfId="5" applyFont="1" applyFill="1" applyAlignment="1">
      <alignment horizontal="center"/>
    </xf>
    <xf numFmtId="0" fontId="2" fillId="13" borderId="32" xfId="5" applyFill="1" applyBorder="1" applyAlignment="1" applyProtection="1">
      <alignment horizontal="center"/>
      <protection hidden="1"/>
    </xf>
    <xf numFmtId="0" fontId="2" fillId="16" borderId="35" xfId="5" applyFill="1" applyBorder="1" applyAlignment="1" applyProtection="1">
      <alignment horizontal="center"/>
      <protection locked="0"/>
    </xf>
    <xf numFmtId="0" fontId="9" fillId="5" borderId="8" xfId="5" applyFont="1" applyFill="1" applyBorder="1" applyAlignment="1">
      <alignment horizontal="center"/>
    </xf>
    <xf numFmtId="2" fontId="9" fillId="9" borderId="8" xfId="5" applyNumberFormat="1" applyFont="1" applyFill="1" applyBorder="1" applyAlignment="1" applyProtection="1">
      <alignment horizontal="center"/>
      <protection hidden="1"/>
    </xf>
    <xf numFmtId="172" fontId="29" fillId="9" borderId="50" xfId="5" applyNumberFormat="1" applyFont="1" applyFill="1" applyBorder="1" applyAlignment="1" applyProtection="1">
      <alignment horizontal="center"/>
      <protection hidden="1"/>
    </xf>
    <xf numFmtId="0" fontId="11" fillId="0" borderId="0" xfId="5" applyFont="1" applyAlignment="1">
      <alignment horizontal="left"/>
    </xf>
    <xf numFmtId="0" fontId="11" fillId="0" borderId="0" xfId="5" applyFont="1" applyAlignment="1">
      <alignment horizontal="center"/>
    </xf>
    <xf numFmtId="2" fontId="11" fillId="0" borderId="0" xfId="5" applyNumberFormat="1" applyFont="1" applyAlignment="1" applyProtection="1">
      <alignment horizontal="center"/>
      <protection hidden="1"/>
    </xf>
    <xf numFmtId="0" fontId="18" fillId="26" borderId="0" xfId="5" applyFont="1" applyFill="1" applyAlignment="1">
      <alignment horizontal="center"/>
    </xf>
    <xf numFmtId="0" fontId="9" fillId="5" borderId="34" xfId="5" applyFont="1" applyFill="1" applyBorder="1" applyAlignment="1">
      <alignment horizontal="center"/>
    </xf>
    <xf numFmtId="2" fontId="9" fillId="9" borderId="34" xfId="5" applyNumberFormat="1" applyFont="1" applyFill="1" applyBorder="1" applyAlignment="1" applyProtection="1">
      <alignment horizontal="center"/>
      <protection hidden="1"/>
    </xf>
    <xf numFmtId="172" fontId="29" fillId="9" borderId="53" xfId="5" applyNumberFormat="1" applyFont="1" applyFill="1" applyBorder="1" applyAlignment="1" applyProtection="1">
      <alignment horizontal="center"/>
      <protection hidden="1"/>
    </xf>
    <xf numFmtId="2" fontId="15" fillId="25" borderId="32" xfId="5" applyNumberFormat="1" applyFont="1" applyFill="1" applyBorder="1" applyAlignment="1" applyProtection="1">
      <alignment horizontal="center" vertical="center"/>
      <protection hidden="1"/>
    </xf>
    <xf numFmtId="0" fontId="11" fillId="0" borderId="0" xfId="5" applyFont="1" applyAlignment="1" applyProtection="1">
      <alignment horizontal="center"/>
      <protection hidden="1"/>
    </xf>
    <xf numFmtId="0" fontId="9" fillId="27" borderId="0" xfId="5" applyFont="1" applyFill="1" applyAlignment="1">
      <alignment horizontal="center"/>
    </xf>
    <xf numFmtId="0" fontId="15" fillId="13" borderId="26" xfId="5" applyFont="1" applyFill="1" applyBorder="1" applyAlignment="1" applyProtection="1">
      <alignment horizontal="center"/>
      <protection hidden="1"/>
    </xf>
    <xf numFmtId="0" fontId="9" fillId="9" borderId="66" xfId="5" applyFont="1" applyFill="1" applyBorder="1" applyAlignment="1" applyProtection="1">
      <alignment horizontal="center"/>
      <protection hidden="1"/>
    </xf>
    <xf numFmtId="2" fontId="15" fillId="0" borderId="0" xfId="5" applyNumberFormat="1" applyFont="1" applyAlignment="1" applyProtection="1">
      <alignment horizontal="center" vertical="center"/>
      <protection hidden="1"/>
    </xf>
    <xf numFmtId="2" fontId="9" fillId="0" borderId="0" xfId="5" applyNumberFormat="1" applyFont="1" applyAlignment="1">
      <alignment horizontal="center"/>
    </xf>
    <xf numFmtId="0" fontId="33" fillId="0" borderId="0" xfId="5" applyFont="1" applyAlignment="1" applyProtection="1">
      <alignment horizontal="center"/>
      <protection hidden="1"/>
    </xf>
    <xf numFmtId="2" fontId="33" fillId="0" borderId="0" xfId="5" applyNumberFormat="1" applyFont="1" applyAlignment="1" applyProtection="1">
      <alignment horizontal="center"/>
      <protection hidden="1"/>
    </xf>
    <xf numFmtId="0" fontId="2" fillId="0" borderId="0" xfId="5" applyAlignment="1">
      <alignment horizontal="center"/>
    </xf>
    <xf numFmtId="173" fontId="9" fillId="9" borderId="8" xfId="5" applyNumberFormat="1" applyFont="1" applyFill="1" applyBorder="1" applyAlignment="1" applyProtection="1">
      <alignment horizontal="center"/>
      <protection hidden="1"/>
    </xf>
    <xf numFmtId="2" fontId="9" fillId="9" borderId="30" xfId="5" applyNumberFormat="1" applyFont="1" applyFill="1" applyBorder="1" applyAlignment="1" applyProtection="1">
      <alignment horizontal="center"/>
      <protection hidden="1"/>
    </xf>
    <xf numFmtId="0" fontId="14" fillId="0" borderId="0" xfId="5" applyFont="1" applyAlignment="1" applyProtection="1">
      <alignment horizontal="center"/>
      <protection locked="0"/>
    </xf>
    <xf numFmtId="0" fontId="29" fillId="0" borderId="0" xfId="5" applyFont="1" applyAlignment="1" applyProtection="1">
      <alignment horizontal="center"/>
      <protection locked="0"/>
    </xf>
    <xf numFmtId="167" fontId="9" fillId="9" borderId="8" xfId="5" applyNumberFormat="1" applyFont="1" applyFill="1" applyBorder="1" applyAlignment="1" applyProtection="1">
      <alignment horizontal="center"/>
      <protection hidden="1"/>
    </xf>
    <xf numFmtId="0" fontId="32" fillId="0" borderId="0" xfId="5" applyFont="1" applyProtection="1">
      <protection hidden="1"/>
    </xf>
    <xf numFmtId="0" fontId="18" fillId="0" borderId="0" xfId="5" applyFont="1" applyAlignment="1">
      <alignment horizontal="center"/>
    </xf>
    <xf numFmtId="0" fontId="34" fillId="0" borderId="0" xfId="5" applyFont="1" applyAlignment="1">
      <alignment horizontal="center"/>
    </xf>
    <xf numFmtId="0" fontId="9" fillId="13" borderId="17" xfId="5" applyFont="1" applyFill="1" applyBorder="1" applyAlignment="1" applyProtection="1">
      <alignment horizontal="center"/>
      <protection hidden="1"/>
    </xf>
    <xf numFmtId="0" fontId="14" fillId="13" borderId="11" xfId="5" applyFont="1" applyFill="1" applyBorder="1" applyAlignment="1" applyProtection="1">
      <alignment horizontal="center"/>
      <protection hidden="1"/>
    </xf>
    <xf numFmtId="0" fontId="9" fillId="13" borderId="46" xfId="5" applyFont="1" applyFill="1" applyBorder="1" applyAlignment="1" applyProtection="1">
      <alignment horizontal="center"/>
      <protection hidden="1"/>
    </xf>
    <xf numFmtId="166" fontId="15" fillId="9" borderId="26" xfId="5" applyNumberFormat="1" applyFont="1" applyFill="1" applyBorder="1" applyAlignment="1">
      <alignment horizontal="right"/>
    </xf>
    <xf numFmtId="0" fontId="15" fillId="13" borderId="18" xfId="5" applyFont="1" applyFill="1" applyBorder="1" applyAlignment="1">
      <alignment horizontal="left"/>
    </xf>
    <xf numFmtId="0" fontId="29" fillId="13" borderId="32" xfId="5" applyFont="1" applyFill="1" applyBorder="1" applyAlignment="1" applyProtection="1">
      <alignment horizontal="center"/>
      <protection hidden="1"/>
    </xf>
    <xf numFmtId="168" fontId="9" fillId="20" borderId="34" xfId="5" applyNumberFormat="1" applyFont="1" applyFill="1" applyBorder="1" applyAlignment="1" applyProtection="1">
      <alignment horizontal="center"/>
      <protection hidden="1"/>
    </xf>
    <xf numFmtId="0" fontId="9" fillId="9" borderId="35" xfId="5" applyFont="1" applyFill="1" applyBorder="1" applyAlignment="1" applyProtection="1">
      <alignment horizontal="center"/>
      <protection hidden="1"/>
    </xf>
    <xf numFmtId="0" fontId="29" fillId="13" borderId="21" xfId="5" applyFont="1" applyFill="1" applyBorder="1" applyAlignment="1" applyProtection="1">
      <alignment horizontal="center"/>
      <protection hidden="1"/>
    </xf>
    <xf numFmtId="0" fontId="29" fillId="9" borderId="7" xfId="5" applyFont="1" applyFill="1" applyBorder="1" applyAlignment="1" applyProtection="1">
      <alignment horizontal="center"/>
      <protection hidden="1"/>
    </xf>
    <xf numFmtId="0" fontId="29" fillId="9" borderId="25" xfId="5" applyFont="1" applyFill="1" applyBorder="1" applyAlignment="1" applyProtection="1">
      <alignment horizontal="center"/>
      <protection hidden="1"/>
    </xf>
    <xf numFmtId="0" fontId="29" fillId="9" borderId="5" xfId="5" applyFont="1" applyFill="1" applyBorder="1" applyAlignment="1" applyProtection="1">
      <alignment horizontal="center"/>
      <protection hidden="1"/>
    </xf>
    <xf numFmtId="0" fontId="29" fillId="9" borderId="52" xfId="5" applyFont="1" applyFill="1" applyBorder="1" applyAlignment="1" applyProtection="1">
      <alignment horizontal="center"/>
      <protection hidden="1"/>
    </xf>
    <xf numFmtId="0" fontId="29" fillId="13" borderId="27" xfId="5" applyFont="1" applyFill="1" applyBorder="1" applyAlignment="1" applyProtection="1">
      <alignment horizontal="center"/>
      <protection hidden="1"/>
    </xf>
    <xf numFmtId="172" fontId="29" fillId="9" borderId="29" xfId="5" applyNumberFormat="1" applyFont="1" applyFill="1" applyBorder="1" applyAlignment="1" applyProtection="1">
      <alignment horizontal="center"/>
      <protection hidden="1"/>
    </xf>
    <xf numFmtId="172" fontId="29" fillId="9" borderId="8" xfId="5" applyNumberFormat="1" applyFont="1" applyFill="1" applyBorder="1" applyAlignment="1" applyProtection="1">
      <alignment horizontal="center"/>
      <protection hidden="1"/>
    </xf>
    <xf numFmtId="172" fontId="14" fillId="10" borderId="27" xfId="5" applyNumberFormat="1" applyFont="1" applyFill="1" applyBorder="1" applyAlignment="1" applyProtection="1">
      <alignment horizontal="center"/>
      <protection hidden="1"/>
    </xf>
    <xf numFmtId="174" fontId="29" fillId="9" borderId="29" xfId="5" applyNumberFormat="1" applyFont="1" applyFill="1" applyBorder="1" applyAlignment="1" applyProtection="1">
      <alignment horizontal="center"/>
      <protection hidden="1"/>
    </xf>
    <xf numFmtId="174" fontId="14" fillId="10" borderId="27" xfId="5" applyNumberFormat="1" applyFont="1" applyFill="1" applyBorder="1" applyAlignment="1" applyProtection="1">
      <alignment horizontal="center"/>
      <protection hidden="1"/>
    </xf>
    <xf numFmtId="1" fontId="9" fillId="25" borderId="24" xfId="5" applyNumberFormat="1" applyFont="1" applyFill="1" applyBorder="1" applyAlignment="1" applyProtection="1">
      <alignment horizontal="center"/>
      <protection hidden="1"/>
    </xf>
    <xf numFmtId="171" fontId="29" fillId="9" borderId="29" xfId="5" applyNumberFormat="1" applyFont="1" applyFill="1" applyBorder="1" applyAlignment="1" applyProtection="1">
      <alignment horizontal="center"/>
      <protection hidden="1"/>
    </xf>
    <xf numFmtId="171" fontId="29" fillId="9" borderId="8" xfId="5" applyNumberFormat="1" applyFont="1" applyFill="1" applyBorder="1" applyAlignment="1" applyProtection="1">
      <alignment horizontal="center"/>
      <protection hidden="1"/>
    </xf>
    <xf numFmtId="171" fontId="29" fillId="9" borderId="50" xfId="5" applyNumberFormat="1" applyFont="1" applyFill="1" applyBorder="1" applyAlignment="1" applyProtection="1">
      <alignment horizontal="center"/>
      <protection hidden="1"/>
    </xf>
    <xf numFmtId="171" fontId="14" fillId="10" borderId="27" xfId="5" applyNumberFormat="1" applyFont="1" applyFill="1" applyBorder="1" applyAlignment="1" applyProtection="1">
      <alignment horizontal="center"/>
      <protection hidden="1"/>
    </xf>
    <xf numFmtId="0" fontId="36" fillId="0" borderId="0" xfId="5" applyFont="1" applyAlignment="1">
      <alignment horizontal="center"/>
    </xf>
    <xf numFmtId="1" fontId="9" fillId="9" borderId="30" xfId="5" applyNumberFormat="1" applyFont="1" applyFill="1" applyBorder="1" applyAlignment="1" applyProtection="1">
      <alignment horizontal="center"/>
      <protection hidden="1"/>
    </xf>
    <xf numFmtId="1" fontId="29" fillId="9" borderId="33" xfId="5" applyNumberFormat="1" applyFont="1" applyFill="1" applyBorder="1" applyAlignment="1" applyProtection="1">
      <alignment horizontal="center"/>
      <protection hidden="1"/>
    </xf>
    <xf numFmtId="1" fontId="14" fillId="10" borderId="32" xfId="5" applyNumberFormat="1" applyFont="1" applyFill="1" applyBorder="1" applyAlignment="1" applyProtection="1">
      <alignment horizontal="center"/>
      <protection hidden="1"/>
    </xf>
    <xf numFmtId="0" fontId="33" fillId="0" borderId="0" xfId="5" applyFont="1"/>
    <xf numFmtId="175" fontId="9" fillId="9" borderId="30" xfId="5" applyNumberFormat="1" applyFont="1" applyFill="1" applyBorder="1" applyAlignment="1" applyProtection="1">
      <alignment horizontal="center"/>
      <protection hidden="1"/>
    </xf>
    <xf numFmtId="0" fontId="18" fillId="13" borderId="20" xfId="5" applyFont="1" applyFill="1" applyBorder="1" applyAlignment="1">
      <alignment horizontal="center"/>
    </xf>
    <xf numFmtId="0" fontId="2" fillId="13" borderId="11" xfId="5" applyFill="1" applyBorder="1" applyAlignment="1">
      <alignment horizontal="center"/>
    </xf>
    <xf numFmtId="0" fontId="2" fillId="13" borderId="67" xfId="5" applyFill="1" applyBorder="1" applyAlignment="1">
      <alignment horizontal="center"/>
    </xf>
    <xf numFmtId="0" fontId="18" fillId="0" borderId="0" xfId="5" applyFont="1" applyAlignment="1" applyProtection="1">
      <alignment horizontal="center"/>
      <protection hidden="1"/>
    </xf>
    <xf numFmtId="0" fontId="9" fillId="9" borderId="30" xfId="5" applyFont="1" applyFill="1" applyBorder="1" applyAlignment="1" applyProtection="1">
      <alignment horizontal="center"/>
      <protection hidden="1"/>
    </xf>
    <xf numFmtId="0" fontId="2" fillId="13" borderId="68" xfId="5" applyFill="1" applyBorder="1" applyAlignment="1">
      <alignment horizontal="center"/>
    </xf>
    <xf numFmtId="0" fontId="9" fillId="13" borderId="22" xfId="5" applyFont="1" applyFill="1" applyBorder="1" applyAlignment="1">
      <alignment horizontal="center"/>
    </xf>
    <xf numFmtId="0" fontId="9" fillId="13" borderId="6" xfId="5" applyFont="1" applyFill="1" applyBorder="1" applyAlignment="1">
      <alignment horizontal="center"/>
    </xf>
    <xf numFmtId="1" fontId="9" fillId="0" borderId="0" xfId="5" applyNumberFormat="1" applyFont="1" applyAlignment="1">
      <alignment horizontal="center"/>
    </xf>
    <xf numFmtId="0" fontId="29" fillId="16" borderId="7" xfId="5" applyFont="1" applyFill="1" applyBorder="1" applyAlignment="1" applyProtection="1">
      <alignment horizontal="center"/>
      <protection locked="0"/>
    </xf>
    <xf numFmtId="0" fontId="29" fillId="16" borderId="25" xfId="5" applyFont="1" applyFill="1" applyBorder="1" applyAlignment="1" applyProtection="1">
      <alignment horizontal="center"/>
      <protection locked="0"/>
    </xf>
    <xf numFmtId="0" fontId="14" fillId="28" borderId="21" xfId="5" applyFont="1" applyFill="1" applyBorder="1" applyAlignment="1">
      <alignment horizontal="center"/>
    </xf>
    <xf numFmtId="0" fontId="2" fillId="13" borderId="51" xfId="5" applyFill="1" applyBorder="1" applyAlignment="1">
      <alignment horizontal="center"/>
    </xf>
    <xf numFmtId="0" fontId="9" fillId="13" borderId="28" xfId="5" applyFont="1" applyFill="1" applyBorder="1" applyAlignment="1">
      <alignment horizontal="center"/>
    </xf>
    <xf numFmtId="0" fontId="2" fillId="13" borderId="54" xfId="5" applyFill="1" applyBorder="1" applyAlignment="1">
      <alignment horizontal="center"/>
    </xf>
    <xf numFmtId="0" fontId="9" fillId="13" borderId="43" xfId="5" applyFont="1" applyFill="1" applyBorder="1" applyAlignment="1">
      <alignment horizontal="center"/>
    </xf>
    <xf numFmtId="166" fontId="9" fillId="0" borderId="0" xfId="5" applyNumberFormat="1" applyFont="1" applyAlignment="1">
      <alignment horizontal="center"/>
    </xf>
    <xf numFmtId="0" fontId="9" fillId="13" borderId="38" xfId="5" applyFont="1" applyFill="1" applyBorder="1" applyAlignment="1" applyProtection="1">
      <alignment horizontal="center"/>
      <protection hidden="1"/>
    </xf>
    <xf numFmtId="0" fontId="14" fillId="10" borderId="21" xfId="5" applyFont="1" applyFill="1" applyBorder="1" applyAlignment="1">
      <alignment horizontal="center"/>
    </xf>
    <xf numFmtId="1" fontId="29" fillId="9" borderId="2" xfId="5" applyNumberFormat="1" applyFont="1" applyFill="1" applyBorder="1" applyAlignment="1" applyProtection="1">
      <alignment horizontal="center"/>
      <protection hidden="1"/>
    </xf>
    <xf numFmtId="174" fontId="29" fillId="9" borderId="33" xfId="5" applyNumberFormat="1" applyFont="1" applyFill="1" applyBorder="1" applyAlignment="1" applyProtection="1">
      <alignment horizontal="center"/>
      <protection hidden="1"/>
    </xf>
    <xf numFmtId="174" fontId="14" fillId="10" borderId="32" xfId="5" applyNumberFormat="1" applyFont="1" applyFill="1" applyBorder="1" applyAlignment="1" applyProtection="1">
      <alignment horizontal="center"/>
      <protection hidden="1"/>
    </xf>
    <xf numFmtId="0" fontId="12" fillId="21" borderId="8" xfId="5" applyFont="1" applyFill="1" applyBorder="1" applyAlignment="1">
      <alignment horizontal="center"/>
    </xf>
    <xf numFmtId="0" fontId="20" fillId="0" borderId="0" xfId="5" applyFont="1" applyAlignment="1">
      <alignment horizontal="center"/>
    </xf>
    <xf numFmtId="166" fontId="18" fillId="0" borderId="0" xfId="5" applyNumberFormat="1" applyFont="1" applyAlignment="1">
      <alignment horizontal="center"/>
    </xf>
    <xf numFmtId="1" fontId="18" fillId="0" borderId="0" xfId="5" applyNumberFormat="1" applyFont="1" applyAlignment="1">
      <alignment horizontal="center"/>
    </xf>
    <xf numFmtId="0" fontId="12" fillId="13" borderId="17" xfId="5" applyFont="1" applyFill="1" applyBorder="1" applyAlignment="1" applyProtection="1">
      <alignment horizontal="center"/>
      <protection hidden="1"/>
    </xf>
    <xf numFmtId="0" fontId="12" fillId="13" borderId="19" xfId="5" applyFont="1" applyFill="1" applyBorder="1" applyAlignment="1" applyProtection="1">
      <alignment horizontal="center"/>
      <protection hidden="1"/>
    </xf>
    <xf numFmtId="0" fontId="12" fillId="13" borderId="46" xfId="5" applyFont="1" applyFill="1" applyBorder="1" applyAlignment="1" applyProtection="1">
      <alignment horizontal="center"/>
      <protection hidden="1"/>
    </xf>
    <xf numFmtId="0" fontId="12" fillId="13" borderId="15" xfId="5" applyFont="1" applyFill="1" applyBorder="1" applyAlignment="1" applyProtection="1">
      <alignment horizontal="center"/>
      <protection hidden="1"/>
    </xf>
    <xf numFmtId="0" fontId="12" fillId="13" borderId="42" xfId="5" applyFont="1" applyFill="1" applyBorder="1" applyAlignment="1" applyProtection="1">
      <alignment horizontal="center"/>
      <protection hidden="1"/>
    </xf>
    <xf numFmtId="0" fontId="12" fillId="13" borderId="8" xfId="5" applyFont="1" applyFill="1" applyBorder="1" applyAlignment="1">
      <alignment horizontal="center"/>
    </xf>
    <xf numFmtId="1" fontId="38" fillId="9" borderId="7" xfId="5" applyNumberFormat="1" applyFont="1" applyFill="1" applyBorder="1" applyAlignment="1" applyProtection="1">
      <alignment horizontal="center"/>
      <protection hidden="1"/>
    </xf>
    <xf numFmtId="1" fontId="39" fillId="9" borderId="25" xfId="5" applyNumberFormat="1" applyFont="1" applyFill="1" applyBorder="1" applyAlignment="1" applyProtection="1">
      <alignment horizontal="center"/>
      <protection hidden="1"/>
    </xf>
    <xf numFmtId="1" fontId="40" fillId="9" borderId="5" xfId="5" applyNumberFormat="1" applyFont="1" applyFill="1" applyBorder="1" applyAlignment="1" applyProtection="1">
      <alignment horizontal="center"/>
      <protection hidden="1"/>
    </xf>
    <xf numFmtId="1" fontId="9" fillId="29" borderId="24" xfId="5" applyNumberFormat="1" applyFont="1" applyFill="1" applyBorder="1" applyAlignment="1">
      <alignment horizontal="center"/>
    </xf>
    <xf numFmtId="1" fontId="38" fillId="9" borderId="6" xfId="5" applyNumberFormat="1" applyFont="1" applyFill="1" applyBorder="1" applyAlignment="1" applyProtection="1">
      <alignment horizontal="center"/>
      <protection hidden="1"/>
    </xf>
    <xf numFmtId="1" fontId="39" fillId="9" borderId="8" xfId="5" applyNumberFormat="1" applyFont="1" applyFill="1" applyBorder="1" applyAlignment="1">
      <alignment horizontal="center"/>
    </xf>
    <xf numFmtId="0" fontId="9" fillId="0" borderId="0" xfId="5" applyFont="1" applyAlignment="1" applyProtection="1">
      <alignment horizontal="center"/>
      <protection locked="0"/>
    </xf>
    <xf numFmtId="1" fontId="38" fillId="9" borderId="29" xfId="5" applyNumberFormat="1" applyFont="1" applyFill="1" applyBorder="1" applyAlignment="1" applyProtection="1">
      <alignment horizontal="center"/>
      <protection hidden="1"/>
    </xf>
    <xf numFmtId="1" fontId="39" fillId="9" borderId="8" xfId="5" applyNumberFormat="1" applyFont="1" applyFill="1" applyBorder="1" applyAlignment="1" applyProtection="1">
      <alignment horizontal="center"/>
      <protection hidden="1"/>
    </xf>
    <xf numFmtId="1" fontId="9" fillId="29" borderId="30" xfId="5" applyNumberFormat="1" applyFont="1" applyFill="1" applyBorder="1" applyAlignment="1">
      <alignment horizontal="center"/>
    </xf>
    <xf numFmtId="1" fontId="38" fillId="9" borderId="69" xfId="5" applyNumberFormat="1" applyFont="1" applyFill="1" applyBorder="1" applyAlignment="1" applyProtection="1">
      <alignment horizontal="center"/>
      <protection hidden="1"/>
    </xf>
    <xf numFmtId="1" fontId="38" fillId="9" borderId="33" xfId="5" applyNumberFormat="1" applyFont="1" applyFill="1" applyBorder="1" applyAlignment="1" applyProtection="1">
      <alignment horizontal="center"/>
      <protection hidden="1"/>
    </xf>
    <xf numFmtId="1" fontId="39" fillId="9" borderId="34" xfId="5" applyNumberFormat="1" applyFont="1" applyFill="1" applyBorder="1" applyAlignment="1" applyProtection="1">
      <alignment horizontal="center"/>
      <protection hidden="1"/>
    </xf>
    <xf numFmtId="1" fontId="9" fillId="29" borderId="35" xfId="5" applyNumberFormat="1" applyFont="1" applyFill="1" applyBorder="1" applyAlignment="1">
      <alignment horizontal="center"/>
    </xf>
    <xf numFmtId="1" fontId="38" fillId="9" borderId="66" xfId="5" applyNumberFormat="1" applyFont="1" applyFill="1" applyBorder="1" applyAlignment="1" applyProtection="1">
      <alignment horizontal="center"/>
      <protection hidden="1"/>
    </xf>
    <xf numFmtId="0" fontId="2" fillId="35" borderId="72" xfId="5" applyFill="1" applyBorder="1"/>
    <xf numFmtId="0" fontId="27" fillId="0" borderId="71" xfId="5" applyFont="1" applyBorder="1"/>
    <xf numFmtId="0" fontId="27" fillId="0" borderId="73" xfId="5" applyFont="1" applyBorder="1"/>
    <xf numFmtId="0" fontId="27" fillId="0" borderId="74" xfId="5" applyFont="1" applyBorder="1"/>
    <xf numFmtId="0" fontId="2" fillId="35" borderId="72" xfId="5" applyFill="1" applyBorder="1" applyAlignment="1">
      <alignment horizontal="center"/>
    </xf>
    <xf numFmtId="0" fontId="2" fillId="36" borderId="72" xfId="5" applyFill="1" applyBorder="1" applyAlignment="1">
      <alignment horizontal="center"/>
    </xf>
    <xf numFmtId="0" fontId="2" fillId="35" borderId="72" xfId="5" applyFill="1" applyBorder="1" applyAlignment="1">
      <alignment horizontal="center" vertical="center"/>
    </xf>
    <xf numFmtId="0" fontId="2" fillId="4" borderId="8" xfId="5" applyFill="1" applyBorder="1" applyAlignment="1">
      <alignment horizontal="center"/>
    </xf>
    <xf numFmtId="0" fontId="2" fillId="37" borderId="8" xfId="5" applyFill="1" applyBorder="1" applyAlignment="1">
      <alignment horizontal="center"/>
    </xf>
    <xf numFmtId="0" fontId="2" fillId="38" borderId="8" xfId="5" applyFill="1" applyBorder="1" applyAlignment="1">
      <alignment horizontal="center"/>
    </xf>
    <xf numFmtId="0" fontId="2" fillId="39" borderId="8" xfId="5" applyFill="1" applyBorder="1" applyAlignment="1">
      <alignment horizontal="center"/>
    </xf>
    <xf numFmtId="2" fontId="2" fillId="40" borderId="8" xfId="5" applyNumberFormat="1" applyFill="1" applyBorder="1" applyAlignment="1">
      <alignment horizontal="center"/>
    </xf>
    <xf numFmtId="1" fontId="2" fillId="13" borderId="0" xfId="5" applyNumberFormat="1" applyFill="1"/>
    <xf numFmtId="0" fontId="2" fillId="25" borderId="72" xfId="5" applyFill="1" applyBorder="1" applyAlignment="1">
      <alignment horizontal="center"/>
    </xf>
    <xf numFmtId="0" fontId="2" fillId="40" borderId="8" xfId="5" applyFill="1" applyBorder="1" applyAlignment="1">
      <alignment horizontal="center"/>
    </xf>
    <xf numFmtId="0" fontId="2" fillId="2" borderId="0" xfId="5" applyFill="1"/>
    <xf numFmtId="0" fontId="2" fillId="26" borderId="0" xfId="5" applyFill="1"/>
    <xf numFmtId="0" fontId="2" fillId="41" borderId="0" xfId="5" applyFill="1"/>
    <xf numFmtId="0" fontId="2" fillId="23" borderId="0" xfId="5" applyFill="1"/>
    <xf numFmtId="0" fontId="2" fillId="17" borderId="0" xfId="5" applyFill="1"/>
    <xf numFmtId="167" fontId="2" fillId="25" borderId="72" xfId="5" applyNumberFormat="1" applyFill="1" applyBorder="1" applyAlignment="1">
      <alignment horizontal="center"/>
    </xf>
    <xf numFmtId="167" fontId="2" fillId="0" borderId="0" xfId="5" applyNumberFormat="1" applyAlignment="1">
      <alignment horizontal="center"/>
    </xf>
    <xf numFmtId="0" fontId="2" fillId="31" borderId="8" xfId="5" applyFill="1" applyBorder="1" applyAlignment="1">
      <alignment horizontal="center"/>
    </xf>
    <xf numFmtId="167" fontId="2" fillId="25" borderId="72" xfId="5" applyNumberFormat="1" applyFill="1" applyBorder="1"/>
    <xf numFmtId="167" fontId="2" fillId="36" borderId="72" xfId="5" applyNumberFormat="1" applyFill="1" applyBorder="1" applyAlignment="1">
      <alignment horizontal="center"/>
    </xf>
    <xf numFmtId="2" fontId="2" fillId="31" borderId="8" xfId="5" applyNumberFormat="1" applyFill="1" applyBorder="1" applyAlignment="1">
      <alignment horizontal="center"/>
    </xf>
    <xf numFmtId="0" fontId="12" fillId="0" borderId="0" xfId="5" applyFont="1" applyAlignment="1">
      <alignment horizontal="center"/>
    </xf>
    <xf numFmtId="0" fontId="2" fillId="8" borderId="8" xfId="5" applyFill="1" applyBorder="1" applyAlignment="1">
      <alignment horizontal="center"/>
    </xf>
    <xf numFmtId="2" fontId="2" fillId="0" borderId="0" xfId="5" applyNumberFormat="1" applyAlignment="1">
      <alignment horizontal="center"/>
    </xf>
    <xf numFmtId="166" fontId="2" fillId="0" borderId="0" xfId="5" applyNumberFormat="1" applyAlignment="1">
      <alignment horizontal="center"/>
    </xf>
    <xf numFmtId="0" fontId="9" fillId="35" borderId="72" xfId="5" applyFont="1" applyFill="1" applyBorder="1" applyAlignment="1">
      <alignment horizontal="center"/>
    </xf>
    <xf numFmtId="166" fontId="2" fillId="25" borderId="72" xfId="5" applyNumberFormat="1" applyFill="1" applyBorder="1" applyAlignment="1">
      <alignment horizontal="center"/>
    </xf>
    <xf numFmtId="168" fontId="2" fillId="36" borderId="72" xfId="5" applyNumberFormat="1" applyFill="1" applyBorder="1" applyAlignment="1">
      <alignment horizontal="center"/>
    </xf>
    <xf numFmtId="0" fontId="2" fillId="4" borderId="9" xfId="5" applyFill="1" applyBorder="1" applyAlignment="1">
      <alignment horizontal="center"/>
    </xf>
    <xf numFmtId="0" fontId="2" fillId="37" borderId="9" xfId="5" applyFill="1" applyBorder="1" applyAlignment="1">
      <alignment horizontal="center"/>
    </xf>
    <xf numFmtId="0" fontId="2" fillId="38" borderId="9" xfId="5" applyFill="1" applyBorder="1" applyAlignment="1">
      <alignment horizontal="center"/>
    </xf>
    <xf numFmtId="0" fontId="2" fillId="39" borderId="9" xfId="5" applyFill="1" applyBorder="1" applyAlignment="1">
      <alignment horizontal="center"/>
    </xf>
    <xf numFmtId="0" fontId="2" fillId="40" borderId="9" xfId="5" applyFill="1" applyBorder="1" applyAlignment="1">
      <alignment horizontal="center"/>
    </xf>
    <xf numFmtId="2" fontId="29" fillId="5" borderId="8" xfId="5" applyNumberFormat="1" applyFont="1" applyFill="1" applyBorder="1"/>
    <xf numFmtId="0" fontId="41" fillId="6" borderId="8" xfId="5" applyFont="1" applyFill="1" applyBorder="1"/>
    <xf numFmtId="0" fontId="9" fillId="35" borderId="72" xfId="5" applyFont="1" applyFill="1" applyBorder="1"/>
    <xf numFmtId="0" fontId="43" fillId="25" borderId="71" xfId="5" applyFont="1" applyFill="1" applyBorder="1" applyAlignment="1">
      <alignment horizontal="center"/>
    </xf>
    <xf numFmtId="0" fontId="43" fillId="25" borderId="73" xfId="5" applyFont="1" applyFill="1" applyBorder="1" applyAlignment="1">
      <alignment horizontal="center"/>
    </xf>
    <xf numFmtId="0" fontId="43" fillId="25" borderId="77" xfId="5" applyFont="1" applyFill="1" applyBorder="1" applyAlignment="1">
      <alignment horizontal="center"/>
    </xf>
    <xf numFmtId="0" fontId="43" fillId="25" borderId="78" xfId="5" applyFont="1" applyFill="1" applyBorder="1" applyAlignment="1">
      <alignment horizontal="center"/>
    </xf>
    <xf numFmtId="0" fontId="43" fillId="25" borderId="79" xfId="5" applyFont="1" applyFill="1" applyBorder="1" applyAlignment="1">
      <alignment horizontal="center"/>
    </xf>
    <xf numFmtId="0" fontId="43" fillId="25" borderId="80" xfId="5" applyFont="1" applyFill="1" applyBorder="1" applyAlignment="1">
      <alignment horizontal="center"/>
    </xf>
    <xf numFmtId="2" fontId="44" fillId="9" borderId="0" xfId="5" applyNumberFormat="1" applyFont="1" applyFill="1" applyAlignment="1" applyProtection="1">
      <alignment horizontal="center"/>
      <protection hidden="1"/>
    </xf>
    <xf numFmtId="0" fontId="2" fillId="35" borderId="0" xfId="5" applyFill="1" applyAlignment="1">
      <alignment horizontal="center"/>
    </xf>
    <xf numFmtId="0" fontId="2" fillId="35" borderId="71" xfId="5" applyFill="1" applyBorder="1" applyAlignment="1">
      <alignment horizontal="center"/>
    </xf>
    <xf numFmtId="0" fontId="2" fillId="25" borderId="0" xfId="5" applyFill="1" applyAlignment="1">
      <alignment horizontal="center"/>
    </xf>
    <xf numFmtId="0" fontId="45" fillId="27" borderId="72" xfId="5" applyFont="1" applyFill="1" applyBorder="1" applyAlignment="1">
      <alignment horizontal="center"/>
    </xf>
    <xf numFmtId="0" fontId="46" fillId="0" borderId="72" xfId="5" applyFont="1" applyBorder="1"/>
    <xf numFmtId="0" fontId="45" fillId="25" borderId="72" xfId="5" applyFont="1" applyFill="1" applyBorder="1" applyAlignment="1">
      <alignment horizontal="center"/>
    </xf>
    <xf numFmtId="0" fontId="46" fillId="27" borderId="72" xfId="5" applyFont="1" applyFill="1" applyBorder="1" applyAlignment="1">
      <alignment horizontal="center"/>
    </xf>
    <xf numFmtId="178" fontId="24" fillId="25" borderId="72" xfId="2" applyNumberFormat="1" applyFont="1" applyFill="1" applyBorder="1" applyAlignment="1" applyProtection="1">
      <alignment horizontal="center"/>
    </xf>
    <xf numFmtId="0" fontId="46" fillId="25" borderId="72" xfId="5" applyFont="1" applyFill="1" applyBorder="1" applyAlignment="1">
      <alignment horizontal="center"/>
    </xf>
    <xf numFmtId="178" fontId="9" fillId="25" borderId="72" xfId="2" applyNumberFormat="1" applyFont="1" applyFill="1" applyBorder="1" applyAlignment="1" applyProtection="1">
      <alignment horizontal="center"/>
    </xf>
    <xf numFmtId="178" fontId="9" fillId="17" borderId="72" xfId="2" applyNumberFormat="1" applyFont="1" applyFill="1" applyBorder="1" applyAlignment="1" applyProtection="1">
      <alignment horizontal="center"/>
    </xf>
    <xf numFmtId="179" fontId="24" fillId="25" borderId="72" xfId="2" applyNumberFormat="1" applyFont="1" applyFill="1" applyBorder="1" applyAlignment="1" applyProtection="1">
      <alignment horizontal="center"/>
    </xf>
    <xf numFmtId="0" fontId="2" fillId="27" borderId="71" xfId="5" applyFill="1" applyBorder="1" applyAlignment="1">
      <alignment horizontal="center"/>
    </xf>
    <xf numFmtId="180" fontId="24" fillId="25" borderId="72" xfId="2" applyNumberFormat="1" applyFont="1" applyFill="1" applyBorder="1" applyAlignment="1" applyProtection="1">
      <alignment horizontal="center"/>
    </xf>
    <xf numFmtId="3" fontId="9" fillId="0" borderId="0" xfId="10" applyNumberFormat="1" applyFont="1" applyBorder="1" applyAlignment="1" applyProtection="1">
      <alignment horizontal="center"/>
    </xf>
    <xf numFmtId="37" fontId="9" fillId="27" borderId="8" xfId="1" applyNumberFormat="1" applyFont="1" applyFill="1" applyBorder="1" applyAlignment="1" applyProtection="1">
      <alignment horizontal="center"/>
    </xf>
    <xf numFmtId="3" fontId="8" fillId="0" borderId="0" xfId="5" applyNumberFormat="1" applyFont="1"/>
    <xf numFmtId="3" fontId="8" fillId="27" borderId="8" xfId="5" applyNumberFormat="1" applyFont="1" applyFill="1" applyBorder="1" applyAlignment="1">
      <alignment horizontal="center"/>
    </xf>
    <xf numFmtId="37" fontId="9" fillId="0" borderId="0" xfId="1" applyNumberFormat="1" applyFont="1" applyBorder="1" applyAlignment="1" applyProtection="1">
      <alignment horizontal="center"/>
    </xf>
    <xf numFmtId="3" fontId="8" fillId="25" borderId="8" xfId="5" applyNumberFormat="1" applyFont="1" applyFill="1" applyBorder="1" applyAlignment="1" applyProtection="1">
      <alignment horizontal="center"/>
      <protection hidden="1"/>
    </xf>
    <xf numFmtId="3" fontId="8" fillId="25" borderId="8" xfId="5" applyNumberFormat="1" applyFont="1" applyFill="1" applyBorder="1" applyAlignment="1">
      <alignment horizontal="center"/>
    </xf>
    <xf numFmtId="37" fontId="9" fillId="25" borderId="8" xfId="1" applyNumberFormat="1" applyFont="1" applyFill="1" applyBorder="1" applyAlignment="1" applyProtection="1">
      <alignment horizontal="center"/>
    </xf>
    <xf numFmtId="37" fontId="9" fillId="25" borderId="8" xfId="1" applyNumberFormat="1" applyFont="1" applyFill="1" applyBorder="1" applyAlignment="1" applyProtection="1">
      <alignment horizontal="center" vertical="center"/>
    </xf>
    <xf numFmtId="3" fontId="8" fillId="25" borderId="25" xfId="5" applyNumberFormat="1" applyFont="1" applyFill="1" applyBorder="1" applyAlignment="1">
      <alignment horizontal="center"/>
    </xf>
    <xf numFmtId="3" fontId="8" fillId="0" borderId="0" xfId="5" applyNumberFormat="1" applyFont="1" applyAlignment="1">
      <alignment horizontal="center"/>
    </xf>
    <xf numFmtId="37" fontId="9" fillId="0" borderId="0" xfId="1" applyNumberFormat="1" applyFont="1" applyBorder="1" applyAlignment="1" applyProtection="1">
      <alignment horizontal="center" vertical="center"/>
    </xf>
    <xf numFmtId="37" fontId="9" fillId="25" borderId="25" xfId="1" applyNumberFormat="1" applyFont="1" applyFill="1" applyBorder="1" applyAlignment="1" applyProtection="1">
      <alignment horizontal="center"/>
    </xf>
    <xf numFmtId="0" fontId="8" fillId="25" borderId="8" xfId="5" applyFont="1" applyFill="1" applyBorder="1" applyAlignment="1" applyProtection="1">
      <alignment horizontal="center" vertical="center"/>
      <protection hidden="1"/>
    </xf>
    <xf numFmtId="0" fontId="8" fillId="25" borderId="8" xfId="5" applyFont="1" applyFill="1" applyBorder="1" applyAlignment="1" applyProtection="1">
      <alignment horizontal="center"/>
      <protection hidden="1"/>
    </xf>
    <xf numFmtId="0" fontId="2" fillId="25" borderId="8" xfId="5" applyFill="1" applyBorder="1" applyAlignment="1">
      <alignment horizontal="center"/>
    </xf>
    <xf numFmtId="0" fontId="8" fillId="25" borderId="8" xfId="5" applyFont="1" applyFill="1" applyBorder="1" applyAlignment="1" applyProtection="1">
      <alignment vertical="center"/>
      <protection hidden="1"/>
    </xf>
    <xf numFmtId="0" fontId="8" fillId="25" borderId="8" xfId="5" applyFont="1" applyFill="1" applyBorder="1" applyProtection="1">
      <protection hidden="1"/>
    </xf>
    <xf numFmtId="0" fontId="8" fillId="0" borderId="0" xfId="5" applyFont="1" applyAlignment="1" applyProtection="1">
      <alignment vertical="center"/>
      <protection hidden="1"/>
    </xf>
    <xf numFmtId="2" fontId="29" fillId="0" borderId="0" xfId="5" applyNumberFormat="1" applyFont="1"/>
    <xf numFmtId="2" fontId="29" fillId="0" borderId="0" xfId="5" applyNumberFormat="1" applyFont="1" applyAlignment="1">
      <alignment horizontal="center"/>
    </xf>
    <xf numFmtId="2" fontId="35" fillId="34" borderId="72" xfId="5" applyNumberFormat="1" applyFont="1" applyFill="1" applyBorder="1" applyAlignment="1">
      <alignment horizontal="center"/>
    </xf>
    <xf numFmtId="2" fontId="35" fillId="0" borderId="0" xfId="5" applyNumberFormat="1" applyFont="1"/>
    <xf numFmtId="2" fontId="35" fillId="42" borderId="81" xfId="5" applyNumberFormat="1" applyFont="1" applyFill="1" applyBorder="1" applyAlignment="1">
      <alignment horizontal="center"/>
    </xf>
    <xf numFmtId="0" fontId="48" fillId="7" borderId="72" xfId="0" applyFont="1" applyFill="1" applyBorder="1" applyAlignment="1">
      <alignment horizontal="center"/>
    </xf>
    <xf numFmtId="2" fontId="35" fillId="35" borderId="72" xfId="5" applyNumberFormat="1" applyFont="1" applyFill="1" applyBorder="1" applyAlignment="1">
      <alignment horizontal="center"/>
    </xf>
    <xf numFmtId="2" fontId="35" fillId="35" borderId="82" xfId="5" applyNumberFormat="1" applyFont="1" applyFill="1" applyBorder="1" applyAlignment="1">
      <alignment horizontal="center"/>
    </xf>
    <xf numFmtId="2" fontId="35" fillId="35" borderId="83" xfId="5" applyNumberFormat="1" applyFont="1" applyFill="1" applyBorder="1" applyAlignment="1">
      <alignment horizontal="center"/>
    </xf>
    <xf numFmtId="2" fontId="35" fillId="35" borderId="84" xfId="5" applyNumberFormat="1" applyFont="1" applyFill="1" applyBorder="1" applyAlignment="1">
      <alignment horizontal="center"/>
    </xf>
    <xf numFmtId="0" fontId="48" fillId="43" borderId="72" xfId="0" applyFont="1" applyFill="1" applyBorder="1" applyAlignment="1">
      <alignment horizontal="center" vertical="center"/>
    </xf>
    <xf numFmtId="2" fontId="35" fillId="35" borderId="76" xfId="5" applyNumberFormat="1" applyFont="1" applyFill="1" applyBorder="1" applyAlignment="1">
      <alignment horizontal="center"/>
    </xf>
    <xf numFmtId="2" fontId="29" fillId="25" borderId="72" xfId="5" applyNumberFormat="1" applyFont="1" applyFill="1" applyBorder="1" applyAlignment="1">
      <alignment horizontal="center"/>
    </xf>
    <xf numFmtId="2" fontId="29" fillId="0" borderId="85" xfId="5" applyNumberFormat="1" applyFont="1" applyBorder="1"/>
    <xf numFmtId="166" fontId="35" fillId="0" borderId="85" xfId="0" applyNumberFormat="1" applyFont="1" applyBorder="1"/>
    <xf numFmtId="166" fontId="29" fillId="44" borderId="75" xfId="0" applyNumberFormat="1" applyFont="1" applyFill="1" applyBorder="1" applyAlignment="1">
      <alignment horizontal="center"/>
    </xf>
    <xf numFmtId="166" fontId="35" fillId="0" borderId="86" xfId="0" applyNumberFormat="1" applyFont="1" applyBorder="1"/>
    <xf numFmtId="166" fontId="29" fillId="44" borderId="72" xfId="0" applyNumberFormat="1" applyFont="1" applyFill="1" applyBorder="1" applyAlignment="1">
      <alignment horizontal="center"/>
    </xf>
    <xf numFmtId="2" fontId="29" fillId="17" borderId="72" xfId="5" applyNumberFormat="1" applyFont="1" applyFill="1" applyBorder="1" applyAlignment="1">
      <alignment horizontal="center"/>
    </xf>
    <xf numFmtId="2" fontId="35" fillId="0" borderId="0" xfId="5" applyNumberFormat="1" applyFont="1" applyAlignment="1">
      <alignment horizontal="center"/>
    </xf>
    <xf numFmtId="166" fontId="29" fillId="17" borderId="72" xfId="5" applyNumberFormat="1" applyFont="1" applyFill="1" applyBorder="1" applyAlignment="1" applyProtection="1">
      <alignment horizontal="center"/>
      <protection locked="0"/>
    </xf>
    <xf numFmtId="166" fontId="35" fillId="0" borderId="0" xfId="5" applyNumberFormat="1" applyFont="1" applyProtection="1">
      <protection locked="0"/>
    </xf>
    <xf numFmtId="166" fontId="35" fillId="0" borderId="87" xfId="0" applyNumberFormat="1" applyFont="1" applyBorder="1"/>
    <xf numFmtId="2" fontId="29" fillId="17" borderId="72" xfId="5" applyNumberFormat="1" applyFont="1" applyFill="1" applyBorder="1"/>
    <xf numFmtId="2" fontId="29" fillId="17" borderId="72" xfId="5" applyNumberFormat="1" applyFont="1" applyFill="1" applyBorder="1" applyAlignment="1" applyProtection="1">
      <alignment horizontal="center"/>
      <protection locked="0"/>
    </xf>
    <xf numFmtId="2" fontId="35" fillId="0" borderId="0" xfId="5" applyNumberFormat="1" applyFont="1" applyProtection="1">
      <protection locked="0"/>
    </xf>
    <xf numFmtId="166" fontId="35" fillId="0" borderId="76" xfId="0" applyNumberFormat="1" applyFont="1" applyBorder="1"/>
    <xf numFmtId="2" fontId="29" fillId="0" borderId="79" xfId="5" applyNumberFormat="1" applyFont="1" applyBorder="1"/>
    <xf numFmtId="2" fontId="29" fillId="6" borderId="72" xfId="5" applyNumberFormat="1" applyFont="1" applyFill="1" applyBorder="1" applyAlignment="1">
      <alignment horizontal="center"/>
    </xf>
    <xf numFmtId="166" fontId="29" fillId="0" borderId="0" xfId="5" applyNumberFormat="1" applyFont="1" applyProtection="1">
      <protection locked="0"/>
    </xf>
    <xf numFmtId="2" fontId="29" fillId="0" borderId="0" xfId="5" applyNumberFormat="1" applyFont="1" applyProtection="1">
      <protection locked="0"/>
    </xf>
    <xf numFmtId="166" fontId="49" fillId="17" borderId="72" xfId="5" applyNumberFormat="1" applyFont="1" applyFill="1" applyBorder="1" applyAlignment="1" applyProtection="1">
      <alignment horizontal="center"/>
      <protection locked="0"/>
    </xf>
    <xf numFmtId="166" fontId="51" fillId="17" borderId="72" xfId="5" applyNumberFormat="1" applyFont="1" applyFill="1" applyBorder="1" applyAlignment="1" applyProtection="1">
      <alignment horizontal="center"/>
      <protection locked="0"/>
    </xf>
    <xf numFmtId="2" fontId="29" fillId="17" borderId="0" xfId="5" applyNumberFormat="1" applyFont="1" applyFill="1" applyAlignment="1">
      <alignment horizontal="center"/>
    </xf>
    <xf numFmtId="166" fontId="29" fillId="17" borderId="0" xfId="5" applyNumberFormat="1" applyFont="1" applyFill="1" applyAlignment="1" applyProtection="1">
      <alignment horizontal="center"/>
      <protection locked="0"/>
    </xf>
    <xf numFmtId="2" fontId="29" fillId="17" borderId="75" xfId="5" applyNumberFormat="1" applyFont="1" applyFill="1" applyBorder="1" applyAlignment="1">
      <alignment horizontal="center"/>
    </xf>
    <xf numFmtId="166" fontId="29" fillId="0" borderId="76" xfId="0" applyNumberFormat="1" applyFont="1" applyBorder="1" applyAlignment="1">
      <alignment horizontal="center"/>
    </xf>
    <xf numFmtId="166" fontId="29" fillId="23" borderId="72" xfId="0" applyNumberFormat="1" applyFont="1" applyFill="1" applyBorder="1" applyAlignment="1">
      <alignment horizontal="center" vertical="center"/>
    </xf>
    <xf numFmtId="166" fontId="29" fillId="23" borderId="85" xfId="0" applyNumberFormat="1" applyFont="1" applyFill="1" applyBorder="1" applyAlignment="1">
      <alignment horizontal="center" vertical="center"/>
    </xf>
    <xf numFmtId="166" fontId="35" fillId="0" borderId="85" xfId="0" applyNumberFormat="1" applyFont="1" applyBorder="1" applyAlignment="1">
      <alignment horizontal="center" vertical="center"/>
    </xf>
    <xf numFmtId="166" fontId="29" fillId="44" borderId="74" xfId="0" applyNumberFormat="1" applyFont="1" applyFill="1" applyBorder="1" applyAlignment="1">
      <alignment horizontal="center" vertical="center"/>
    </xf>
    <xf numFmtId="167" fontId="9" fillId="0" borderId="85" xfId="5" applyNumberFormat="1" applyFont="1" applyBorder="1"/>
    <xf numFmtId="0" fontId="41" fillId="0" borderId="0" xfId="5" applyFont="1" applyProtection="1">
      <protection hidden="1"/>
    </xf>
    <xf numFmtId="0" fontId="52" fillId="0" borderId="76" xfId="5" applyFont="1" applyBorder="1" applyAlignment="1" applyProtection="1">
      <alignment horizontal="center"/>
      <protection hidden="1"/>
    </xf>
    <xf numFmtId="0" fontId="41" fillId="0" borderId="76" xfId="5" applyFont="1" applyBorder="1" applyProtection="1">
      <protection hidden="1"/>
    </xf>
    <xf numFmtId="0" fontId="41" fillId="0" borderId="72" xfId="5" applyFont="1" applyBorder="1" applyProtection="1">
      <protection hidden="1"/>
    </xf>
    <xf numFmtId="0" fontId="41" fillId="0" borderId="74" xfId="4" applyFont="1" applyBorder="1" applyAlignment="1" applyProtection="1">
      <alignment horizontal="center" vertical="top"/>
      <protection hidden="1"/>
    </xf>
    <xf numFmtId="0" fontId="41" fillId="13" borderId="88" xfId="5" applyFont="1" applyFill="1" applyBorder="1" applyProtection="1">
      <protection hidden="1"/>
    </xf>
    <xf numFmtId="0" fontId="41" fillId="0" borderId="74" xfId="4" applyFont="1" applyBorder="1" applyAlignment="1" applyProtection="1">
      <alignment horizontal="center" vertical="center"/>
      <protection hidden="1"/>
    </xf>
    <xf numFmtId="0" fontId="41" fillId="13" borderId="88" xfId="4" applyFont="1" applyFill="1" applyBorder="1" applyAlignment="1" applyProtection="1">
      <alignment horizontal="center" vertical="center"/>
      <protection hidden="1"/>
    </xf>
    <xf numFmtId="0" fontId="41" fillId="13" borderId="87" xfId="4" applyFont="1" applyFill="1" applyBorder="1" applyAlignment="1" applyProtection="1">
      <alignment horizontal="center" vertical="center"/>
      <protection hidden="1"/>
    </xf>
    <xf numFmtId="0" fontId="41" fillId="13" borderId="89" xfId="4" applyFont="1" applyFill="1" applyBorder="1" applyAlignment="1" applyProtection="1">
      <alignment horizontal="center" vertical="center"/>
      <protection hidden="1"/>
    </xf>
    <xf numFmtId="168" fontId="29" fillId="46" borderId="91" xfId="3" applyNumberFormat="1" applyFont="1" applyFill="1" applyBorder="1" applyAlignment="1" applyProtection="1">
      <alignment horizontal="center" vertical="top"/>
      <protection hidden="1"/>
    </xf>
    <xf numFmtId="168" fontId="29" fillId="0" borderId="74" xfId="3" applyNumberFormat="1" applyFont="1" applyBorder="1" applyAlignment="1" applyProtection="1">
      <alignment horizontal="center"/>
      <protection hidden="1"/>
    </xf>
    <xf numFmtId="0" fontId="29" fillId="11" borderId="93" xfId="3" applyFont="1" applyFill="1" applyBorder="1" applyAlignment="1" applyProtection="1">
      <alignment horizontal="center" vertical="top"/>
      <protection locked="0"/>
    </xf>
    <xf numFmtId="0" fontId="29" fillId="0" borderId="74" xfId="3" applyFont="1" applyBorder="1" applyAlignment="1" applyProtection="1">
      <alignment horizontal="center" vertical="center"/>
      <protection hidden="1"/>
    </xf>
    <xf numFmtId="0" fontId="41" fillId="47" borderId="90" xfId="4" applyFont="1" applyFill="1" applyBorder="1" applyAlignment="1" applyProtection="1">
      <alignment horizontal="center" vertical="center"/>
      <protection locked="0"/>
    </xf>
    <xf numFmtId="0" fontId="41" fillId="47" borderId="72" xfId="4" applyFont="1" applyFill="1" applyBorder="1" applyAlignment="1" applyProtection="1">
      <alignment horizontal="center" vertical="center"/>
      <protection locked="0"/>
    </xf>
    <xf numFmtId="0" fontId="41" fillId="46" borderId="94" xfId="5" applyFont="1" applyFill="1" applyBorder="1" applyAlignment="1" applyProtection="1">
      <alignment horizontal="center" vertical="center"/>
      <protection hidden="1"/>
    </xf>
    <xf numFmtId="0" fontId="41" fillId="0" borderId="74" xfId="5" applyFont="1" applyBorder="1" applyAlignment="1" applyProtection="1">
      <alignment horizontal="center" vertical="center"/>
      <protection hidden="1"/>
    </xf>
    <xf numFmtId="0" fontId="29" fillId="11" borderId="95" xfId="3" applyFont="1" applyFill="1" applyBorder="1" applyAlignment="1" applyProtection="1">
      <alignment horizontal="center" vertical="top"/>
      <protection locked="0"/>
    </xf>
    <xf numFmtId="0" fontId="41" fillId="0" borderId="0" xfId="5" applyFont="1" applyProtection="1">
      <protection locked="0"/>
    </xf>
    <xf numFmtId="0" fontId="29" fillId="13" borderId="50" xfId="3" applyFont="1" applyFill="1" applyBorder="1" applyAlignment="1" applyProtection="1">
      <alignment vertical="top"/>
      <protection hidden="1"/>
    </xf>
    <xf numFmtId="0" fontId="29" fillId="13" borderId="69" xfId="3" applyFont="1" applyFill="1" applyBorder="1" applyAlignment="1" applyProtection="1">
      <alignment vertical="top"/>
      <protection hidden="1"/>
    </xf>
    <xf numFmtId="0" fontId="29" fillId="13" borderId="29" xfId="3" applyFont="1" applyFill="1" applyBorder="1" applyAlignment="1" applyProtection="1">
      <alignment vertical="top"/>
      <protection hidden="1"/>
    </xf>
    <xf numFmtId="0" fontId="29" fillId="13" borderId="97" xfId="3" applyFont="1" applyFill="1" applyBorder="1" applyAlignment="1" applyProtection="1">
      <alignment vertical="top"/>
      <protection hidden="1"/>
    </xf>
    <xf numFmtId="0" fontId="29" fillId="13" borderId="98" xfId="3" applyFont="1" applyFill="1" applyBorder="1" applyAlignment="1" applyProtection="1">
      <alignment vertical="top"/>
      <protection hidden="1"/>
    </xf>
    <xf numFmtId="0" fontId="29" fillId="13" borderId="99" xfId="3" applyFont="1" applyFill="1" applyBorder="1" applyAlignment="1" applyProtection="1">
      <alignment vertical="top"/>
      <protection hidden="1"/>
    </xf>
    <xf numFmtId="0" fontId="41" fillId="11" borderId="72" xfId="4" applyFont="1" applyFill="1" applyBorder="1" applyAlignment="1" applyProtection="1">
      <alignment horizontal="center" vertical="center"/>
      <protection locked="0"/>
    </xf>
    <xf numFmtId="0" fontId="29" fillId="13" borderId="100" xfId="3" applyFont="1" applyFill="1" applyBorder="1" applyAlignment="1" applyProtection="1">
      <alignment vertical="top"/>
      <protection hidden="1"/>
    </xf>
    <xf numFmtId="0" fontId="29" fillId="13" borderId="74" xfId="3" applyFont="1" applyFill="1" applyBorder="1" applyAlignment="1" applyProtection="1">
      <alignment vertical="top"/>
      <protection hidden="1"/>
    </xf>
    <xf numFmtId="0" fontId="29" fillId="13" borderId="93" xfId="3" applyFont="1" applyFill="1" applyBorder="1" applyAlignment="1" applyProtection="1">
      <alignment vertical="top"/>
      <protection hidden="1"/>
    </xf>
    <xf numFmtId="0" fontId="41" fillId="13" borderId="94" xfId="4" applyFont="1" applyFill="1" applyBorder="1" applyAlignment="1" applyProtection="1">
      <alignment horizontal="center" vertical="center"/>
      <protection hidden="1"/>
    </xf>
    <xf numFmtId="0" fontId="41" fillId="13" borderId="101" xfId="4" applyFont="1" applyFill="1" applyBorder="1" applyAlignment="1" applyProtection="1">
      <alignment horizontal="center" vertical="center"/>
      <protection hidden="1"/>
    </xf>
    <xf numFmtId="0" fontId="41" fillId="13" borderId="0" xfId="5" applyFont="1" applyFill="1" applyProtection="1">
      <protection hidden="1"/>
    </xf>
    <xf numFmtId="0" fontId="52" fillId="0" borderId="0" xfId="5" applyFont="1" applyProtection="1">
      <protection hidden="1"/>
    </xf>
    <xf numFmtId="0" fontId="41" fillId="0" borderId="0" xfId="4" applyFont="1" applyProtection="1">
      <protection hidden="1"/>
    </xf>
    <xf numFmtId="0" fontId="53" fillId="0" borderId="0" xfId="5" applyFont="1" applyProtection="1">
      <protection hidden="1"/>
    </xf>
    <xf numFmtId="49" fontId="41" fillId="0" borderId="0" xfId="5" applyNumberFormat="1" applyFont="1" applyAlignment="1" applyProtection="1">
      <alignment vertical="center" wrapText="1"/>
      <protection hidden="1"/>
    </xf>
    <xf numFmtId="0" fontId="41" fillId="0" borderId="0" xfId="5" applyFont="1" applyAlignment="1" applyProtection="1">
      <alignment vertical="center" wrapText="1"/>
      <protection hidden="1"/>
    </xf>
    <xf numFmtId="0" fontId="41" fillId="13" borderId="88" xfId="5" applyFont="1" applyFill="1" applyBorder="1" applyAlignment="1" applyProtection="1">
      <alignment horizontal="center"/>
      <protection hidden="1"/>
    </xf>
    <xf numFmtId="0" fontId="41" fillId="13" borderId="90" xfId="5" applyFont="1" applyFill="1" applyBorder="1" applyAlignment="1" applyProtection="1">
      <alignment horizontal="center"/>
      <protection hidden="1"/>
    </xf>
    <xf numFmtId="0" fontId="41" fillId="0" borderId="0" xfId="5" applyFont="1" applyAlignment="1" applyProtection="1">
      <alignment wrapText="1"/>
      <protection hidden="1"/>
    </xf>
    <xf numFmtId="0" fontId="41" fillId="13" borderId="102" xfId="5" applyFont="1" applyFill="1" applyBorder="1" applyAlignment="1" applyProtection="1">
      <alignment horizontal="center"/>
      <protection hidden="1"/>
    </xf>
    <xf numFmtId="0" fontId="52" fillId="0" borderId="0" xfId="5" applyFont="1" applyAlignment="1" applyProtection="1">
      <alignment vertical="center"/>
      <protection hidden="1"/>
    </xf>
    <xf numFmtId="0" fontId="53" fillId="0" borderId="0" xfId="5" applyFont="1" applyAlignment="1" applyProtection="1">
      <alignment horizontal="center"/>
      <protection hidden="1"/>
    </xf>
    <xf numFmtId="0" fontId="41" fillId="0" borderId="0" xfId="5" applyFont="1" applyAlignment="1" applyProtection="1">
      <alignment horizontal="center" vertical="center" wrapText="1"/>
      <protection hidden="1"/>
    </xf>
    <xf numFmtId="49" fontId="41" fillId="0" borderId="0" xfId="5" applyNumberFormat="1" applyFont="1" applyAlignment="1" applyProtection="1">
      <alignment horizontal="center" vertical="center" wrapText="1"/>
      <protection hidden="1"/>
    </xf>
    <xf numFmtId="0" fontId="57" fillId="12" borderId="0" xfId="5" applyFont="1" applyFill="1" applyAlignment="1" applyProtection="1">
      <alignment vertical="center"/>
      <protection locked="0"/>
    </xf>
    <xf numFmtId="0" fontId="57" fillId="9" borderId="8" xfId="5" applyFont="1" applyFill="1" applyBorder="1" applyAlignment="1" applyProtection="1">
      <alignment horizontal="left" vertical="center"/>
      <protection locked="0"/>
    </xf>
    <xf numFmtId="1" fontId="57" fillId="16" borderId="8" xfId="5" applyNumberFormat="1" applyFont="1" applyFill="1" applyBorder="1" applyAlignment="1" applyProtection="1">
      <alignment horizontal="center" vertical="center"/>
      <protection locked="0"/>
    </xf>
    <xf numFmtId="0" fontId="59" fillId="26" borderId="0" xfId="5" applyFont="1" applyFill="1"/>
    <xf numFmtId="0" fontId="60" fillId="0" borderId="0" xfId="5" applyFont="1"/>
    <xf numFmtId="0" fontId="60" fillId="0" borderId="109" xfId="5" applyFont="1" applyBorder="1" applyAlignment="1">
      <alignment horizontal="center"/>
    </xf>
    <xf numFmtId="0" fontId="60" fillId="0" borderId="110" xfId="5" applyFont="1" applyBorder="1" applyAlignment="1">
      <alignment horizontal="center"/>
    </xf>
    <xf numFmtId="0" fontId="60" fillId="0" borderId="111" xfId="5" applyFont="1" applyBorder="1" applyAlignment="1">
      <alignment horizontal="center"/>
    </xf>
    <xf numFmtId="3" fontId="60" fillId="0" borderId="112" xfId="10" applyNumberFormat="1" applyFont="1" applyBorder="1" applyAlignment="1" applyProtection="1">
      <alignment horizontal="center"/>
    </xf>
    <xf numFmtId="0" fontId="60" fillId="0" borderId="113" xfId="5" applyFont="1" applyBorder="1"/>
    <xf numFmtId="0" fontId="60" fillId="0" borderId="114" xfId="5" applyFont="1" applyBorder="1"/>
    <xf numFmtId="3" fontId="60" fillId="0" borderId="115" xfId="10" applyNumberFormat="1" applyFont="1" applyBorder="1" applyAlignment="1" applyProtection="1">
      <alignment horizontal="center"/>
    </xf>
    <xf numFmtId="0" fontId="60" fillId="0" borderId="61" xfId="5" applyFont="1" applyBorder="1"/>
    <xf numFmtId="0" fontId="60" fillId="0" borderId="116" xfId="5" applyFont="1" applyBorder="1"/>
    <xf numFmtId="3" fontId="60" fillId="0" borderId="117" xfId="10" applyNumberFormat="1" applyFont="1" applyBorder="1" applyAlignment="1" applyProtection="1">
      <alignment horizontal="center"/>
    </xf>
    <xf numFmtId="0" fontId="60" fillId="0" borderId="118" xfId="5" applyFont="1" applyBorder="1"/>
    <xf numFmtId="0" fontId="60" fillId="0" borderId="119" xfId="5" applyFont="1" applyBorder="1"/>
    <xf numFmtId="9" fontId="64" fillId="21" borderId="25" xfId="5" applyNumberFormat="1" applyFont="1" applyFill="1" applyBorder="1" applyAlignment="1">
      <alignment horizontal="center"/>
    </xf>
    <xf numFmtId="0" fontId="9" fillId="13" borderId="67" xfId="5" applyFont="1" applyFill="1" applyBorder="1" applyAlignment="1" applyProtection="1">
      <alignment horizontal="center"/>
      <protection hidden="1"/>
    </xf>
    <xf numFmtId="0" fontId="9" fillId="13" borderId="22" xfId="5" applyFont="1" applyFill="1" applyBorder="1" applyAlignment="1" applyProtection="1">
      <alignment horizontal="center"/>
      <protection hidden="1"/>
    </xf>
    <xf numFmtId="0" fontId="9" fillId="13" borderId="28" xfId="5" applyFont="1" applyFill="1" applyBorder="1" applyAlignment="1" applyProtection="1">
      <alignment horizontal="center"/>
      <protection hidden="1"/>
    </xf>
    <xf numFmtId="0" fontId="9" fillId="13" borderId="43" xfId="5" applyFont="1" applyFill="1" applyBorder="1" applyAlignment="1" applyProtection="1">
      <alignment horizontal="center"/>
      <protection hidden="1"/>
    </xf>
    <xf numFmtId="2" fontId="0" fillId="58" borderId="8" xfId="0" applyNumberFormat="1" applyFill="1" applyBorder="1" applyAlignment="1">
      <alignment horizontal="center"/>
    </xf>
    <xf numFmtId="0" fontId="15" fillId="13" borderId="8" xfId="5" applyFont="1" applyFill="1" applyBorder="1" applyAlignment="1" applyProtection="1">
      <alignment horizontal="center"/>
      <protection hidden="1"/>
    </xf>
    <xf numFmtId="0" fontId="9" fillId="15" borderId="8" xfId="5" applyFont="1" applyFill="1" applyBorder="1" applyAlignment="1" applyProtection="1">
      <alignment horizontal="center"/>
      <protection locked="0"/>
    </xf>
    <xf numFmtId="1" fontId="9" fillId="15" borderId="8" xfId="5" applyNumberFormat="1" applyFont="1" applyFill="1" applyBorder="1" applyAlignment="1" applyProtection="1">
      <alignment horizontal="center"/>
      <protection locked="0"/>
    </xf>
    <xf numFmtId="1" fontId="2" fillId="51" borderId="8" xfId="3" applyNumberFormat="1" applyFill="1" applyBorder="1" applyAlignment="1">
      <alignment horizontal="center"/>
    </xf>
    <xf numFmtId="1" fontId="3" fillId="9" borderId="8" xfId="3" applyNumberFormat="1" applyFont="1" applyFill="1" applyBorder="1" applyAlignment="1" applyProtection="1">
      <alignment horizontal="center"/>
      <protection hidden="1"/>
    </xf>
    <xf numFmtId="0" fontId="2" fillId="3" borderId="8" xfId="3" applyFill="1" applyBorder="1" applyAlignment="1" applyProtection="1">
      <alignment horizontal="center"/>
      <protection hidden="1"/>
    </xf>
    <xf numFmtId="1" fontId="2" fillId="13" borderId="8" xfId="3" applyNumberFormat="1" applyFill="1" applyBorder="1" applyAlignment="1">
      <alignment horizontal="center"/>
    </xf>
    <xf numFmtId="0" fontId="2" fillId="3" borderId="8" xfId="3" applyFill="1" applyBorder="1" applyAlignment="1" applyProtection="1">
      <alignment horizontal="center"/>
      <protection locked="0"/>
    </xf>
    <xf numFmtId="0" fontId="2" fillId="51" borderId="29" xfId="3" applyFill="1" applyBorder="1" applyAlignment="1">
      <alignment horizontal="center"/>
    </xf>
    <xf numFmtId="3" fontId="66" fillId="61" borderId="69" xfId="5" applyNumberFormat="1" applyFont="1" applyFill="1" applyBorder="1" applyAlignment="1" applyProtection="1">
      <alignment horizontal="center"/>
      <protection hidden="1"/>
    </xf>
    <xf numFmtId="3" fontId="66" fillId="61" borderId="6" xfId="5" applyNumberFormat="1" applyFont="1" applyFill="1" applyBorder="1" applyAlignment="1" applyProtection="1">
      <alignment horizontal="center"/>
      <protection hidden="1"/>
    </xf>
    <xf numFmtId="3" fontId="66" fillId="61" borderId="3" xfId="5" applyNumberFormat="1" applyFont="1" applyFill="1" applyBorder="1" applyAlignment="1" applyProtection="1">
      <alignment horizontal="center"/>
      <protection hidden="1"/>
    </xf>
    <xf numFmtId="0" fontId="2" fillId="13" borderId="8" xfId="3" applyFill="1" applyBorder="1" applyAlignment="1" applyProtection="1">
      <alignment horizontal="center"/>
      <protection hidden="1"/>
    </xf>
    <xf numFmtId="3" fontId="8" fillId="62" borderId="8" xfId="5" applyNumberFormat="1" applyFont="1" applyFill="1" applyBorder="1"/>
    <xf numFmtId="181" fontId="8" fillId="62" borderId="8" xfId="5" applyNumberFormat="1" applyFont="1" applyFill="1" applyBorder="1"/>
    <xf numFmtId="0" fontId="27" fillId="38" borderId="8" xfId="3" applyFont="1" applyFill="1" applyBorder="1" applyAlignment="1" applyProtection="1">
      <alignment horizontal="center"/>
      <protection hidden="1"/>
    </xf>
    <xf numFmtId="0" fontId="27" fillId="16" borderId="8" xfId="3" applyFont="1" applyFill="1" applyBorder="1" applyAlignment="1" applyProtection="1">
      <alignment horizontal="center"/>
      <protection locked="0"/>
    </xf>
    <xf numFmtId="0" fontId="27" fillId="3" borderId="8" xfId="3" applyFont="1" applyFill="1" applyBorder="1" applyAlignment="1" applyProtection="1">
      <alignment horizontal="center"/>
      <protection hidden="1"/>
    </xf>
    <xf numFmtId="1" fontId="3" fillId="56" borderId="8" xfId="3" applyNumberFormat="1" applyFont="1" applyFill="1" applyBorder="1" applyAlignment="1" applyProtection="1">
      <alignment horizontal="center"/>
      <protection hidden="1"/>
    </xf>
    <xf numFmtId="1" fontId="55" fillId="50" borderId="8" xfId="3" applyNumberFormat="1" applyFont="1" applyFill="1" applyBorder="1" applyAlignment="1" applyProtection="1">
      <alignment horizontal="center"/>
      <protection hidden="1"/>
    </xf>
    <xf numFmtId="0" fontId="35" fillId="38" borderId="8" xfId="3" applyFont="1" applyFill="1" applyBorder="1" applyAlignment="1" applyProtection="1">
      <alignment horizontal="center"/>
      <protection hidden="1"/>
    </xf>
    <xf numFmtId="0" fontId="2" fillId="55" borderId="69" xfId="3" applyFill="1" applyBorder="1" applyProtection="1">
      <protection hidden="1"/>
    </xf>
    <xf numFmtId="0" fontId="2" fillId="55" borderId="29" xfId="3" applyFill="1" applyBorder="1" applyProtection="1">
      <protection hidden="1"/>
    </xf>
    <xf numFmtId="0" fontId="2" fillId="13" borderId="50" xfId="3" applyFill="1" applyBorder="1" applyAlignment="1" applyProtection="1">
      <alignment horizontal="center"/>
      <protection hidden="1"/>
    </xf>
    <xf numFmtId="0" fontId="2" fillId="38" borderId="29" xfId="3" applyFill="1" applyBorder="1" applyAlignment="1" applyProtection="1">
      <alignment horizontal="center"/>
      <protection hidden="1"/>
    </xf>
    <xf numFmtId="0" fontId="2" fillId="13" borderId="29" xfId="3" applyFill="1" applyBorder="1" applyAlignment="1" applyProtection="1">
      <alignment horizontal="center"/>
      <protection hidden="1"/>
    </xf>
    <xf numFmtId="0" fontId="67" fillId="55" borderId="69" xfId="3" applyFont="1" applyFill="1" applyBorder="1" applyProtection="1">
      <protection hidden="1"/>
    </xf>
    <xf numFmtId="0" fontId="2" fillId="13" borderId="16" xfId="5" applyFill="1" applyBorder="1" applyAlignment="1" applyProtection="1">
      <alignment horizontal="center"/>
      <protection hidden="1"/>
    </xf>
    <xf numFmtId="0" fontId="2" fillId="13" borderId="22" xfId="5" applyFill="1" applyBorder="1" applyAlignment="1" applyProtection="1">
      <alignment horizontal="center"/>
      <protection hidden="1"/>
    </xf>
    <xf numFmtId="0" fontId="2" fillId="13" borderId="28" xfId="5" applyFill="1" applyBorder="1" applyAlignment="1" applyProtection="1">
      <alignment horizontal="center"/>
      <protection hidden="1"/>
    </xf>
    <xf numFmtId="0" fontId="2" fillId="13" borderId="43" xfId="5" applyFill="1" applyBorder="1" applyAlignment="1" applyProtection="1">
      <alignment horizontal="center"/>
      <protection hidden="1"/>
    </xf>
    <xf numFmtId="2" fontId="0" fillId="0" borderId="125" xfId="0" applyNumberFormat="1" applyBorder="1" applyAlignment="1">
      <alignment horizontal="center"/>
    </xf>
    <xf numFmtId="0" fontId="9" fillId="15" borderId="9" xfId="5" applyFont="1" applyFill="1" applyBorder="1" applyAlignment="1" applyProtection="1">
      <alignment horizontal="center"/>
      <protection locked="0"/>
    </xf>
    <xf numFmtId="0" fontId="9" fillId="64" borderId="0" xfId="5" applyFont="1" applyFill="1" applyAlignment="1">
      <alignment horizontal="center"/>
    </xf>
    <xf numFmtId="0" fontId="9" fillId="59" borderId="3" xfId="5" applyFont="1" applyFill="1" applyBorder="1"/>
    <xf numFmtId="0" fontId="9" fillId="64" borderId="3" xfId="5" applyFont="1" applyFill="1" applyBorder="1"/>
    <xf numFmtId="0" fontId="9" fillId="16" borderId="49" xfId="5" applyFont="1" applyFill="1" applyBorder="1" applyAlignment="1" applyProtection="1">
      <alignment horizontal="center"/>
      <protection locked="0"/>
    </xf>
    <xf numFmtId="0" fontId="9" fillId="16" borderId="32" xfId="5" applyFont="1" applyFill="1" applyBorder="1" applyAlignment="1" applyProtection="1">
      <alignment horizontal="center"/>
      <protection locked="0"/>
    </xf>
    <xf numFmtId="1" fontId="0" fillId="18" borderId="2" xfId="0" applyNumberFormat="1" applyFill="1" applyBorder="1" applyAlignment="1" applyProtection="1">
      <alignment horizontal="center"/>
      <protection hidden="1"/>
    </xf>
    <xf numFmtId="0" fontId="9" fillId="64" borderId="0" xfId="5" applyFont="1" applyFill="1"/>
    <xf numFmtId="0" fontId="2" fillId="65" borderId="8" xfId="3" applyFill="1" applyBorder="1" applyAlignment="1" applyProtection="1">
      <alignment horizontal="center"/>
      <protection hidden="1"/>
    </xf>
    <xf numFmtId="168" fontId="57" fillId="16" borderId="8" xfId="9" applyNumberFormat="1" applyFont="1" applyFill="1" applyBorder="1" applyAlignment="1" applyProtection="1">
      <alignment horizontal="center" vertical="center"/>
      <protection locked="0"/>
    </xf>
    <xf numFmtId="0" fontId="57" fillId="9" borderId="8" xfId="5" applyFont="1" applyFill="1" applyBorder="1" applyAlignment="1" applyProtection="1">
      <alignment vertical="center"/>
      <protection locked="0"/>
    </xf>
    <xf numFmtId="0" fontId="57" fillId="66" borderId="8" xfId="5" applyFont="1" applyFill="1" applyBorder="1" applyAlignment="1" applyProtection="1">
      <alignment horizontal="center" vertical="center"/>
      <protection locked="0"/>
    </xf>
    <xf numFmtId="0" fontId="2" fillId="67" borderId="8" xfId="5" applyFill="1" applyBorder="1"/>
    <xf numFmtId="1" fontId="2" fillId="67" borderId="8" xfId="5" applyNumberFormat="1" applyFill="1" applyBorder="1"/>
    <xf numFmtId="0" fontId="2" fillId="68" borderId="0" xfId="5" applyFill="1"/>
    <xf numFmtId="0" fontId="64" fillId="21" borderId="8" xfId="5" applyFont="1" applyFill="1" applyBorder="1" applyAlignment="1">
      <alignment horizontal="center"/>
    </xf>
    <xf numFmtId="2" fontId="35" fillId="69" borderId="0" xfId="5" applyNumberFormat="1" applyFont="1" applyFill="1"/>
    <xf numFmtId="0" fontId="14" fillId="13" borderId="20" xfId="5" applyFont="1" applyFill="1" applyBorder="1" applyAlignment="1" applyProtection="1">
      <alignment horizontal="center"/>
      <protection hidden="1"/>
    </xf>
    <xf numFmtId="0" fontId="14" fillId="10" borderId="68" xfId="5" applyFont="1" applyFill="1" applyBorder="1" applyAlignment="1" applyProtection="1">
      <alignment horizontal="center"/>
      <protection locked="0"/>
    </xf>
    <xf numFmtId="172" fontId="14" fillId="10" borderId="51" xfId="5" applyNumberFormat="1" applyFont="1" applyFill="1" applyBorder="1" applyAlignment="1" applyProtection="1">
      <alignment horizontal="center"/>
      <protection hidden="1"/>
    </xf>
    <xf numFmtId="9" fontId="35" fillId="60" borderId="8" xfId="0" applyNumberFormat="1" applyFont="1" applyFill="1" applyBorder="1" applyAlignment="1">
      <alignment horizontal="center" vertical="center"/>
    </xf>
    <xf numFmtId="166" fontId="29" fillId="0" borderId="74" xfId="5" applyNumberFormat="1" applyFont="1" applyBorder="1" applyAlignment="1">
      <alignment horizontal="center"/>
    </xf>
    <xf numFmtId="166" fontId="29" fillId="0" borderId="75" xfId="5" applyNumberFormat="1" applyFont="1" applyBorder="1" applyAlignment="1">
      <alignment horizontal="center"/>
    </xf>
    <xf numFmtId="166" fontId="29" fillId="0" borderId="70" xfId="5" applyNumberFormat="1" applyFont="1" applyBorder="1" applyAlignment="1">
      <alignment horizontal="center"/>
    </xf>
    <xf numFmtId="166" fontId="29" fillId="0" borderId="70" xfId="5" applyNumberFormat="1" applyFont="1" applyBorder="1"/>
    <xf numFmtId="166" fontId="29" fillId="0" borderId="87" xfId="5" applyNumberFormat="1" applyFont="1" applyBorder="1"/>
    <xf numFmtId="2" fontId="29" fillId="53" borderId="72" xfId="5" applyNumberFormat="1" applyFont="1" applyFill="1" applyBorder="1"/>
    <xf numFmtId="2" fontId="29" fillId="70" borderId="0" xfId="5" applyNumberFormat="1" applyFont="1" applyFill="1" applyAlignment="1">
      <alignment horizontal="center"/>
    </xf>
    <xf numFmtId="166" fontId="29" fillId="70" borderId="0" xfId="5" applyNumberFormat="1" applyFont="1" applyFill="1" applyAlignment="1">
      <alignment horizontal="center"/>
    </xf>
    <xf numFmtId="2" fontId="29" fillId="71" borderId="72" xfId="5" applyNumberFormat="1" applyFont="1" applyFill="1" applyBorder="1"/>
    <xf numFmtId="0" fontId="15" fillId="5" borderId="26" xfId="5" applyFont="1" applyFill="1" applyBorder="1" applyAlignment="1" applyProtection="1">
      <alignment horizontal="right"/>
      <protection locked="0"/>
    </xf>
    <xf numFmtId="0" fontId="9" fillId="5" borderId="21" xfId="5" applyFont="1" applyFill="1" applyBorder="1" applyAlignment="1" applyProtection="1">
      <alignment horizontal="center"/>
      <protection locked="0"/>
    </xf>
    <xf numFmtId="0" fontId="9" fillId="5" borderId="27" xfId="5" applyFont="1" applyFill="1" applyBorder="1" applyAlignment="1" applyProtection="1">
      <alignment horizontal="center"/>
      <protection locked="0"/>
    </xf>
    <xf numFmtId="0" fontId="9" fillId="5" borderId="32" xfId="5" applyFont="1" applyFill="1" applyBorder="1" applyAlignment="1" applyProtection="1">
      <alignment horizontal="center"/>
      <protection locked="0"/>
    </xf>
    <xf numFmtId="166" fontId="9" fillId="74" borderId="8" xfId="5" applyNumberFormat="1" applyFont="1" applyFill="1" applyBorder="1" applyAlignment="1">
      <alignment horizontal="center"/>
    </xf>
    <xf numFmtId="176" fontId="9" fillId="74" borderId="8" xfId="5" applyNumberFormat="1" applyFont="1" applyFill="1" applyBorder="1" applyAlignment="1">
      <alignment horizontal="center"/>
    </xf>
    <xf numFmtId="166" fontId="18" fillId="74" borderId="8" xfId="5" applyNumberFormat="1" applyFont="1" applyFill="1" applyBorder="1" applyAlignment="1">
      <alignment horizontal="center"/>
    </xf>
    <xf numFmtId="1" fontId="18" fillId="74" borderId="8" xfId="5" applyNumberFormat="1" applyFont="1" applyFill="1" applyBorder="1" applyAlignment="1">
      <alignment horizontal="center"/>
    </xf>
    <xf numFmtId="0" fontId="14" fillId="13" borderId="41" xfId="5" applyFont="1" applyFill="1" applyBorder="1" applyAlignment="1" applyProtection="1">
      <alignment horizontal="center"/>
      <protection hidden="1"/>
    </xf>
    <xf numFmtId="0" fontId="64" fillId="58" borderId="11" xfId="5" applyFont="1" applyFill="1" applyBorder="1" applyAlignment="1">
      <alignment horizontal="center"/>
    </xf>
    <xf numFmtId="0" fontId="12" fillId="12" borderId="5" xfId="5" applyFont="1" applyFill="1" applyBorder="1" applyAlignment="1" applyProtection="1">
      <alignment horizontal="center"/>
      <protection hidden="1"/>
    </xf>
    <xf numFmtId="0" fontId="12" fillId="12" borderId="50" xfId="5" applyFont="1" applyFill="1" applyBorder="1" applyAlignment="1" applyProtection="1">
      <alignment horizontal="center"/>
      <protection hidden="1"/>
    </xf>
    <xf numFmtId="0" fontId="12" fillId="12" borderId="53" xfId="5" applyFont="1" applyFill="1" applyBorder="1" applyAlignment="1" applyProtection="1">
      <alignment horizontal="center"/>
      <protection hidden="1"/>
    </xf>
    <xf numFmtId="0" fontId="9" fillId="13" borderId="123" xfId="5" applyFont="1" applyFill="1" applyBorder="1" applyAlignment="1" applyProtection="1">
      <alignment horizontal="center"/>
      <protection hidden="1"/>
    </xf>
    <xf numFmtId="0" fontId="15" fillId="13" borderId="65" xfId="5" applyFont="1" applyFill="1" applyBorder="1" applyAlignment="1" applyProtection="1">
      <alignment horizontal="center"/>
      <protection hidden="1"/>
    </xf>
    <xf numFmtId="0" fontId="64" fillId="13" borderId="25" xfId="5" applyFont="1" applyFill="1" applyBorder="1" applyAlignment="1">
      <alignment horizontal="center"/>
    </xf>
    <xf numFmtId="0" fontId="64" fillId="76" borderId="8" xfId="5" applyFont="1" applyFill="1" applyBorder="1" applyAlignment="1" applyProtection="1">
      <alignment horizontal="center"/>
      <protection locked="0"/>
    </xf>
    <xf numFmtId="1" fontId="64" fillId="74" borderId="11" xfId="5" applyNumberFormat="1" applyFont="1" applyFill="1" applyBorder="1" applyAlignment="1" applyProtection="1">
      <alignment horizontal="center"/>
      <protection locked="0"/>
    </xf>
    <xf numFmtId="9" fontId="64" fillId="0" borderId="8" xfId="5" applyNumberFormat="1" applyFont="1" applyBorder="1" applyAlignment="1" applyProtection="1">
      <alignment horizontal="center"/>
      <protection locked="0"/>
    </xf>
    <xf numFmtId="0" fontId="12" fillId="3" borderId="8" xfId="5" applyFont="1" applyFill="1" applyBorder="1" applyProtection="1">
      <protection locked="0" hidden="1"/>
    </xf>
    <xf numFmtId="1" fontId="77" fillId="59" borderId="8" xfId="0" applyNumberFormat="1" applyFont="1" applyFill="1" applyBorder="1" applyAlignment="1">
      <alignment horizontal="center"/>
    </xf>
    <xf numFmtId="1" fontId="76" fillId="77" borderId="8" xfId="5" applyNumberFormat="1" applyFont="1" applyFill="1" applyBorder="1" applyAlignment="1">
      <alignment horizontal="center"/>
    </xf>
    <xf numFmtId="1" fontId="9" fillId="2" borderId="8" xfId="5" applyNumberFormat="1" applyFont="1" applyFill="1" applyBorder="1" applyAlignment="1">
      <alignment horizontal="center"/>
    </xf>
    <xf numFmtId="0" fontId="9" fillId="74" borderId="29" xfId="5" applyFont="1" applyFill="1" applyBorder="1" applyAlignment="1" applyProtection="1">
      <alignment horizontal="center"/>
      <protection hidden="1"/>
    </xf>
    <xf numFmtId="0" fontId="18" fillId="74" borderId="29" xfId="5" applyFont="1" applyFill="1" applyBorder="1" applyAlignment="1" applyProtection="1">
      <alignment horizontal="center"/>
      <protection hidden="1"/>
    </xf>
    <xf numFmtId="1" fontId="18" fillId="74" borderId="29" xfId="5" applyNumberFormat="1" applyFont="1" applyFill="1" applyBorder="1" applyAlignment="1" applyProtection="1">
      <alignment horizontal="center"/>
      <protection hidden="1"/>
    </xf>
    <xf numFmtId="0" fontId="2" fillId="67" borderId="29" xfId="5" applyFill="1" applyBorder="1"/>
    <xf numFmtId="9" fontId="2" fillId="0" borderId="8" xfId="5" applyNumberFormat="1" applyBorder="1" applyAlignment="1">
      <alignment horizontal="center"/>
    </xf>
    <xf numFmtId="9" fontId="2" fillId="0" borderId="8" xfId="5" applyNumberFormat="1" applyBorder="1"/>
    <xf numFmtId="9" fontId="2" fillId="54" borderId="8" xfId="5" applyNumberFormat="1" applyFill="1" applyBorder="1" applyAlignment="1">
      <alignment horizontal="center"/>
    </xf>
    <xf numFmtId="9" fontId="2" fillId="2" borderId="8" xfId="5" applyNumberFormat="1" applyFill="1" applyBorder="1" applyAlignment="1">
      <alignment horizontal="center"/>
    </xf>
    <xf numFmtId="9" fontId="64" fillId="0" borderId="8" xfId="5" applyNumberFormat="1" applyFont="1" applyBorder="1" applyAlignment="1">
      <alignment horizontal="center"/>
    </xf>
    <xf numFmtId="2" fontId="29" fillId="30" borderId="8" xfId="5" applyNumberFormat="1" applyFont="1" applyFill="1" applyBorder="1"/>
    <xf numFmtId="2" fontId="29" fillId="26" borderId="8" xfId="5" applyNumberFormat="1" applyFont="1" applyFill="1" applyBorder="1"/>
    <xf numFmtId="2" fontId="29" fillId="26" borderId="8" xfId="12" applyNumberFormat="1" applyFont="1" applyFill="1" applyBorder="1"/>
    <xf numFmtId="2" fontId="29" fillId="5" borderId="8" xfId="5" applyNumberFormat="1" applyFont="1" applyFill="1" applyBorder="1" applyAlignment="1">
      <alignment horizontal="left"/>
    </xf>
    <xf numFmtId="2" fontId="29" fillId="33" borderId="8" xfId="5" applyNumberFormat="1" applyFont="1" applyFill="1" applyBorder="1"/>
    <xf numFmtId="2" fontId="29" fillId="5" borderId="8" xfId="12" applyNumberFormat="1" applyFont="1" applyFill="1" applyBorder="1"/>
    <xf numFmtId="2" fontId="29" fillId="3" borderId="8" xfId="5" applyNumberFormat="1" applyFont="1" applyFill="1" applyBorder="1"/>
    <xf numFmtId="2" fontId="29" fillId="3" borderId="8" xfId="12" applyNumberFormat="1" applyFont="1" applyFill="1" applyBorder="1"/>
    <xf numFmtId="0" fontId="27" fillId="34" borderId="76" xfId="5" applyFont="1" applyFill="1" applyBorder="1"/>
    <xf numFmtId="0" fontId="12" fillId="34" borderId="76" xfId="5" applyFont="1" applyFill="1" applyBorder="1" applyAlignment="1">
      <alignment horizontal="center" vertical="center" wrapText="1"/>
    </xf>
    <xf numFmtId="0" fontId="74" fillId="58" borderId="8" xfId="5" applyFont="1" applyFill="1" applyBorder="1" applyAlignment="1">
      <alignment horizontal="center" vertical="center"/>
    </xf>
    <xf numFmtId="0" fontId="2" fillId="20" borderId="8" xfId="5" applyFill="1" applyBorder="1" applyAlignment="1">
      <alignment horizontal="center" vertical="center"/>
    </xf>
    <xf numFmtId="10" fontId="35" fillId="69" borderId="8" xfId="5" applyNumberFormat="1" applyFont="1" applyFill="1" applyBorder="1" applyAlignment="1">
      <alignment horizontal="center" vertical="center"/>
    </xf>
    <xf numFmtId="10" fontId="12" fillId="69" borderId="8" xfId="5" applyNumberFormat="1" applyFont="1" applyFill="1" applyBorder="1" applyAlignment="1">
      <alignment horizontal="center" vertical="center"/>
    </xf>
    <xf numFmtId="0" fontId="29" fillId="13" borderId="44" xfId="5" applyFont="1" applyFill="1" applyBorder="1" applyAlignment="1" applyProtection="1">
      <alignment horizontal="center"/>
      <protection hidden="1"/>
    </xf>
    <xf numFmtId="0" fontId="9" fillId="13" borderId="8" xfId="5" applyFont="1" applyFill="1" applyBorder="1" applyAlignment="1">
      <alignment horizontal="center"/>
    </xf>
    <xf numFmtId="166" fontId="9" fillId="20" borderId="0" xfId="5" applyNumberFormat="1" applyFont="1" applyFill="1" applyAlignment="1">
      <alignment horizontal="center"/>
    </xf>
    <xf numFmtId="166" fontId="64" fillId="80" borderId="8" xfId="5" applyNumberFormat="1" applyFont="1" applyFill="1" applyBorder="1" applyAlignment="1">
      <alignment horizontal="center"/>
    </xf>
    <xf numFmtId="2" fontId="80" fillId="42" borderId="81" xfId="5" applyNumberFormat="1" applyFont="1" applyFill="1" applyBorder="1" applyAlignment="1">
      <alignment horizontal="center"/>
    </xf>
    <xf numFmtId="2" fontId="12" fillId="35" borderId="126" xfId="5" applyNumberFormat="1" applyFont="1" applyFill="1" applyBorder="1" applyAlignment="1">
      <alignment horizontal="center"/>
    </xf>
    <xf numFmtId="2" fontId="35" fillId="69" borderId="0" xfId="5" applyNumberFormat="1" applyFont="1" applyFill="1" applyAlignment="1">
      <alignment horizontal="center" vertical="center"/>
    </xf>
    <xf numFmtId="2" fontId="35" fillId="81" borderId="70" xfId="5" applyNumberFormat="1" applyFont="1" applyFill="1" applyBorder="1" applyAlignment="1">
      <alignment horizontal="center"/>
    </xf>
    <xf numFmtId="2" fontId="79" fillId="69" borderId="0" xfId="5" applyNumberFormat="1" applyFont="1" applyFill="1" applyAlignment="1">
      <alignment horizontal="center" vertical="center"/>
    </xf>
    <xf numFmtId="174" fontId="68" fillId="9" borderId="29" xfId="5" applyNumberFormat="1" applyFont="1" applyFill="1" applyBorder="1" applyAlignment="1" applyProtection="1">
      <alignment horizontal="center"/>
      <protection hidden="1"/>
    </xf>
    <xf numFmtId="166" fontId="0" fillId="23" borderId="8" xfId="0" applyNumberFormat="1" applyFill="1" applyBorder="1" applyAlignment="1">
      <alignment horizontal="center"/>
    </xf>
    <xf numFmtId="182" fontId="0" fillId="23" borderId="8" xfId="0" applyNumberFormat="1" applyFill="1" applyBorder="1" applyAlignment="1">
      <alignment horizontal="center"/>
    </xf>
    <xf numFmtId="1" fontId="64" fillId="72" borderId="8" xfId="5" applyNumberFormat="1" applyFont="1" applyFill="1" applyBorder="1" applyAlignment="1">
      <alignment horizontal="center"/>
    </xf>
    <xf numFmtId="1" fontId="78" fillId="72" borderId="8" xfId="5" applyNumberFormat="1" applyFont="1" applyFill="1" applyBorder="1" applyAlignment="1">
      <alignment horizontal="center"/>
    </xf>
    <xf numFmtId="0" fontId="67" fillId="78" borderId="8" xfId="5" applyFont="1" applyFill="1" applyBorder="1" applyAlignment="1">
      <alignment horizontal="center" vertical="center"/>
    </xf>
    <xf numFmtId="0" fontId="67" fillId="79" borderId="8" xfId="5" applyFont="1" applyFill="1" applyBorder="1" applyAlignment="1">
      <alignment horizontal="center" vertical="center"/>
    </xf>
    <xf numFmtId="0" fontId="9" fillId="13" borderId="44" xfId="5" applyFont="1" applyFill="1" applyBorder="1" applyAlignment="1" applyProtection="1">
      <alignment horizontal="center"/>
      <protection hidden="1"/>
    </xf>
    <xf numFmtId="0" fontId="63" fillId="58" borderId="8" xfId="5" applyFont="1" applyFill="1" applyBorder="1" applyAlignment="1">
      <alignment horizontal="center" vertical="center"/>
    </xf>
    <xf numFmtId="0" fontId="63" fillId="0" borderId="0" xfId="5" applyFont="1" applyAlignment="1">
      <alignment vertical="center"/>
    </xf>
    <xf numFmtId="0" fontId="12" fillId="17" borderId="9" xfId="5" applyFont="1" applyFill="1" applyBorder="1" applyAlignment="1" applyProtection="1">
      <alignment horizontal="center"/>
      <protection hidden="1"/>
    </xf>
    <xf numFmtId="0" fontId="14" fillId="82" borderId="8" xfId="5" applyFont="1" applyFill="1" applyBorder="1" applyAlignment="1" applyProtection="1">
      <alignment horizontal="center" vertical="center"/>
      <protection locked="0"/>
    </xf>
    <xf numFmtId="0" fontId="64" fillId="0" borderId="0" xfId="5" applyFont="1" applyAlignment="1">
      <alignment horizontal="center" vertical="center"/>
    </xf>
    <xf numFmtId="0" fontId="12" fillId="17" borderId="5" xfId="5" applyFont="1" applyFill="1" applyBorder="1" applyAlignment="1" applyProtection="1">
      <alignment horizontal="center"/>
      <protection hidden="1"/>
    </xf>
    <xf numFmtId="0" fontId="12" fillId="17" borderId="50" xfId="5" applyFont="1" applyFill="1" applyBorder="1" applyAlignment="1" applyProtection="1">
      <alignment horizontal="center"/>
      <protection hidden="1"/>
    </xf>
    <xf numFmtId="0" fontId="12" fillId="17" borderId="1" xfId="5" applyFont="1" applyFill="1" applyBorder="1" applyAlignment="1" applyProtection="1">
      <alignment horizontal="center"/>
      <protection hidden="1"/>
    </xf>
    <xf numFmtId="183" fontId="64" fillId="0" borderId="8" xfId="5" applyNumberFormat="1" applyFont="1" applyBorder="1" applyAlignment="1">
      <alignment horizontal="center" vertical="center"/>
    </xf>
    <xf numFmtId="1" fontId="64" fillId="83" borderId="8" xfId="5" applyNumberFormat="1" applyFont="1" applyFill="1" applyBorder="1" applyAlignment="1">
      <alignment horizontal="center" vertical="center"/>
    </xf>
    <xf numFmtId="1" fontId="64" fillId="83" borderId="8" xfId="5" applyNumberFormat="1" applyFont="1" applyFill="1" applyBorder="1" applyAlignment="1" applyProtection="1">
      <alignment horizontal="center" vertical="center"/>
      <protection hidden="1"/>
    </xf>
    <xf numFmtId="0" fontId="76" fillId="83" borderId="8" xfId="5" applyFont="1" applyFill="1" applyBorder="1" applyAlignment="1" applyProtection="1">
      <alignment horizontal="center"/>
      <protection locked="0"/>
    </xf>
    <xf numFmtId="0" fontId="76" fillId="83" borderId="8" xfId="5" applyFont="1" applyFill="1" applyBorder="1" applyAlignment="1">
      <alignment horizontal="center"/>
    </xf>
    <xf numFmtId="0" fontId="12" fillId="12" borderId="121" xfId="5" applyFont="1" applyFill="1" applyBorder="1" applyAlignment="1" applyProtection="1">
      <alignment horizontal="center"/>
      <protection hidden="1"/>
    </xf>
    <xf numFmtId="0" fontId="12" fillId="12" borderId="122" xfId="5" applyFont="1" applyFill="1" applyBorder="1" applyAlignment="1" applyProtection="1">
      <alignment horizontal="center"/>
      <protection hidden="1"/>
    </xf>
    <xf numFmtId="166" fontId="9" fillId="16" borderId="120" xfId="5" applyNumberFormat="1" applyFont="1" applyFill="1" applyBorder="1" applyAlignment="1" applyProtection="1">
      <alignment horizontal="center"/>
      <protection locked="0"/>
    </xf>
    <xf numFmtId="0" fontId="9" fillId="5" borderId="9" xfId="5" applyFont="1" applyFill="1" applyBorder="1" applyAlignment="1" applyProtection="1">
      <alignment horizontal="center"/>
      <protection hidden="1"/>
    </xf>
    <xf numFmtId="0" fontId="9" fillId="5" borderId="121" xfId="5" applyFont="1" applyFill="1" applyBorder="1" applyAlignment="1" applyProtection="1">
      <alignment horizontal="center"/>
      <protection hidden="1"/>
    </xf>
    <xf numFmtId="0" fontId="9" fillId="12" borderId="44" xfId="5" applyFont="1" applyFill="1" applyBorder="1" applyAlignment="1" applyProtection="1">
      <alignment horizontal="center"/>
      <protection hidden="1"/>
    </xf>
    <xf numFmtId="1" fontId="64" fillId="83" borderId="36" xfId="5" applyNumberFormat="1" applyFont="1" applyFill="1" applyBorder="1" applyAlignment="1">
      <alignment horizontal="center" vertical="center"/>
    </xf>
    <xf numFmtId="1" fontId="64" fillId="83" borderId="37" xfId="5" applyNumberFormat="1" applyFont="1" applyFill="1" applyBorder="1" applyAlignment="1">
      <alignment horizontal="center" vertical="center"/>
    </xf>
    <xf numFmtId="1" fontId="64" fillId="83" borderId="34" xfId="5" applyNumberFormat="1" applyFont="1" applyFill="1" applyBorder="1" applyAlignment="1">
      <alignment horizontal="center" vertical="center"/>
    </xf>
    <xf numFmtId="0" fontId="9" fillId="83" borderId="34" xfId="5" applyFont="1" applyFill="1" applyBorder="1" applyAlignment="1">
      <alignment horizontal="center"/>
    </xf>
    <xf numFmtId="3" fontId="8" fillId="70" borderId="8" xfId="5" applyNumberFormat="1" applyFont="1" applyFill="1" applyBorder="1" applyAlignment="1">
      <alignment vertical="center"/>
    </xf>
    <xf numFmtId="0" fontId="64" fillId="70" borderId="8" xfId="0" applyFont="1" applyFill="1" applyBorder="1" applyAlignment="1">
      <alignment horizontal="center" vertical="center"/>
    </xf>
    <xf numFmtId="3" fontId="82" fillId="70" borderId="8" xfId="0" applyNumberFormat="1" applyFont="1" applyFill="1" applyBorder="1" applyAlignment="1">
      <alignment horizontal="center" vertical="center"/>
    </xf>
    <xf numFmtId="0" fontId="64" fillId="70" borderId="8" xfId="0" applyFont="1" applyFill="1" applyBorder="1"/>
    <xf numFmtId="3" fontId="9" fillId="70" borderId="50" xfId="5" applyNumberFormat="1" applyFont="1" applyFill="1" applyBorder="1" applyAlignment="1">
      <alignment vertical="center"/>
    </xf>
    <xf numFmtId="3" fontId="9" fillId="70" borderId="29" xfId="5" applyNumberFormat="1" applyFont="1" applyFill="1" applyBorder="1" applyAlignment="1">
      <alignment vertical="center"/>
    </xf>
    <xf numFmtId="3" fontId="8" fillId="25" borderId="25" xfId="5" applyNumberFormat="1" applyFont="1" applyFill="1" applyBorder="1" applyAlignment="1" applyProtection="1">
      <alignment horizontal="center"/>
      <protection hidden="1"/>
    </xf>
    <xf numFmtId="3" fontId="8" fillId="70" borderId="8" xfId="5" applyNumberFormat="1" applyFont="1" applyFill="1" applyBorder="1"/>
    <xf numFmtId="0" fontId="2" fillId="84" borderId="72" xfId="5" applyFill="1" applyBorder="1"/>
    <xf numFmtId="0" fontId="2" fillId="70" borderId="0" xfId="5" applyFill="1" applyAlignment="1">
      <alignment horizontal="center"/>
    </xf>
    <xf numFmtId="3" fontId="2" fillId="70" borderId="0" xfId="5" applyNumberFormat="1" applyFill="1" applyAlignment="1">
      <alignment horizontal="center"/>
    </xf>
    <xf numFmtId="1" fontId="64" fillId="0" borderId="8" xfId="5" applyNumberFormat="1" applyFont="1" applyBorder="1" applyAlignment="1">
      <alignment horizontal="center" vertical="center"/>
    </xf>
    <xf numFmtId="183" fontId="64" fillId="87" borderId="8" xfId="5" applyNumberFormat="1" applyFont="1" applyFill="1" applyBorder="1" applyAlignment="1">
      <alignment horizontal="center" vertical="center"/>
    </xf>
    <xf numFmtId="1" fontId="64" fillId="87" borderId="8" xfId="5" applyNumberFormat="1" applyFont="1" applyFill="1" applyBorder="1" applyAlignment="1">
      <alignment horizontal="center" vertical="center"/>
    </xf>
    <xf numFmtId="166" fontId="24" fillId="9" borderId="44" xfId="5" applyNumberFormat="1" applyFont="1" applyFill="1" applyBorder="1" applyAlignment="1" applyProtection="1">
      <alignment horizontal="center"/>
      <protection hidden="1"/>
    </xf>
    <xf numFmtId="0" fontId="11" fillId="11" borderId="0" xfId="5" applyFont="1" applyFill="1" applyAlignment="1" applyProtection="1">
      <alignment horizontal="left"/>
      <protection hidden="1"/>
    </xf>
    <xf numFmtId="9" fontId="64" fillId="58" borderId="52" xfId="5" applyNumberFormat="1" applyFont="1" applyFill="1" applyBorder="1" applyAlignment="1">
      <alignment horizontal="center" vertical="center"/>
    </xf>
    <xf numFmtId="0" fontId="64" fillId="58" borderId="52" xfId="5" applyFont="1" applyFill="1" applyBorder="1" applyAlignment="1">
      <alignment horizontal="center" vertical="center"/>
    </xf>
    <xf numFmtId="0" fontId="64" fillId="58" borderId="52" xfId="5" applyFont="1" applyFill="1" applyBorder="1" applyAlignment="1">
      <alignment horizontal="center" vertical="center" shrinkToFit="1"/>
    </xf>
    <xf numFmtId="0" fontId="64" fillId="58" borderId="40" xfId="5" applyFont="1" applyFill="1" applyBorder="1" applyAlignment="1">
      <alignment horizontal="center" vertical="center" shrinkToFit="1"/>
    </xf>
    <xf numFmtId="1" fontId="64" fillId="87" borderId="30" xfId="5" applyNumberFormat="1" applyFont="1" applyFill="1" applyBorder="1" applyAlignment="1">
      <alignment horizontal="center" vertical="center"/>
    </xf>
    <xf numFmtId="9" fontId="64" fillId="58" borderId="8" xfId="5" applyNumberFormat="1" applyFont="1" applyFill="1" applyBorder="1" applyAlignment="1">
      <alignment horizontal="center" vertical="center" shrinkToFit="1"/>
    </xf>
    <xf numFmtId="0" fontId="64" fillId="58" borderId="8" xfId="5" applyFont="1" applyFill="1" applyBorder="1" applyAlignment="1" applyProtection="1">
      <alignment horizontal="center" vertical="center" shrinkToFit="1"/>
      <protection locked="0"/>
    </xf>
    <xf numFmtId="1" fontId="65" fillId="59" borderId="8" xfId="0" applyNumberFormat="1" applyFont="1" applyFill="1" applyBorder="1" applyAlignment="1">
      <alignment horizontal="center"/>
    </xf>
    <xf numFmtId="0" fontId="67" fillId="60" borderId="8" xfId="3" applyFont="1" applyFill="1" applyBorder="1" applyAlignment="1" applyProtection="1">
      <alignment horizontal="center" vertical="center"/>
      <protection hidden="1"/>
    </xf>
    <xf numFmtId="0" fontId="2" fillId="88" borderId="8" xfId="5" applyFill="1" applyBorder="1" applyAlignment="1">
      <alignment horizontal="center"/>
    </xf>
    <xf numFmtId="0" fontId="67" fillId="70" borderId="8" xfId="5" applyFont="1" applyFill="1" applyBorder="1" applyAlignment="1">
      <alignment horizontal="center"/>
    </xf>
    <xf numFmtId="0" fontId="64" fillId="70" borderId="8" xfId="5" applyFont="1" applyFill="1" applyBorder="1" applyAlignment="1">
      <alignment horizontal="center"/>
    </xf>
    <xf numFmtId="0" fontId="63" fillId="70" borderId="8" xfId="5" applyFont="1" applyFill="1" applyBorder="1" applyAlignment="1">
      <alignment horizontal="center"/>
    </xf>
    <xf numFmtId="0" fontId="64" fillId="82" borderId="50" xfId="5" applyFont="1" applyFill="1" applyBorder="1" applyAlignment="1">
      <alignment horizontal="center" vertical="center"/>
    </xf>
    <xf numFmtId="0" fontId="9" fillId="13" borderId="51" xfId="5" applyFont="1" applyFill="1" applyBorder="1" applyAlignment="1" applyProtection="1">
      <alignment horizontal="center"/>
      <protection hidden="1"/>
    </xf>
    <xf numFmtId="1" fontId="64" fillId="11" borderId="28" xfId="5" applyNumberFormat="1" applyFont="1" applyFill="1" applyBorder="1" applyAlignment="1">
      <alignment horizontal="center" vertical="center"/>
    </xf>
    <xf numFmtId="9" fontId="74" fillId="16" borderId="41" xfId="5" applyNumberFormat="1" applyFont="1" applyFill="1" applyBorder="1" applyAlignment="1" applyProtection="1">
      <alignment horizontal="center" vertical="center"/>
      <protection locked="0"/>
    </xf>
    <xf numFmtId="0" fontId="9" fillId="13" borderId="54" xfId="5" applyFont="1" applyFill="1" applyBorder="1" applyAlignment="1" applyProtection="1">
      <alignment horizontal="center"/>
      <protection hidden="1"/>
    </xf>
    <xf numFmtId="1" fontId="64" fillId="11" borderId="43" xfId="5" applyNumberFormat="1" applyFont="1" applyFill="1" applyBorder="1" applyAlignment="1">
      <alignment horizontal="center" vertical="center"/>
    </xf>
    <xf numFmtId="0" fontId="74" fillId="58" borderId="0" xfId="5" applyFont="1" applyFill="1" applyAlignment="1">
      <alignment horizontal="center" vertical="center"/>
    </xf>
    <xf numFmtId="1" fontId="64" fillId="80" borderId="69" xfId="5" applyNumberFormat="1" applyFont="1" applyFill="1" applyBorder="1" applyAlignment="1">
      <alignment horizontal="center" vertical="center"/>
    </xf>
    <xf numFmtId="0" fontId="2" fillId="0" borderId="8" xfId="5" applyBorder="1" applyAlignment="1">
      <alignment horizontal="center" vertical="center" wrapText="1"/>
    </xf>
    <xf numFmtId="0" fontId="74" fillId="0" borderId="0" xfId="5" applyFont="1" applyAlignment="1">
      <alignment horizontal="center" vertical="center"/>
    </xf>
    <xf numFmtId="9" fontId="64" fillId="0" borderId="0" xfId="5" applyNumberFormat="1" applyFont="1" applyAlignment="1">
      <alignment horizontal="center" vertical="center" shrinkToFit="1"/>
    </xf>
    <xf numFmtId="0" fontId="64" fillId="0" borderId="0" xfId="5" applyFont="1" applyAlignment="1" applyProtection="1">
      <alignment horizontal="center" vertical="center" shrinkToFit="1"/>
      <protection locked="0"/>
    </xf>
    <xf numFmtId="1" fontId="64" fillId="0" borderId="0" xfId="5" applyNumberFormat="1" applyFont="1" applyAlignment="1">
      <alignment horizontal="center" vertical="center"/>
    </xf>
    <xf numFmtId="183" fontId="64" fillId="0" borderId="0" xfId="5" applyNumberFormat="1" applyFont="1" applyAlignment="1">
      <alignment horizontal="center" vertical="center"/>
    </xf>
    <xf numFmtId="0" fontId="64" fillId="86" borderId="11" xfId="5" applyFont="1" applyFill="1" applyBorder="1" applyAlignment="1">
      <alignment horizontal="center"/>
    </xf>
    <xf numFmtId="0" fontId="64" fillId="11" borderId="9" xfId="5" applyFont="1" applyFill="1" applyBorder="1" applyAlignment="1">
      <alignment horizontal="center" vertical="center"/>
    </xf>
    <xf numFmtId="0" fontId="9" fillId="13" borderId="58" xfId="5" applyFont="1" applyFill="1" applyBorder="1" applyAlignment="1" applyProtection="1">
      <alignment horizontal="center"/>
      <protection hidden="1"/>
    </xf>
    <xf numFmtId="1" fontId="64" fillId="11" borderId="124" xfId="5" applyNumberFormat="1" applyFont="1" applyFill="1" applyBorder="1" applyAlignment="1">
      <alignment horizontal="center" vertical="center"/>
    </xf>
    <xf numFmtId="0" fontId="9" fillId="89" borderId="0" xfId="5" applyFont="1" applyFill="1"/>
    <xf numFmtId="0" fontId="9" fillId="89" borderId="0" xfId="5" applyFont="1" applyFill="1" applyAlignment="1">
      <alignment horizontal="center"/>
    </xf>
    <xf numFmtId="0" fontId="86" fillId="58" borderId="11" xfId="13" applyFont="1" applyFill="1" applyBorder="1" applyAlignment="1">
      <alignment horizontal="center" vertical="center"/>
    </xf>
    <xf numFmtId="0" fontId="84" fillId="58" borderId="11" xfId="13" applyFont="1" applyFill="1" applyBorder="1" applyAlignment="1">
      <alignment horizontal="center" vertical="center"/>
    </xf>
    <xf numFmtId="0" fontId="0" fillId="59" borderId="0" xfId="0" applyFill="1"/>
    <xf numFmtId="0" fontId="2" fillId="89" borderId="0" xfId="5" applyFill="1"/>
    <xf numFmtId="1" fontId="3" fillId="9" borderId="50" xfId="3" quotePrefix="1" applyNumberFormat="1" applyFont="1" applyFill="1" applyBorder="1" applyAlignment="1" applyProtection="1">
      <alignment horizontal="center"/>
      <protection hidden="1"/>
    </xf>
    <xf numFmtId="0" fontId="0" fillId="0" borderId="0" xfId="0" applyAlignment="1">
      <alignment horizontal="right" vertical="center"/>
    </xf>
    <xf numFmtId="0" fontId="93" fillId="60" borderId="8" xfId="0" applyFont="1" applyFill="1" applyBorder="1" applyAlignment="1">
      <alignment horizontal="left" vertical="center"/>
    </xf>
    <xf numFmtId="0" fontId="92" fillId="60" borderId="8" xfId="0" applyFont="1" applyFill="1" applyBorder="1" applyAlignment="1">
      <alignment shrinkToFit="1"/>
    </xf>
    <xf numFmtId="0" fontId="64" fillId="94" borderId="5" xfId="5" applyFont="1" applyFill="1" applyBorder="1" applyAlignment="1" applyProtection="1">
      <alignment horizontal="center"/>
      <protection locked="0"/>
    </xf>
    <xf numFmtId="0" fontId="94" fillId="63" borderId="122" xfId="0" applyFont="1" applyFill="1" applyBorder="1" applyAlignment="1">
      <alignment horizontal="left" vertical="center" shrinkToFit="1"/>
    </xf>
    <xf numFmtId="1" fontId="2" fillId="95" borderId="8" xfId="3" applyNumberFormat="1" applyFill="1" applyBorder="1" applyAlignment="1">
      <alignment horizontal="center"/>
    </xf>
    <xf numFmtId="0" fontId="81" fillId="0" borderId="0" xfId="3" applyFont="1" applyAlignment="1">
      <alignment horizontal="center" vertical="center"/>
    </xf>
    <xf numFmtId="0" fontId="81" fillId="0" borderId="0" xfId="3" applyFont="1" applyAlignment="1">
      <alignment vertical="center"/>
    </xf>
    <xf numFmtId="0" fontId="92" fillId="60" borderId="8" xfId="0" applyFont="1" applyFill="1" applyBorder="1" applyAlignment="1">
      <alignment vertical="center" shrinkToFit="1"/>
    </xf>
    <xf numFmtId="0" fontId="2" fillId="96" borderId="8" xfId="3" applyFill="1" applyBorder="1" applyAlignment="1" applyProtection="1">
      <alignment horizontal="center"/>
      <protection locked="0"/>
    </xf>
    <xf numFmtId="1" fontId="3" fillId="97" borderId="8" xfId="3" applyNumberFormat="1" applyFont="1" applyFill="1" applyBorder="1" applyAlignment="1" applyProtection="1">
      <alignment horizontal="center"/>
      <protection hidden="1"/>
    </xf>
    <xf numFmtId="181" fontId="92" fillId="0" borderId="0" xfId="0" applyNumberFormat="1" applyFont="1" applyAlignment="1">
      <alignment shrinkToFit="1"/>
    </xf>
    <xf numFmtId="181" fontId="0" fillId="0" borderId="0" xfId="0" applyNumberFormat="1" applyAlignment="1">
      <alignment horizontal="center"/>
    </xf>
    <xf numFmtId="5" fontId="0" fillId="0" borderId="0" xfId="14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85" borderId="0" xfId="0" applyFill="1"/>
    <xf numFmtId="5" fontId="0" fillId="85" borderId="0" xfId="14" applyNumberFormat="1" applyFont="1" applyFill="1" applyBorder="1" applyAlignment="1">
      <alignment horizontal="center"/>
    </xf>
    <xf numFmtId="0" fontId="0" fillId="85" borderId="0" xfId="0" applyFill="1" applyAlignment="1">
      <alignment horizontal="center"/>
    </xf>
    <xf numFmtId="181" fontId="0" fillId="85" borderId="0" xfId="0" applyNumberFormat="1" applyFill="1" applyAlignment="1">
      <alignment horizontal="center"/>
    </xf>
    <xf numFmtId="0" fontId="81" fillId="85" borderId="0" xfId="3" applyFont="1" applyFill="1" applyAlignment="1">
      <alignment vertical="center"/>
    </xf>
    <xf numFmtId="0" fontId="81" fillId="85" borderId="0" xfId="3" applyFont="1" applyFill="1" applyAlignment="1">
      <alignment horizontal="center" vertical="center"/>
    </xf>
    <xf numFmtId="0" fontId="93" fillId="60" borderId="8" xfId="0" applyFont="1" applyFill="1" applyBorder="1"/>
    <xf numFmtId="0" fontId="75" fillId="60" borderId="8" xfId="0" applyFont="1" applyFill="1" applyBorder="1"/>
    <xf numFmtId="0" fontId="92" fillId="60" borderId="8" xfId="0" applyFont="1" applyFill="1" applyBorder="1"/>
    <xf numFmtId="0" fontId="94" fillId="63" borderId="122" xfId="0" applyFont="1" applyFill="1" applyBorder="1"/>
    <xf numFmtId="0" fontId="95" fillId="0" borderId="0" xfId="0" applyFont="1"/>
    <xf numFmtId="0" fontId="0" fillId="60" borderId="0" xfId="0" applyFill="1"/>
    <xf numFmtId="0" fontId="0" fillId="100" borderId="0" xfId="0" applyFill="1"/>
    <xf numFmtId="0" fontId="97" fillId="0" borderId="0" xfId="0" applyFont="1" applyAlignment="1">
      <alignment shrinkToFit="1"/>
    </xf>
    <xf numFmtId="181" fontId="75" fillId="0" borderId="0" xfId="0" applyNumberFormat="1" applyFont="1"/>
    <xf numFmtId="0" fontId="67" fillId="72" borderId="8" xfId="5" applyFont="1" applyFill="1" applyBorder="1"/>
    <xf numFmtId="0" fontId="9" fillId="15" borderId="29" xfId="5" applyFont="1" applyFill="1" applyBorder="1" applyAlignment="1" applyProtection="1">
      <alignment horizontal="center"/>
      <protection locked="0"/>
    </xf>
    <xf numFmtId="0" fontId="13" fillId="11" borderId="0" xfId="5" applyFont="1" applyFill="1" applyAlignment="1" applyProtection="1">
      <alignment horizontal="center" vertical="center"/>
      <protection locked="0"/>
    </xf>
    <xf numFmtId="0" fontId="13" fillId="11" borderId="0" xfId="5" applyFont="1" applyFill="1" applyAlignment="1" applyProtection="1">
      <alignment vertical="center"/>
      <protection locked="0"/>
    </xf>
    <xf numFmtId="0" fontId="16" fillId="11" borderId="0" xfId="5" applyFont="1" applyFill="1" applyAlignment="1" applyProtection="1">
      <alignment vertical="center"/>
      <protection locked="0"/>
    </xf>
    <xf numFmtId="0" fontId="14" fillId="11" borderId="0" xfId="5" applyFont="1" applyFill="1" applyAlignment="1" applyProtection="1">
      <alignment horizontal="center" vertical="center"/>
      <protection locked="0"/>
    </xf>
    <xf numFmtId="0" fontId="16" fillId="11" borderId="0" xfId="5" applyFont="1" applyFill="1" applyAlignment="1" applyProtection="1">
      <alignment horizontal="center" vertical="center"/>
      <protection locked="0"/>
    </xf>
    <xf numFmtId="0" fontId="9" fillId="11" borderId="8" xfId="5" applyFont="1" applyFill="1" applyBorder="1"/>
    <xf numFmtId="0" fontId="16" fillId="11" borderId="8" xfId="5" applyFont="1" applyFill="1" applyBorder="1" applyAlignment="1" applyProtection="1">
      <alignment vertical="center"/>
      <protection locked="0"/>
    </xf>
    <xf numFmtId="0" fontId="16" fillId="11" borderId="8" xfId="5" applyFont="1" applyFill="1" applyBorder="1" applyAlignment="1" applyProtection="1">
      <alignment horizontal="center" vertical="center"/>
      <protection locked="0"/>
    </xf>
    <xf numFmtId="2" fontId="102" fillId="59" borderId="8" xfId="0" applyNumberFormat="1" applyFont="1" applyFill="1" applyBorder="1" applyAlignment="1">
      <alignment horizontal="center"/>
    </xf>
    <xf numFmtId="0" fontId="9" fillId="11" borderId="25" xfId="5" applyFont="1" applyFill="1" applyBorder="1"/>
    <xf numFmtId="0" fontId="16" fillId="11" borderId="25" xfId="5" applyFont="1" applyFill="1" applyBorder="1" applyAlignment="1" applyProtection="1">
      <alignment vertical="center"/>
      <protection locked="0"/>
    </xf>
    <xf numFmtId="0" fontId="14" fillId="12" borderId="20" xfId="5" applyFont="1" applyFill="1" applyBorder="1" applyProtection="1">
      <protection locked="0"/>
    </xf>
    <xf numFmtId="166" fontId="29" fillId="57" borderId="74" xfId="5" applyNumberFormat="1" applyFont="1" applyFill="1" applyBorder="1" applyAlignment="1">
      <alignment horizontal="center"/>
    </xf>
    <xf numFmtId="166" fontId="29" fillId="60" borderId="74" xfId="5" applyNumberFormat="1" applyFont="1" applyFill="1" applyBorder="1" applyAlignment="1">
      <alignment horizontal="center"/>
    </xf>
    <xf numFmtId="2" fontId="106" fillId="101" borderId="127" xfId="0" applyNumberFormat="1" applyFont="1" applyFill="1" applyBorder="1"/>
    <xf numFmtId="2" fontId="106" fillId="102" borderId="127" xfId="0" applyNumberFormat="1" applyFont="1" applyFill="1" applyBorder="1"/>
    <xf numFmtId="2" fontId="106" fillId="103" borderId="127" xfId="0" applyNumberFormat="1" applyFont="1" applyFill="1" applyBorder="1"/>
    <xf numFmtId="2" fontId="106" fillId="104" borderId="127" xfId="0" applyNumberFormat="1" applyFont="1" applyFill="1" applyBorder="1"/>
    <xf numFmtId="2" fontId="106" fillId="63" borderId="127" xfId="0" applyNumberFormat="1" applyFont="1" applyFill="1" applyBorder="1"/>
    <xf numFmtId="2" fontId="106" fillId="105" borderId="127" xfId="0" applyNumberFormat="1" applyFont="1" applyFill="1" applyBorder="1" applyAlignment="1">
      <alignment horizontal="center"/>
    </xf>
    <xf numFmtId="2" fontId="106" fillId="105" borderId="0" xfId="0" applyNumberFormat="1" applyFont="1" applyFill="1" applyAlignment="1">
      <alignment horizontal="center"/>
    </xf>
    <xf numFmtId="166" fontId="106" fillId="105" borderId="0" xfId="0" applyNumberFormat="1" applyFont="1" applyFill="1" applyAlignment="1">
      <alignment horizontal="center"/>
    </xf>
    <xf numFmtId="166" fontId="106" fillId="106" borderId="127" xfId="0" applyNumberFormat="1" applyFont="1" applyFill="1" applyBorder="1" applyAlignment="1">
      <alignment horizontal="center"/>
    </xf>
    <xf numFmtId="166" fontId="106" fillId="106" borderId="128" xfId="0" applyNumberFormat="1" applyFont="1" applyFill="1" applyBorder="1" applyAlignment="1">
      <alignment horizontal="center"/>
    </xf>
    <xf numFmtId="166" fontId="107" fillId="107" borderId="129" xfId="0" applyNumberFormat="1" applyFont="1" applyFill="1" applyBorder="1" applyAlignment="1">
      <alignment horizontal="center"/>
    </xf>
    <xf numFmtId="2" fontId="82" fillId="107" borderId="127" xfId="0" applyNumberFormat="1" applyFont="1" applyFill="1" applyBorder="1" applyAlignment="1">
      <alignment horizontal="center"/>
    </xf>
    <xf numFmtId="166" fontId="107" fillId="107" borderId="127" xfId="0" applyNumberFormat="1" applyFont="1" applyFill="1" applyBorder="1" applyAlignment="1">
      <alignment horizontal="center"/>
    </xf>
    <xf numFmtId="166" fontId="106" fillId="108" borderId="127" xfId="0" applyNumberFormat="1" applyFont="1" applyFill="1" applyBorder="1" applyAlignment="1">
      <alignment horizontal="center"/>
    </xf>
    <xf numFmtId="166" fontId="106" fillId="109" borderId="127" xfId="0" applyNumberFormat="1" applyFont="1" applyFill="1" applyBorder="1" applyAlignment="1">
      <alignment horizontal="center"/>
    </xf>
    <xf numFmtId="166" fontId="106" fillId="103" borderId="127" xfId="0" applyNumberFormat="1" applyFont="1" applyFill="1" applyBorder="1" applyAlignment="1">
      <alignment horizontal="center"/>
    </xf>
    <xf numFmtId="166" fontId="106" fillId="63" borderId="127" xfId="0" applyNumberFormat="1" applyFont="1" applyFill="1" applyBorder="1" applyAlignment="1">
      <alignment horizontal="center"/>
    </xf>
    <xf numFmtId="166" fontId="106" fillId="106" borderId="130" xfId="0" applyNumberFormat="1" applyFont="1" applyFill="1" applyBorder="1" applyAlignment="1">
      <alignment horizontal="center"/>
    </xf>
    <xf numFmtId="166" fontId="106" fillId="106" borderId="131" xfId="0" applyNumberFormat="1" applyFont="1" applyFill="1" applyBorder="1" applyAlignment="1">
      <alignment horizontal="center"/>
    </xf>
    <xf numFmtId="166" fontId="106" fillId="108" borderId="127" xfId="0" applyNumberFormat="1" applyFont="1" applyFill="1" applyBorder="1" applyAlignment="1">
      <alignment horizontal="center" vertical="center"/>
    </xf>
    <xf numFmtId="166" fontId="106" fillId="108" borderId="132" xfId="0" applyNumberFormat="1" applyFont="1" applyFill="1" applyBorder="1" applyAlignment="1">
      <alignment horizontal="center" vertical="center"/>
    </xf>
    <xf numFmtId="166" fontId="106" fillId="0" borderId="128" xfId="0" applyNumberFormat="1" applyFont="1" applyBorder="1" applyAlignment="1">
      <alignment horizontal="center"/>
    </xf>
    <xf numFmtId="166" fontId="106" fillId="0" borderId="133" xfId="0" applyNumberFormat="1" applyFont="1" applyBorder="1" applyAlignment="1">
      <alignment horizontal="center"/>
    </xf>
    <xf numFmtId="166" fontId="106" fillId="110" borderId="133" xfId="0" applyNumberFormat="1" applyFont="1" applyFill="1" applyBorder="1" applyAlignment="1">
      <alignment horizontal="center"/>
    </xf>
    <xf numFmtId="9" fontId="108" fillId="63" borderId="134" xfId="0" applyNumberFormat="1" applyFont="1" applyFill="1" applyBorder="1" applyAlignment="1">
      <alignment horizontal="center" vertical="center"/>
    </xf>
    <xf numFmtId="166" fontId="106" fillId="111" borderId="135" xfId="0" applyNumberFormat="1" applyFont="1" applyFill="1" applyBorder="1" applyAlignment="1">
      <alignment horizontal="center"/>
    </xf>
    <xf numFmtId="166" fontId="106" fillId="111" borderId="128" xfId="0" applyNumberFormat="1" applyFont="1" applyFill="1" applyBorder="1" applyAlignment="1">
      <alignment horizontal="center"/>
    </xf>
    <xf numFmtId="166" fontId="106" fillId="111" borderId="133" xfId="0" applyNumberFormat="1" applyFont="1" applyFill="1" applyBorder="1" applyAlignment="1">
      <alignment horizontal="center"/>
    </xf>
    <xf numFmtId="166" fontId="106" fillId="110" borderId="135" xfId="0" applyNumberFormat="1" applyFont="1" applyFill="1" applyBorder="1" applyAlignment="1">
      <alignment horizontal="center"/>
    </xf>
    <xf numFmtId="166" fontId="106" fillId="110" borderId="127" xfId="0" applyNumberFormat="1" applyFont="1" applyFill="1" applyBorder="1" applyAlignment="1">
      <alignment horizontal="center"/>
    </xf>
    <xf numFmtId="167" fontId="82" fillId="107" borderId="127" xfId="0" applyNumberFormat="1" applyFont="1" applyFill="1" applyBorder="1" applyAlignment="1">
      <alignment horizontal="center"/>
    </xf>
    <xf numFmtId="166" fontId="106" fillId="112" borderId="133" xfId="0" applyNumberFormat="1" applyFont="1" applyFill="1" applyBorder="1" applyAlignment="1">
      <alignment horizontal="center"/>
    </xf>
    <xf numFmtId="166" fontId="106" fillId="113" borderId="133" xfId="0" applyNumberFormat="1" applyFont="1" applyFill="1" applyBorder="1" applyAlignment="1">
      <alignment horizontal="center"/>
    </xf>
    <xf numFmtId="166" fontId="106" fillId="63" borderId="133" xfId="0" applyNumberFormat="1" applyFont="1" applyFill="1" applyBorder="1" applyAlignment="1">
      <alignment horizontal="center"/>
    </xf>
    <xf numFmtId="166" fontId="106" fillId="114" borderId="135" xfId="0" applyNumberFormat="1" applyFont="1" applyFill="1" applyBorder="1" applyAlignment="1">
      <alignment horizontal="center"/>
    </xf>
    <xf numFmtId="166" fontId="106" fillId="114" borderId="127" xfId="0" applyNumberFormat="1" applyFont="1" applyFill="1" applyBorder="1" applyAlignment="1">
      <alignment horizontal="center"/>
    </xf>
    <xf numFmtId="0" fontId="107" fillId="110" borderId="0" xfId="0" applyFont="1" applyFill="1" applyAlignment="1">
      <alignment horizontal="center" vertical="center"/>
    </xf>
    <xf numFmtId="166" fontId="106" fillId="63" borderId="135" xfId="0" applyNumberFormat="1" applyFont="1" applyFill="1" applyBorder="1" applyAlignment="1">
      <alignment horizontal="center"/>
    </xf>
    <xf numFmtId="166" fontId="106" fillId="63" borderId="129" xfId="0" applyNumberFormat="1" applyFont="1" applyFill="1" applyBorder="1" applyAlignment="1">
      <alignment horizontal="center"/>
    </xf>
    <xf numFmtId="166" fontId="108" fillId="111" borderId="134" xfId="0" applyNumberFormat="1" applyFont="1" applyFill="1" applyBorder="1" applyAlignment="1">
      <alignment horizontal="center" vertical="center"/>
    </xf>
    <xf numFmtId="166" fontId="106" fillId="103" borderId="133" xfId="0" applyNumberFormat="1" applyFont="1" applyFill="1" applyBorder="1" applyAlignment="1">
      <alignment horizontal="center"/>
    </xf>
    <xf numFmtId="166" fontId="106" fillId="103" borderId="135" xfId="0" applyNumberFormat="1" applyFont="1" applyFill="1" applyBorder="1" applyAlignment="1">
      <alignment horizontal="center"/>
    </xf>
    <xf numFmtId="2" fontId="82" fillId="107" borderId="135" xfId="0" applyNumberFormat="1" applyFont="1" applyFill="1" applyBorder="1" applyAlignment="1">
      <alignment horizontal="center"/>
    </xf>
    <xf numFmtId="166" fontId="106" fillId="115" borderId="133" xfId="0" applyNumberFormat="1" applyFont="1" applyFill="1" applyBorder="1" applyAlignment="1">
      <alignment horizontal="center"/>
    </xf>
    <xf numFmtId="166" fontId="106" fillId="111" borderId="127" xfId="0" applyNumberFormat="1" applyFont="1" applyFill="1" applyBorder="1" applyAlignment="1">
      <alignment horizontal="center"/>
    </xf>
    <xf numFmtId="166" fontId="106" fillId="110" borderId="136" xfId="0" applyNumberFormat="1" applyFont="1" applyFill="1" applyBorder="1" applyAlignment="1">
      <alignment horizontal="center"/>
    </xf>
    <xf numFmtId="9" fontId="106" fillId="63" borderId="134" xfId="0" applyNumberFormat="1" applyFont="1" applyFill="1" applyBorder="1" applyAlignment="1">
      <alignment horizontal="center" vertical="center"/>
    </xf>
    <xf numFmtId="166" fontId="106" fillId="111" borderId="136" xfId="0" applyNumberFormat="1" applyFont="1" applyFill="1" applyBorder="1" applyAlignment="1">
      <alignment horizontal="center"/>
    </xf>
    <xf numFmtId="166" fontId="106" fillId="63" borderId="131" xfId="0" applyNumberFormat="1" applyFont="1" applyFill="1" applyBorder="1" applyAlignment="1">
      <alignment horizontal="center"/>
    </xf>
    <xf numFmtId="166" fontId="106" fillId="111" borderId="131" xfId="0" applyNumberFormat="1" applyFont="1" applyFill="1" applyBorder="1" applyAlignment="1">
      <alignment horizontal="center"/>
    </xf>
    <xf numFmtId="166" fontId="106" fillId="110" borderId="131" xfId="0" applyNumberFormat="1" applyFont="1" applyFill="1" applyBorder="1" applyAlignment="1">
      <alignment horizontal="center"/>
    </xf>
    <xf numFmtId="166" fontId="106" fillId="110" borderId="130" xfId="0" applyNumberFormat="1" applyFont="1" applyFill="1" applyBorder="1" applyAlignment="1">
      <alignment horizontal="center"/>
    </xf>
    <xf numFmtId="166" fontId="106" fillId="110" borderId="133" xfId="0" applyNumberFormat="1" applyFont="1" applyFill="1" applyBorder="1" applyAlignment="1">
      <alignment horizontal="center" vertical="center"/>
    </xf>
    <xf numFmtId="166" fontId="106" fillId="111" borderId="135" xfId="0" applyNumberFormat="1" applyFont="1" applyFill="1" applyBorder="1" applyAlignment="1">
      <alignment horizontal="center" vertical="center"/>
    </xf>
    <xf numFmtId="166" fontId="106" fillId="111" borderId="133" xfId="0" applyNumberFormat="1" applyFont="1" applyFill="1" applyBorder="1" applyAlignment="1">
      <alignment horizontal="center" vertical="center"/>
    </xf>
    <xf numFmtId="167" fontId="109" fillId="0" borderId="132" xfId="0" applyNumberFormat="1" applyFont="1" applyBorder="1"/>
    <xf numFmtId="166" fontId="106" fillId="0" borderId="135" xfId="0" applyNumberFormat="1" applyFont="1" applyBorder="1" applyAlignment="1">
      <alignment horizontal="center"/>
    </xf>
    <xf numFmtId="166" fontId="106" fillId="0" borderId="137" xfId="0" applyNumberFormat="1" applyFont="1" applyBorder="1"/>
    <xf numFmtId="2" fontId="106" fillId="116" borderId="127" xfId="0" applyNumberFormat="1" applyFont="1" applyFill="1" applyBorder="1" applyAlignment="1">
      <alignment horizontal="center"/>
    </xf>
    <xf numFmtId="2" fontId="106" fillId="117" borderId="127" xfId="0" applyNumberFormat="1" applyFont="1" applyFill="1" applyBorder="1" applyAlignment="1">
      <alignment horizontal="center"/>
    </xf>
    <xf numFmtId="2" fontId="29" fillId="71" borderId="72" xfId="5" applyNumberFormat="1" applyFont="1" applyFill="1" applyBorder="1" applyAlignment="1">
      <alignment horizontal="center"/>
    </xf>
    <xf numFmtId="166" fontId="29" fillId="57" borderId="74" xfId="0" applyNumberFormat="1" applyFont="1" applyFill="1" applyBorder="1" applyAlignment="1">
      <alignment horizontal="center" vertical="center"/>
    </xf>
    <xf numFmtId="2" fontId="29" fillId="69" borderId="0" xfId="5" applyNumberFormat="1" applyFont="1" applyFill="1" applyAlignment="1">
      <alignment horizontal="center"/>
    </xf>
    <xf numFmtId="166" fontId="29" fillId="60" borderId="75" xfId="5" applyNumberFormat="1" applyFont="1" applyFill="1" applyBorder="1" applyAlignment="1">
      <alignment horizontal="center"/>
    </xf>
    <xf numFmtId="166" fontId="29" fillId="57" borderId="75" xfId="0" applyNumberFormat="1" applyFont="1" applyFill="1" applyBorder="1" applyAlignment="1">
      <alignment horizontal="center" vertical="center"/>
    </xf>
    <xf numFmtId="2" fontId="29" fillId="5" borderId="9" xfId="5" applyNumberFormat="1" applyFont="1" applyFill="1" applyBorder="1"/>
    <xf numFmtId="2" fontId="29" fillId="0" borderId="0" xfId="12" applyNumberFormat="1" applyFont="1"/>
    <xf numFmtId="0" fontId="15" fillId="13" borderId="46" xfId="5" quotePrefix="1" applyFont="1" applyFill="1" applyBorder="1" applyAlignment="1" applyProtection="1">
      <alignment horizontal="center"/>
      <protection hidden="1"/>
    </xf>
    <xf numFmtId="0" fontId="67" fillId="58" borderId="8" xfId="5" applyFont="1" applyFill="1" applyBorder="1" applyAlignment="1">
      <alignment horizontal="center"/>
    </xf>
    <xf numFmtId="0" fontId="67" fillId="74" borderId="8" xfId="5" applyFont="1" applyFill="1" applyBorder="1" applyAlignment="1" applyProtection="1">
      <alignment horizontal="center" vertical="center"/>
      <protection hidden="1"/>
    </xf>
    <xf numFmtId="0" fontId="67" fillId="60" borderId="8" xfId="5" applyFont="1" applyFill="1" applyBorder="1" applyAlignment="1" applyProtection="1">
      <alignment horizontal="center" vertical="center"/>
      <protection hidden="1"/>
    </xf>
    <xf numFmtId="2" fontId="35" fillId="42" borderId="72" xfId="5" applyNumberFormat="1" applyFont="1" applyFill="1" applyBorder="1" applyAlignment="1">
      <alignment horizontal="center"/>
    </xf>
    <xf numFmtId="2" fontId="35" fillId="6" borderId="0" xfId="5" applyNumberFormat="1" applyFont="1" applyFill="1"/>
    <xf numFmtId="2" fontId="35" fillId="34" borderId="72" xfId="5" applyNumberFormat="1" applyFont="1" applyFill="1" applyBorder="1"/>
    <xf numFmtId="2" fontId="35" fillId="42" borderId="72" xfId="5" applyNumberFormat="1" applyFont="1" applyFill="1" applyBorder="1"/>
    <xf numFmtId="2" fontId="35" fillId="0" borderId="81" xfId="5" applyNumberFormat="1" applyFont="1" applyBorder="1"/>
    <xf numFmtId="2" fontId="35" fillId="0" borderId="82" xfId="5" applyNumberFormat="1" applyFont="1" applyBorder="1" applyAlignment="1">
      <alignment horizontal="center"/>
    </xf>
    <xf numFmtId="0" fontId="107" fillId="0" borderId="0" xfId="0" applyFont="1" applyAlignment="1">
      <alignment horizontal="center" vertical="center"/>
    </xf>
    <xf numFmtId="2" fontId="82" fillId="0" borderId="135" xfId="0" applyNumberFormat="1" applyFont="1" applyBorder="1" applyAlignment="1">
      <alignment horizontal="center"/>
    </xf>
    <xf numFmtId="166" fontId="106" fillId="0" borderId="131" xfId="0" applyNumberFormat="1" applyFont="1" applyBorder="1" applyAlignment="1">
      <alignment horizontal="center"/>
    </xf>
    <xf numFmtId="166" fontId="29" fillId="0" borderId="75" xfId="0" applyNumberFormat="1" applyFont="1" applyBorder="1" applyAlignment="1">
      <alignment horizontal="center"/>
    </xf>
    <xf numFmtId="2" fontId="35" fillId="0" borderId="72" xfId="5" applyNumberFormat="1" applyFont="1" applyBorder="1" applyAlignment="1">
      <alignment horizontal="center"/>
    </xf>
    <xf numFmtId="166" fontId="106" fillId="0" borderId="127" xfId="0" applyNumberFormat="1" applyFont="1" applyBorder="1" applyAlignment="1">
      <alignment horizontal="center"/>
    </xf>
    <xf numFmtId="166" fontId="106" fillId="0" borderId="129" xfId="0" applyNumberFormat="1" applyFont="1" applyBorder="1" applyAlignment="1">
      <alignment horizontal="center"/>
    </xf>
    <xf numFmtId="2" fontId="82" fillId="0" borderId="127" xfId="0" applyNumberFormat="1" applyFont="1" applyBorder="1" applyAlignment="1">
      <alignment horizontal="center"/>
    </xf>
    <xf numFmtId="166" fontId="106" fillId="0" borderId="130" xfId="0" applyNumberFormat="1" applyFont="1" applyBorder="1" applyAlignment="1">
      <alignment horizontal="center"/>
    </xf>
    <xf numFmtId="166" fontId="29" fillId="0" borderId="72" xfId="0" applyNumberFormat="1" applyFont="1" applyBorder="1" applyAlignment="1">
      <alignment horizontal="center"/>
    </xf>
    <xf numFmtId="2" fontId="35" fillId="0" borderId="72" xfId="5" applyNumberFormat="1" applyFont="1" applyBorder="1"/>
    <xf numFmtId="2" fontId="35" fillId="0" borderId="70" xfId="5" applyNumberFormat="1" applyFont="1" applyBorder="1" applyAlignment="1">
      <alignment horizontal="center"/>
    </xf>
    <xf numFmtId="166" fontId="29" fillId="0" borderId="72" xfId="5" applyNumberFormat="1" applyFont="1" applyBorder="1" applyAlignment="1" applyProtection="1">
      <alignment horizontal="center"/>
      <protection locked="0"/>
    </xf>
    <xf numFmtId="2" fontId="29" fillId="0" borderId="72" xfId="5" applyNumberFormat="1" applyFont="1" applyBorder="1" applyAlignment="1">
      <alignment horizontal="center"/>
    </xf>
    <xf numFmtId="2" fontId="29" fillId="0" borderId="72" xfId="5" applyNumberFormat="1" applyFont="1" applyBorder="1" applyAlignment="1" applyProtection="1">
      <alignment horizontal="center"/>
      <protection locked="0"/>
    </xf>
    <xf numFmtId="2" fontId="50" fillId="0" borderId="72" xfId="5" applyNumberFormat="1" applyFont="1" applyBorder="1" applyAlignment="1">
      <alignment horizontal="center"/>
    </xf>
    <xf numFmtId="166" fontId="106" fillId="0" borderId="133" xfId="0" applyNumberFormat="1" applyFont="1" applyBorder="1" applyAlignment="1">
      <alignment horizontal="center" vertical="center"/>
    </xf>
    <xf numFmtId="166" fontId="29" fillId="0" borderId="74" xfId="0" applyNumberFormat="1" applyFont="1" applyBorder="1" applyAlignment="1">
      <alignment horizontal="center" vertical="center"/>
    </xf>
    <xf numFmtId="2" fontId="35" fillId="0" borderId="83" xfId="5" applyNumberFormat="1" applyFont="1" applyBorder="1" applyAlignment="1">
      <alignment horizontal="center"/>
    </xf>
    <xf numFmtId="2" fontId="12" fillId="42" borderId="81" xfId="5" applyNumberFormat="1" applyFont="1" applyFill="1" applyBorder="1" applyAlignment="1">
      <alignment horizontal="center" vertical="center"/>
    </xf>
    <xf numFmtId="2" fontId="61" fillId="42" borderId="81" xfId="5" applyNumberFormat="1" applyFont="1" applyFill="1" applyBorder="1" applyAlignment="1">
      <alignment horizontal="center" vertical="center"/>
    </xf>
    <xf numFmtId="2" fontId="61" fillId="118" borderId="0" xfId="5" applyNumberFormat="1" applyFont="1" applyFill="1" applyAlignment="1">
      <alignment horizontal="center" vertical="center"/>
    </xf>
    <xf numFmtId="166" fontId="106" fillId="120" borderId="135" xfId="0" applyNumberFormat="1" applyFont="1" applyFill="1" applyBorder="1" applyAlignment="1">
      <alignment horizontal="center"/>
    </xf>
    <xf numFmtId="166" fontId="106" fillId="120" borderId="128" xfId="0" applyNumberFormat="1" applyFont="1" applyFill="1" applyBorder="1" applyAlignment="1">
      <alignment horizontal="center"/>
    </xf>
    <xf numFmtId="166" fontId="106" fillId="120" borderId="133" xfId="0" applyNumberFormat="1" applyFont="1" applyFill="1" applyBorder="1" applyAlignment="1">
      <alignment horizontal="center"/>
    </xf>
    <xf numFmtId="166" fontId="106" fillId="121" borderId="135" xfId="0" applyNumberFormat="1" applyFont="1" applyFill="1" applyBorder="1" applyAlignment="1">
      <alignment horizontal="center"/>
    </xf>
    <xf numFmtId="166" fontId="106" fillId="122" borderId="133" xfId="0" applyNumberFormat="1" applyFont="1" applyFill="1" applyBorder="1" applyAlignment="1">
      <alignment horizontal="center"/>
    </xf>
    <xf numFmtId="166" fontId="106" fillId="121" borderId="133" xfId="0" applyNumberFormat="1" applyFont="1" applyFill="1" applyBorder="1" applyAlignment="1">
      <alignment horizontal="center"/>
    </xf>
    <xf numFmtId="166" fontId="106" fillId="123" borderId="133" xfId="0" applyNumberFormat="1" applyFont="1" applyFill="1" applyBorder="1" applyAlignment="1">
      <alignment horizontal="center"/>
    </xf>
    <xf numFmtId="166" fontId="106" fillId="124" borderId="133" xfId="0" applyNumberFormat="1" applyFont="1" applyFill="1" applyBorder="1" applyAlignment="1">
      <alignment horizontal="center"/>
    </xf>
    <xf numFmtId="166" fontId="108" fillId="120" borderId="134" xfId="0" applyNumberFormat="1" applyFont="1" applyFill="1" applyBorder="1" applyAlignment="1">
      <alignment horizontal="center" vertical="center"/>
    </xf>
    <xf numFmtId="166" fontId="106" fillId="125" borderId="133" xfId="0" applyNumberFormat="1" applyFont="1" applyFill="1" applyBorder="1" applyAlignment="1">
      <alignment horizontal="center"/>
    </xf>
    <xf numFmtId="166" fontId="106" fillId="121" borderId="127" xfId="0" applyNumberFormat="1" applyFont="1" applyFill="1" applyBorder="1" applyAlignment="1">
      <alignment horizontal="center"/>
    </xf>
    <xf numFmtId="166" fontId="106" fillId="120" borderId="127" xfId="0" applyNumberFormat="1" applyFont="1" applyFill="1" applyBorder="1" applyAlignment="1">
      <alignment horizontal="center"/>
    </xf>
    <xf numFmtId="166" fontId="106" fillId="120" borderId="136" xfId="0" applyNumberFormat="1" applyFont="1" applyFill="1" applyBorder="1" applyAlignment="1">
      <alignment horizontal="center"/>
    </xf>
    <xf numFmtId="166" fontId="106" fillId="124" borderId="131" xfId="0" applyNumberFormat="1" applyFont="1" applyFill="1" applyBorder="1" applyAlignment="1">
      <alignment horizontal="center"/>
    </xf>
    <xf numFmtId="166" fontId="106" fillId="120" borderId="131" xfId="0" applyNumberFormat="1" applyFont="1" applyFill="1" applyBorder="1" applyAlignment="1">
      <alignment horizontal="center"/>
    </xf>
    <xf numFmtId="166" fontId="106" fillId="120" borderId="135" xfId="0" applyNumberFormat="1" applyFont="1" applyFill="1" applyBorder="1" applyAlignment="1">
      <alignment horizontal="center" vertical="center"/>
    </xf>
    <xf numFmtId="166" fontId="106" fillId="120" borderId="133" xfId="0" applyNumberFormat="1" applyFont="1" applyFill="1" applyBorder="1" applyAlignment="1">
      <alignment horizontal="center" vertical="center"/>
    </xf>
    <xf numFmtId="166" fontId="106" fillId="126" borderId="135" xfId="0" applyNumberFormat="1" applyFont="1" applyFill="1" applyBorder="1" applyAlignment="1">
      <alignment horizontal="center"/>
    </xf>
    <xf numFmtId="166" fontId="106" fillId="126" borderId="133" xfId="0" applyNumberFormat="1" applyFont="1" applyFill="1" applyBorder="1" applyAlignment="1">
      <alignment horizontal="center"/>
    </xf>
    <xf numFmtId="166" fontId="29" fillId="127" borderId="75" xfId="0" applyNumberFormat="1" applyFont="1" applyFill="1" applyBorder="1" applyAlignment="1">
      <alignment horizontal="center" vertical="center"/>
    </xf>
    <xf numFmtId="166" fontId="29" fillId="127" borderId="74" xfId="0" applyNumberFormat="1" applyFont="1" applyFill="1" applyBorder="1" applyAlignment="1">
      <alignment horizontal="center" vertical="center"/>
    </xf>
    <xf numFmtId="166" fontId="29" fillId="126" borderId="75" xfId="5" applyNumberFormat="1" applyFont="1" applyFill="1" applyBorder="1" applyAlignment="1">
      <alignment horizontal="center"/>
    </xf>
    <xf numFmtId="166" fontId="29" fillId="127" borderId="74" xfId="5" applyNumberFormat="1" applyFont="1" applyFill="1" applyBorder="1" applyAlignment="1">
      <alignment horizontal="center"/>
    </xf>
    <xf numFmtId="166" fontId="29" fillId="126" borderId="74" xfId="5" applyNumberFormat="1" applyFont="1" applyFill="1" applyBorder="1" applyAlignment="1">
      <alignment horizontal="center"/>
    </xf>
    <xf numFmtId="0" fontId="2" fillId="0" borderId="4" xfId="5" applyBorder="1"/>
    <xf numFmtId="0" fontId="2" fillId="0" borderId="4" xfId="5" applyFill="1" applyBorder="1"/>
    <xf numFmtId="168" fontId="2" fillId="0" borderId="4" xfId="5" applyNumberFormat="1" applyFill="1" applyBorder="1"/>
    <xf numFmtId="0" fontId="2" fillId="13" borderId="16" xfId="5" applyFill="1" applyBorder="1" applyAlignment="1" applyProtection="1">
      <alignment horizontal="center" vertical="center"/>
      <protection hidden="1"/>
    </xf>
    <xf numFmtId="0" fontId="9" fillId="13" borderId="63" xfId="5" applyFont="1" applyFill="1" applyBorder="1" applyAlignment="1" applyProtection="1">
      <alignment horizontal="center" vertical="center" wrapText="1"/>
      <protection hidden="1"/>
    </xf>
    <xf numFmtId="0" fontId="9" fillId="13" borderId="64" xfId="5" applyFont="1" applyFill="1" applyBorder="1" applyAlignment="1" applyProtection="1">
      <alignment horizontal="center" vertical="center"/>
      <protection hidden="1"/>
    </xf>
    <xf numFmtId="0" fontId="9" fillId="13" borderId="64" xfId="5" applyFont="1" applyFill="1" applyBorder="1" applyAlignment="1" applyProtection="1">
      <alignment horizontal="center" vertical="center" wrapText="1"/>
      <protection hidden="1"/>
    </xf>
    <xf numFmtId="0" fontId="9" fillId="131" borderId="0" xfId="5" applyFont="1" applyFill="1" applyAlignment="1">
      <alignment horizontal="center"/>
    </xf>
    <xf numFmtId="2" fontId="9" fillId="130" borderId="25" xfId="5" applyNumberFormat="1" applyFont="1" applyFill="1" applyBorder="1" applyAlignment="1">
      <alignment horizontal="center"/>
    </xf>
    <xf numFmtId="1" fontId="9" fillId="129" borderId="7" xfId="5" applyNumberFormat="1" applyFont="1" applyFill="1" applyBorder="1" applyAlignment="1" applyProtection="1">
      <alignment horizontal="center"/>
      <protection hidden="1"/>
    </xf>
    <xf numFmtId="168" fontId="9" fillId="130" borderId="25" xfId="5" applyNumberFormat="1" applyFont="1" applyFill="1" applyBorder="1" applyAlignment="1" applyProtection="1">
      <alignment horizontal="center"/>
      <protection hidden="1"/>
    </xf>
    <xf numFmtId="0" fontId="9" fillId="0" borderId="0" xfId="5" applyFont="1" applyAlignment="1"/>
    <xf numFmtId="2" fontId="9" fillId="129" borderId="25" xfId="5" applyNumberFormat="1" applyFont="1" applyFill="1" applyBorder="1" applyAlignment="1" applyProtection="1">
      <alignment horizontal="center"/>
      <protection hidden="1"/>
    </xf>
    <xf numFmtId="0" fontId="110" fillId="58" borderId="0" xfId="0" applyFont="1" applyFill="1" applyAlignment="1">
      <alignment horizontal="center" vertical="center" wrapText="1"/>
    </xf>
    <xf numFmtId="0" fontId="0" fillId="83" borderId="8" xfId="0" applyFill="1" applyBorder="1" applyAlignment="1">
      <alignment horizontal="center" vertical="center" wrapText="1"/>
    </xf>
    <xf numFmtId="0" fontId="110" fillId="0" borderId="0" xfId="0" applyFont="1" applyFill="1" applyBorder="1" applyAlignment="1">
      <alignment wrapText="1"/>
    </xf>
    <xf numFmtId="0" fontId="0" fillId="0" borderId="0" xfId="0" applyFill="1" applyBorder="1" applyAlignment="1">
      <alignment wrapText="1"/>
    </xf>
    <xf numFmtId="168" fontId="111" fillId="60" borderId="0" xfId="0" applyNumberFormat="1" applyFont="1" applyFill="1" applyAlignment="1">
      <alignment horizontal="center"/>
    </xf>
    <xf numFmtId="168" fontId="29" fillId="9" borderId="29" xfId="5" applyNumberFormat="1" applyFont="1" applyFill="1" applyBorder="1" applyAlignment="1" applyProtection="1">
      <alignment horizontal="center"/>
      <protection hidden="1"/>
    </xf>
    <xf numFmtId="0" fontId="2" fillId="35" borderId="76" xfId="5" applyFill="1" applyBorder="1"/>
    <xf numFmtId="0" fontId="2" fillId="25" borderId="76" xfId="5" applyFill="1" applyBorder="1" applyAlignment="1">
      <alignment horizontal="center"/>
    </xf>
    <xf numFmtId="166" fontId="2" fillId="25" borderId="76" xfId="5" applyNumberFormat="1" applyFill="1" applyBorder="1" applyAlignment="1">
      <alignment horizontal="center"/>
    </xf>
    <xf numFmtId="0" fontId="2" fillId="0" borderId="8" xfId="5" applyBorder="1"/>
    <xf numFmtId="0" fontId="2" fillId="0" borderId="8" xfId="5" applyBorder="1" applyAlignment="1">
      <alignment horizontal="center"/>
    </xf>
    <xf numFmtId="168" fontId="42" fillId="35" borderId="8" xfId="5" applyNumberFormat="1" applyFont="1" applyFill="1" applyBorder="1"/>
    <xf numFmtId="1" fontId="42" fillId="25" borderId="8" xfId="5" applyNumberFormat="1" applyFont="1" applyFill="1" applyBorder="1" applyAlignment="1">
      <alignment horizontal="center"/>
    </xf>
    <xf numFmtId="0" fontId="42" fillId="25" borderId="8" xfId="5" applyFont="1" applyFill="1" applyBorder="1" applyAlignment="1">
      <alignment horizontal="center"/>
    </xf>
    <xf numFmtId="0" fontId="9" fillId="0" borderId="0" xfId="5" applyFont="1" applyFill="1" applyProtection="1">
      <protection hidden="1"/>
    </xf>
    <xf numFmtId="0" fontId="112" fillId="60" borderId="0" xfId="5" applyFont="1" applyFill="1" applyAlignment="1" applyProtection="1">
      <alignment horizontal="center"/>
      <protection hidden="1"/>
    </xf>
    <xf numFmtId="173" fontId="9" fillId="9" borderId="30" xfId="5" applyNumberFormat="1" applyFont="1" applyFill="1" applyBorder="1" applyAlignment="1" applyProtection="1">
      <alignment horizontal="center"/>
      <protection hidden="1"/>
    </xf>
    <xf numFmtId="0" fontId="64" fillId="13" borderId="50" xfId="5" applyFont="1" applyFill="1" applyBorder="1" applyAlignment="1" applyProtection="1">
      <alignment horizontal="center"/>
      <protection hidden="1"/>
    </xf>
    <xf numFmtId="0" fontId="64" fillId="13" borderId="69" xfId="5" applyFont="1" applyFill="1" applyBorder="1" applyAlignment="1" applyProtection="1">
      <alignment horizontal="center"/>
      <protection hidden="1"/>
    </xf>
    <xf numFmtId="0" fontId="64" fillId="13" borderId="29" xfId="5" applyFont="1" applyFill="1" applyBorder="1" applyAlignment="1" applyProtection="1">
      <alignment horizontal="center"/>
      <protection hidden="1"/>
    </xf>
    <xf numFmtId="0" fontId="21" fillId="11" borderId="12" xfId="5" applyFont="1" applyFill="1" applyBorder="1" applyAlignment="1" applyProtection="1">
      <alignment horizontal="center"/>
      <protection hidden="1"/>
    </xf>
    <xf numFmtId="0" fontId="9" fillId="12" borderId="11" xfId="5" applyFont="1" applyFill="1" applyBorder="1" applyAlignment="1" applyProtection="1">
      <alignment horizontal="center" vertical="center" textRotation="90"/>
      <protection hidden="1"/>
    </xf>
    <xf numFmtId="0" fontId="9" fillId="13" borderId="15" xfId="5" applyFont="1" applyFill="1" applyBorder="1" applyAlignment="1" applyProtection="1">
      <alignment horizontal="center"/>
      <protection hidden="1"/>
    </xf>
    <xf numFmtId="0" fontId="12" fillId="10" borderId="11" xfId="5" applyFont="1" applyFill="1" applyBorder="1" applyAlignment="1" applyProtection="1">
      <alignment horizontal="center"/>
      <protection hidden="1"/>
    </xf>
    <xf numFmtId="0" fontId="12" fillId="13" borderId="15" xfId="5" applyFont="1" applyFill="1" applyBorder="1" applyAlignment="1" applyProtection="1">
      <alignment horizontal="center"/>
      <protection hidden="1"/>
    </xf>
    <xf numFmtId="0" fontId="15" fillId="13" borderId="11" xfId="5" applyFont="1" applyFill="1" applyBorder="1" applyAlignment="1" applyProtection="1">
      <alignment horizontal="center"/>
      <protection hidden="1"/>
    </xf>
    <xf numFmtId="0" fontId="12" fillId="10" borderId="38" xfId="5" applyFont="1" applyFill="1" applyBorder="1" applyAlignment="1">
      <alignment horizontal="center"/>
    </xf>
    <xf numFmtId="2" fontId="0" fillId="13" borderId="32" xfId="0" applyNumberFormat="1" applyFill="1" applyBorder="1" applyAlignment="1">
      <alignment horizontal="center"/>
    </xf>
    <xf numFmtId="0" fontId="69" fillId="76" borderId="50" xfId="5" applyFont="1" applyFill="1" applyBorder="1" applyAlignment="1">
      <alignment horizontal="center"/>
    </xf>
    <xf numFmtId="0" fontId="69" fillId="76" borderId="29" xfId="5" applyFont="1" applyFill="1" applyBorder="1" applyAlignment="1">
      <alignment horizontal="center"/>
    </xf>
    <xf numFmtId="0" fontId="9" fillId="13" borderId="124" xfId="5" applyFont="1" applyFill="1" applyBorder="1" applyAlignment="1" applyProtection="1">
      <alignment horizontal="center"/>
      <protection hidden="1"/>
    </xf>
    <xf numFmtId="0" fontId="9" fillId="13" borderId="23" xfId="5" applyFont="1" applyFill="1" applyBorder="1" applyAlignment="1" applyProtection="1">
      <alignment horizontal="center"/>
      <protection hidden="1"/>
    </xf>
    <xf numFmtId="0" fontId="9" fillId="13" borderId="43" xfId="5" applyFont="1" applyFill="1" applyBorder="1" applyAlignment="1" applyProtection="1">
      <alignment horizontal="center"/>
      <protection hidden="1"/>
    </xf>
    <xf numFmtId="0" fontId="9" fillId="13" borderId="32" xfId="5" applyFont="1" applyFill="1" applyBorder="1" applyAlignment="1" applyProtection="1">
      <alignment horizontal="center"/>
      <protection hidden="1"/>
    </xf>
    <xf numFmtId="0" fontId="20" fillId="11" borderId="56" xfId="5" applyFont="1" applyFill="1" applyBorder="1" applyAlignment="1">
      <alignment horizontal="left" wrapText="1"/>
    </xf>
    <xf numFmtId="0" fontId="9" fillId="13" borderId="11" xfId="5" applyFont="1" applyFill="1" applyBorder="1" applyAlignment="1" applyProtection="1">
      <alignment horizontal="center"/>
      <protection hidden="1"/>
    </xf>
    <xf numFmtId="0" fontId="15" fillId="13" borderId="11" xfId="5" applyFont="1" applyFill="1" applyBorder="1" applyAlignment="1" applyProtection="1">
      <alignment horizontal="center" vertical="center" wrapText="1"/>
      <protection hidden="1"/>
    </xf>
    <xf numFmtId="0" fontId="15" fillId="13" borderId="11" xfId="5" applyFont="1" applyFill="1" applyBorder="1" applyAlignment="1" applyProtection="1">
      <alignment horizontal="center" vertical="center"/>
      <protection hidden="1"/>
    </xf>
    <xf numFmtId="0" fontId="10" fillId="10" borderId="11" xfId="5" applyFont="1" applyFill="1" applyBorder="1" applyAlignment="1" applyProtection="1">
      <alignment horizontal="center"/>
      <protection hidden="1"/>
    </xf>
    <xf numFmtId="0" fontId="64" fillId="75" borderId="8" xfId="5" applyFont="1" applyFill="1" applyBorder="1" applyAlignment="1" applyProtection="1">
      <alignment horizontal="center"/>
      <protection hidden="1"/>
    </xf>
    <xf numFmtId="1" fontId="69" fillId="11" borderId="38" xfId="5" applyNumberFormat="1" applyFont="1" applyFill="1" applyBorder="1" applyAlignment="1">
      <alignment horizontal="center" vertical="center" wrapText="1"/>
    </xf>
    <xf numFmtId="1" fontId="69" fillId="11" borderId="56" xfId="5" applyNumberFormat="1" applyFont="1" applyFill="1" applyBorder="1" applyAlignment="1">
      <alignment horizontal="center" vertical="center" wrapText="1"/>
    </xf>
    <xf numFmtId="1" fontId="69" fillId="11" borderId="15" xfId="5" applyNumberFormat="1" applyFont="1" applyFill="1" applyBorder="1" applyAlignment="1">
      <alignment horizontal="center" vertical="center" wrapText="1"/>
    </xf>
    <xf numFmtId="0" fontId="9" fillId="13" borderId="27" xfId="5" applyFont="1" applyFill="1" applyBorder="1" applyAlignment="1" applyProtection="1">
      <alignment horizontal="center"/>
      <protection hidden="1"/>
    </xf>
    <xf numFmtId="0" fontId="9" fillId="13" borderId="8" xfId="5" applyFont="1" applyFill="1" applyBorder="1" applyAlignment="1" applyProtection="1">
      <alignment horizontal="center"/>
      <protection hidden="1"/>
    </xf>
    <xf numFmtId="0" fontId="9" fillId="13" borderId="44" xfId="5" applyFont="1" applyFill="1" applyBorder="1" applyAlignment="1" applyProtection="1">
      <alignment horizontal="center"/>
      <protection hidden="1"/>
    </xf>
    <xf numFmtId="0" fontId="9" fillId="13" borderId="9" xfId="5" applyFont="1" applyFill="1" applyBorder="1" applyAlignment="1" applyProtection="1">
      <alignment horizontal="center"/>
      <protection hidden="1"/>
    </xf>
    <xf numFmtId="0" fontId="12" fillId="10" borderId="67" xfId="5" applyFont="1" applyFill="1" applyBorder="1" applyAlignment="1" applyProtection="1">
      <alignment horizontal="center"/>
      <protection hidden="1"/>
    </xf>
    <xf numFmtId="0" fontId="9" fillId="13" borderId="28" xfId="5" applyFont="1" applyFill="1" applyBorder="1" applyAlignment="1" applyProtection="1">
      <alignment horizontal="center"/>
      <protection hidden="1"/>
    </xf>
    <xf numFmtId="0" fontId="12" fillId="10" borderId="38" xfId="5" applyFont="1" applyFill="1" applyBorder="1" applyAlignment="1" applyProtection="1">
      <alignment horizontal="center"/>
      <protection hidden="1"/>
    </xf>
    <xf numFmtId="0" fontId="64" fillId="58" borderId="31" xfId="5" applyFont="1" applyFill="1" applyBorder="1" applyAlignment="1">
      <alignment horizontal="center" vertical="center"/>
    </xf>
    <xf numFmtId="0" fontId="64" fillId="58" borderId="52" xfId="5" applyFont="1" applyFill="1" applyBorder="1" applyAlignment="1">
      <alignment horizontal="center" vertical="center"/>
    </xf>
    <xf numFmtId="0" fontId="12" fillId="10" borderId="20" xfId="5" applyFont="1" applyFill="1" applyBorder="1" applyAlignment="1" applyProtection="1">
      <alignment horizontal="center"/>
      <protection hidden="1"/>
    </xf>
    <xf numFmtId="0" fontId="12" fillId="10" borderId="8" xfId="5" applyFont="1" applyFill="1" applyBorder="1" applyAlignment="1" applyProtection="1">
      <alignment horizontal="center"/>
      <protection hidden="1"/>
    </xf>
    <xf numFmtId="0" fontId="12" fillId="10" borderId="46" xfId="5" applyFont="1" applyFill="1" applyBorder="1" applyAlignment="1">
      <alignment horizontal="center"/>
    </xf>
    <xf numFmtId="0" fontId="12" fillId="10" borderId="123" xfId="5" applyFont="1" applyFill="1" applyBorder="1" applyAlignment="1">
      <alignment horizontal="center"/>
    </xf>
    <xf numFmtId="0" fontId="12" fillId="10" borderId="67" xfId="5" applyFont="1" applyFill="1" applyBorder="1" applyAlignment="1">
      <alignment horizontal="center"/>
    </xf>
    <xf numFmtId="0" fontId="12" fillId="10" borderId="20" xfId="5" applyFont="1" applyFill="1" applyBorder="1" applyAlignment="1">
      <alignment horizontal="center"/>
    </xf>
    <xf numFmtId="0" fontId="15" fillId="13" borderId="15" xfId="5" applyFont="1" applyFill="1" applyBorder="1" applyAlignment="1" applyProtection="1">
      <alignment horizontal="center"/>
      <protection hidden="1"/>
    </xf>
    <xf numFmtId="0" fontId="15" fillId="13" borderId="8" xfId="5" applyFont="1" applyFill="1" applyBorder="1" applyAlignment="1" applyProtection="1">
      <alignment horizontal="center"/>
      <protection hidden="1"/>
    </xf>
    <xf numFmtId="0" fontId="14" fillId="5" borderId="11" xfId="5" applyFont="1" applyFill="1" applyBorder="1" applyAlignment="1" applyProtection="1">
      <alignment horizontal="center"/>
      <protection locked="0"/>
    </xf>
    <xf numFmtId="0" fontId="14" fillId="5" borderId="38" xfId="5" applyFont="1" applyFill="1" applyBorder="1" applyAlignment="1" applyProtection="1">
      <alignment horizontal="center"/>
      <protection locked="0"/>
    </xf>
    <xf numFmtId="0" fontId="9" fillId="13" borderId="21" xfId="5" applyFont="1" applyFill="1" applyBorder="1" applyAlignment="1" applyProtection="1">
      <alignment horizontal="center"/>
      <protection hidden="1"/>
    </xf>
    <xf numFmtId="0" fontId="9" fillId="13" borderId="26" xfId="5" applyFont="1" applyFill="1" applyBorder="1" applyAlignment="1" applyProtection="1">
      <alignment horizontal="center"/>
      <protection hidden="1"/>
    </xf>
    <xf numFmtId="0" fontId="85" fillId="58" borderId="20" xfId="13" applyFont="1" applyFill="1" applyBorder="1" applyAlignment="1">
      <alignment horizontal="center" vertical="center"/>
    </xf>
    <xf numFmtId="0" fontId="85" fillId="58" borderId="123" xfId="13" applyFont="1" applyFill="1" applyBorder="1" applyAlignment="1">
      <alignment horizontal="center" vertical="center"/>
    </xf>
    <xf numFmtId="0" fontId="85" fillId="58" borderId="67" xfId="13" applyFont="1" applyFill="1" applyBorder="1" applyAlignment="1">
      <alignment horizontal="center" vertical="center"/>
    </xf>
    <xf numFmtId="0" fontId="84" fillId="58" borderId="42" xfId="13" applyFont="1" applyFill="1" applyBorder="1" applyAlignment="1">
      <alignment horizontal="center" vertical="center"/>
    </xf>
    <xf numFmtId="0" fontId="99" fillId="58" borderId="42" xfId="13" applyFont="1" applyFill="1" applyBorder="1" applyAlignment="1">
      <alignment horizontal="center" vertical="center"/>
    </xf>
    <xf numFmtId="0" fontId="86" fillId="58" borderId="123" xfId="13" applyFont="1" applyFill="1" applyBorder="1" applyAlignment="1">
      <alignment horizontal="center" vertical="center"/>
    </xf>
    <xf numFmtId="0" fontId="86" fillId="58" borderId="67" xfId="13" applyFont="1" applyFill="1" applyBorder="1" applyAlignment="1">
      <alignment horizontal="center" vertical="center"/>
    </xf>
    <xf numFmtId="9" fontId="74" fillId="0" borderId="0" xfId="5" applyNumberFormat="1" applyFont="1" applyAlignment="1" applyProtection="1">
      <alignment horizontal="center"/>
      <protection locked="0"/>
    </xf>
    <xf numFmtId="0" fontId="64" fillId="0" borderId="0" xfId="5" applyFont="1" applyAlignment="1">
      <alignment horizontal="center" vertical="center"/>
    </xf>
    <xf numFmtId="0" fontId="9" fillId="14" borderId="31" xfId="5" applyFont="1" applyFill="1" applyBorder="1" applyAlignment="1" applyProtection="1">
      <alignment horizontal="center"/>
      <protection locked="0"/>
    </xf>
    <xf numFmtId="0" fontId="9" fillId="14" borderId="36" xfId="5" applyFont="1" applyFill="1" applyBorder="1" applyAlignment="1" applyProtection="1">
      <alignment horizontal="center"/>
      <protection locked="0"/>
    </xf>
    <xf numFmtId="0" fontId="9" fillId="13" borderId="0" xfId="5" applyFont="1" applyFill="1" applyAlignment="1" applyProtection="1">
      <alignment horizontal="center"/>
      <protection hidden="1"/>
    </xf>
    <xf numFmtId="168" fontId="12" fillId="9" borderId="37" xfId="5" applyNumberFormat="1" applyFont="1" applyFill="1" applyBorder="1" applyAlignment="1" applyProtection="1">
      <alignment horizontal="center"/>
      <protection hidden="1"/>
    </xf>
    <xf numFmtId="0" fontId="9" fillId="13" borderId="25" xfId="5" applyFont="1" applyFill="1" applyBorder="1" applyAlignment="1" applyProtection="1">
      <alignment horizontal="center"/>
      <protection hidden="1"/>
    </xf>
    <xf numFmtId="0" fontId="29" fillId="13" borderId="11" xfId="5" applyFont="1" applyFill="1" applyBorder="1" applyAlignment="1" applyProtection="1">
      <alignment horizontal="center"/>
      <protection hidden="1"/>
    </xf>
    <xf numFmtId="1" fontId="15" fillId="9" borderId="11" xfId="5" applyNumberFormat="1" applyFont="1" applyFill="1" applyBorder="1" applyAlignment="1" applyProtection="1">
      <alignment horizontal="center"/>
      <protection hidden="1"/>
    </xf>
    <xf numFmtId="0" fontId="67" fillId="58" borderId="31" xfId="5" applyFont="1" applyFill="1" applyBorder="1" applyAlignment="1">
      <alignment horizontal="center"/>
    </xf>
    <xf numFmtId="0" fontId="67" fillId="58" borderId="40" xfId="5" applyFont="1" applyFill="1" applyBorder="1" applyAlignment="1">
      <alignment horizontal="center"/>
    </xf>
    <xf numFmtId="0" fontId="64" fillId="60" borderId="120" xfId="5" applyFont="1" applyFill="1" applyBorder="1" applyAlignment="1">
      <alignment horizontal="center"/>
    </xf>
    <xf numFmtId="0" fontId="64" fillId="60" borderId="121" xfId="5" applyFont="1" applyFill="1" applyBorder="1" applyAlignment="1">
      <alignment horizontal="center"/>
    </xf>
    <xf numFmtId="0" fontId="14" fillId="12" borderId="20" xfId="5" applyFont="1" applyFill="1" applyBorder="1" applyAlignment="1" applyProtection="1">
      <alignment horizontal="center"/>
      <protection locked="0"/>
    </xf>
    <xf numFmtId="0" fontId="14" fillId="12" borderId="123" xfId="5" applyFont="1" applyFill="1" applyBorder="1" applyAlignment="1" applyProtection="1">
      <alignment horizontal="center"/>
      <protection locked="0"/>
    </xf>
    <xf numFmtId="0" fontId="14" fillId="12" borderId="67" xfId="5" applyFont="1" applyFill="1" applyBorder="1" applyAlignment="1" applyProtection="1">
      <alignment horizontal="center"/>
      <protection locked="0"/>
    </xf>
    <xf numFmtId="0" fontId="7" fillId="10" borderId="11" xfId="5" applyFont="1" applyFill="1" applyBorder="1" applyAlignment="1" applyProtection="1">
      <alignment horizontal="center"/>
      <protection hidden="1"/>
    </xf>
    <xf numFmtId="0" fontId="37" fillId="13" borderId="27" xfId="5" applyFont="1" applyFill="1" applyBorder="1" applyAlignment="1">
      <alignment horizontal="center"/>
    </xf>
    <xf numFmtId="0" fontId="37" fillId="13" borderId="32" xfId="5" applyFont="1" applyFill="1" applyBorder="1" applyAlignment="1">
      <alignment horizontal="center"/>
    </xf>
    <xf numFmtId="0" fontId="7" fillId="6" borderId="11" xfId="5" applyFont="1" applyFill="1" applyBorder="1" applyAlignment="1" applyProtection="1">
      <alignment horizontal="center"/>
      <protection hidden="1"/>
    </xf>
    <xf numFmtId="0" fontId="2" fillId="13" borderId="11" xfId="5" applyFill="1" applyBorder="1" applyAlignment="1">
      <alignment horizontal="center"/>
    </xf>
    <xf numFmtId="0" fontId="37" fillId="13" borderId="23" xfId="5" applyFont="1" applyFill="1" applyBorder="1" applyAlignment="1">
      <alignment horizontal="center"/>
    </xf>
    <xf numFmtId="0" fontId="14" fillId="10" borderId="67" xfId="5" applyFont="1" applyFill="1" applyBorder="1" applyAlignment="1" applyProtection="1">
      <alignment horizontal="center"/>
      <protection hidden="1"/>
    </xf>
    <xf numFmtId="0" fontId="14" fillId="10" borderId="11" xfId="5" applyFont="1" applyFill="1" applyBorder="1" applyAlignment="1" applyProtection="1">
      <alignment horizontal="center"/>
      <protection hidden="1"/>
    </xf>
    <xf numFmtId="0" fontId="74" fillId="58" borderId="9" xfId="5" applyFont="1" applyFill="1" applyBorder="1" applyAlignment="1">
      <alignment horizontal="center" vertical="center" wrapText="1"/>
    </xf>
    <xf numFmtId="0" fontId="74" fillId="58" borderId="125" xfId="5" applyFont="1" applyFill="1" applyBorder="1" applyAlignment="1">
      <alignment horizontal="center" vertical="center" wrapText="1"/>
    </xf>
    <xf numFmtId="0" fontId="74" fillId="58" borderId="25" xfId="5" applyFont="1" applyFill="1" applyBorder="1" applyAlignment="1">
      <alignment horizontal="center" vertical="center" wrapText="1"/>
    </xf>
    <xf numFmtId="0" fontId="12" fillId="10" borderId="15" xfId="5" applyFont="1" applyFill="1" applyBorder="1" applyAlignment="1" applyProtection="1">
      <alignment horizontal="center"/>
      <protection hidden="1"/>
    </xf>
    <xf numFmtId="0" fontId="103" fillId="0" borderId="14" xfId="5" applyFont="1" applyBorder="1" applyAlignment="1" applyProtection="1">
      <alignment horizontal="center"/>
      <protection hidden="1"/>
    </xf>
    <xf numFmtId="0" fontId="103" fillId="0" borderId="0" xfId="5" applyFont="1" applyAlignment="1" applyProtection="1">
      <alignment horizontal="center"/>
      <protection hidden="1"/>
    </xf>
    <xf numFmtId="0" fontId="103" fillId="0" borderId="42" xfId="5" applyFont="1" applyBorder="1" applyAlignment="1" applyProtection="1">
      <alignment horizontal="center"/>
      <protection hidden="1"/>
    </xf>
    <xf numFmtId="0" fontId="104" fillId="0" borderId="14" xfId="5" applyFont="1" applyBorder="1" applyAlignment="1" applyProtection="1">
      <alignment horizontal="center"/>
      <protection hidden="1"/>
    </xf>
    <xf numFmtId="0" fontId="104" fillId="0" borderId="0" xfId="5" applyFont="1" applyAlignment="1" applyProtection="1">
      <alignment horizontal="center"/>
      <protection hidden="1"/>
    </xf>
    <xf numFmtId="0" fontId="104" fillId="0" borderId="42" xfId="5" applyFont="1" applyBorder="1" applyAlignment="1" applyProtection="1">
      <alignment horizontal="center"/>
      <protection hidden="1"/>
    </xf>
    <xf numFmtId="0" fontId="105" fillId="0" borderId="14" xfId="5" applyFont="1" applyBorder="1" applyAlignment="1" applyProtection="1">
      <alignment horizontal="center"/>
      <protection hidden="1"/>
    </xf>
    <xf numFmtId="0" fontId="105" fillId="0" borderId="0" xfId="5" applyFont="1" applyAlignment="1" applyProtection="1">
      <alignment horizontal="center"/>
      <protection hidden="1"/>
    </xf>
    <xf numFmtId="0" fontId="105" fillId="0" borderId="42" xfId="5" applyFont="1" applyBorder="1" applyAlignment="1" applyProtection="1">
      <alignment horizontal="center"/>
      <protection hidden="1"/>
    </xf>
    <xf numFmtId="0" fontId="27" fillId="12" borderId="8" xfId="5" applyFont="1" applyFill="1" applyBorder="1" applyAlignment="1">
      <alignment horizontal="center"/>
    </xf>
    <xf numFmtId="0" fontId="32" fillId="10" borderId="23" xfId="5" applyFont="1" applyFill="1" applyBorder="1" applyAlignment="1" applyProtection="1">
      <alignment horizontal="center"/>
      <protection hidden="1"/>
    </xf>
    <xf numFmtId="0" fontId="32" fillId="10" borderId="58" xfId="5" applyFont="1" applyFill="1" applyBorder="1" applyAlignment="1" applyProtection="1">
      <alignment horizontal="center"/>
      <protection hidden="1"/>
    </xf>
    <xf numFmtId="0" fontId="27" fillId="13" borderId="8" xfId="5" applyFont="1" applyFill="1" applyBorder="1" applyAlignment="1">
      <alignment horizontal="center"/>
    </xf>
    <xf numFmtId="2" fontId="0" fillId="0" borderId="38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9" fillId="9" borderId="11" xfId="5" applyFont="1" applyFill="1" applyBorder="1" applyAlignment="1" applyProtection="1">
      <alignment horizontal="left"/>
      <protection hidden="1"/>
    </xf>
    <xf numFmtId="1" fontId="12" fillId="21" borderId="8" xfId="5" applyNumberFormat="1" applyFont="1" applyFill="1" applyBorder="1" applyAlignment="1" applyProtection="1">
      <alignment horizontal="center"/>
      <protection hidden="1"/>
    </xf>
    <xf numFmtId="0" fontId="30" fillId="24" borderId="67" xfId="5" applyFont="1" applyFill="1" applyBorder="1" applyAlignment="1" applyProtection="1">
      <alignment horizontal="center"/>
      <protection locked="0"/>
    </xf>
    <xf numFmtId="0" fontId="30" fillId="24" borderId="11" xfId="5" applyFont="1" applyFill="1" applyBorder="1" applyAlignment="1" applyProtection="1">
      <alignment horizontal="center"/>
      <protection locked="0"/>
    </xf>
    <xf numFmtId="0" fontId="30" fillId="24" borderId="8" xfId="5" applyFont="1" applyFill="1" applyBorder="1" applyAlignment="1" applyProtection="1">
      <alignment horizontal="center"/>
      <protection hidden="1"/>
    </xf>
    <xf numFmtId="0" fontId="87" fillId="58" borderId="20" xfId="13" applyFont="1" applyFill="1" applyBorder="1" applyAlignment="1">
      <alignment horizontal="center" vertical="center"/>
    </xf>
    <xf numFmtId="0" fontId="87" fillId="58" borderId="123" xfId="13" applyFont="1" applyFill="1" applyBorder="1" applyAlignment="1">
      <alignment horizontal="center" vertical="center"/>
    </xf>
    <xf numFmtId="0" fontId="87" fillId="58" borderId="67" xfId="13" applyFont="1" applyFill="1" applyBorder="1" applyAlignment="1">
      <alignment horizontal="center" vertical="center"/>
    </xf>
    <xf numFmtId="0" fontId="100" fillId="58" borderId="20" xfId="13" applyFont="1" applyFill="1" applyBorder="1" applyAlignment="1">
      <alignment horizontal="center" vertical="center"/>
    </xf>
    <xf numFmtId="0" fontId="100" fillId="58" borderId="123" xfId="13" applyFont="1" applyFill="1" applyBorder="1" applyAlignment="1">
      <alignment horizontal="center" vertical="center"/>
    </xf>
    <xf numFmtId="0" fontId="100" fillId="58" borderId="67" xfId="13" applyFont="1" applyFill="1" applyBorder="1" applyAlignment="1">
      <alignment horizontal="center" vertical="center"/>
    </xf>
    <xf numFmtId="0" fontId="86" fillId="58" borderId="20" xfId="13" applyFont="1" applyFill="1" applyBorder="1" applyAlignment="1">
      <alignment horizontal="center" vertical="center"/>
    </xf>
    <xf numFmtId="0" fontId="27" fillId="10" borderId="11" xfId="5" applyFont="1" applyFill="1" applyBorder="1" applyAlignment="1" applyProtection="1">
      <alignment horizontal="center"/>
      <protection hidden="1"/>
    </xf>
    <xf numFmtId="0" fontId="28" fillId="10" borderId="15" xfId="5" applyFont="1" applyFill="1" applyBorder="1" applyAlignment="1" applyProtection="1">
      <alignment horizontal="center" vertical="center"/>
      <protection hidden="1"/>
    </xf>
    <xf numFmtId="0" fontId="28" fillId="10" borderId="11" xfId="5" applyFont="1" applyFill="1" applyBorder="1" applyAlignment="1" applyProtection="1">
      <alignment horizontal="center" vertical="center"/>
      <protection hidden="1"/>
    </xf>
    <xf numFmtId="0" fontId="27" fillId="6" borderId="25" xfId="5" applyFont="1" applyFill="1" applyBorder="1" applyAlignment="1" applyProtection="1">
      <alignment horizontal="center" vertical="center"/>
      <protection hidden="1"/>
    </xf>
    <xf numFmtId="0" fontId="27" fillId="6" borderId="8" xfId="5" applyFont="1" applyFill="1" applyBorder="1" applyAlignment="1" applyProtection="1">
      <alignment horizontal="center" vertical="center"/>
      <protection hidden="1"/>
    </xf>
    <xf numFmtId="181" fontId="9" fillId="70" borderId="8" xfId="10" applyNumberFormat="1" applyFont="1" applyFill="1" applyBorder="1" applyAlignment="1" applyProtection="1">
      <alignment horizontal="center"/>
    </xf>
    <xf numFmtId="3" fontId="2" fillId="88" borderId="8" xfId="10" applyNumberFormat="1" applyFont="1" applyFill="1" applyBorder="1" applyAlignment="1" applyProtection="1">
      <alignment horizontal="center"/>
    </xf>
    <xf numFmtId="0" fontId="63" fillId="58" borderId="8" xfId="5" applyFont="1" applyFill="1" applyBorder="1" applyAlignment="1">
      <alignment horizontal="center" vertical="center"/>
    </xf>
    <xf numFmtId="0" fontId="2" fillId="58" borderId="29" xfId="5" applyFill="1" applyBorder="1" applyAlignment="1">
      <alignment horizontal="center"/>
    </xf>
    <xf numFmtId="0" fontId="2" fillId="58" borderId="8" xfId="5" applyFill="1" applyBorder="1" applyAlignment="1">
      <alignment horizontal="center"/>
    </xf>
    <xf numFmtId="0" fontId="74" fillId="73" borderId="29" xfId="5" applyFont="1" applyFill="1" applyBorder="1" applyAlignment="1">
      <alignment horizontal="center"/>
    </xf>
    <xf numFmtId="0" fontId="74" fillId="73" borderId="8" xfId="5" applyFont="1" applyFill="1" applyBorder="1" applyAlignment="1">
      <alignment horizontal="center"/>
    </xf>
    <xf numFmtId="1" fontId="18" fillId="74" borderId="29" xfId="5" applyNumberFormat="1" applyFont="1" applyFill="1" applyBorder="1" applyAlignment="1" applyProtection="1">
      <alignment horizontal="center"/>
      <protection hidden="1"/>
    </xf>
    <xf numFmtId="0" fontId="18" fillId="74" borderId="8" xfId="5" applyFont="1" applyFill="1" applyBorder="1" applyAlignment="1" applyProtection="1">
      <alignment horizontal="center"/>
      <protection hidden="1"/>
    </xf>
    <xf numFmtId="0" fontId="2" fillId="35" borderId="78" xfId="5" applyFill="1" applyBorder="1" applyAlignment="1">
      <alignment horizontal="center"/>
    </xf>
    <xf numFmtId="0" fontId="2" fillId="35" borderId="70" xfId="5" applyFill="1" applyBorder="1" applyAlignment="1">
      <alignment horizontal="center"/>
    </xf>
    <xf numFmtId="0" fontId="27" fillId="34" borderId="72" xfId="5" applyFont="1" applyFill="1" applyBorder="1" applyAlignment="1">
      <alignment horizontal="center"/>
    </xf>
    <xf numFmtId="0" fontId="2" fillId="35" borderId="72" xfId="5" applyFill="1" applyBorder="1" applyAlignment="1">
      <alignment horizontal="center"/>
    </xf>
    <xf numFmtId="0" fontId="2" fillId="35" borderId="71" xfId="5" applyFill="1" applyBorder="1" applyAlignment="1">
      <alignment horizontal="center"/>
    </xf>
    <xf numFmtId="0" fontId="2" fillId="25" borderId="72" xfId="5" applyFill="1" applyBorder="1" applyAlignment="1">
      <alignment horizontal="center"/>
    </xf>
    <xf numFmtId="0" fontId="45" fillId="27" borderId="72" xfId="5" applyFont="1" applyFill="1" applyBorder="1" applyAlignment="1">
      <alignment horizontal="center"/>
    </xf>
    <xf numFmtId="0" fontId="2" fillId="88" borderId="50" xfId="5" applyFill="1" applyBorder="1" applyAlignment="1">
      <alignment horizontal="center"/>
    </xf>
    <xf numFmtId="0" fontId="2" fillId="88" borderId="69" xfId="5" applyFill="1" applyBorder="1" applyAlignment="1">
      <alignment horizontal="center"/>
    </xf>
    <xf numFmtId="0" fontId="2" fillId="88" borderId="29" xfId="5" applyFill="1" applyBorder="1" applyAlignment="1">
      <alignment horizontal="center"/>
    </xf>
    <xf numFmtId="0" fontId="2" fillId="35" borderId="72" xfId="5" applyFill="1" applyBorder="1" applyAlignment="1">
      <alignment horizontal="center" vertical="center"/>
    </xf>
    <xf numFmtId="0" fontId="2" fillId="58" borderId="0" xfId="5" applyFill="1" applyAlignment="1">
      <alignment horizontal="center"/>
    </xf>
    <xf numFmtId="177" fontId="2" fillId="25" borderId="72" xfId="5" applyNumberFormat="1" applyFill="1" applyBorder="1" applyAlignment="1">
      <alignment horizontal="center"/>
    </xf>
    <xf numFmtId="0" fontId="2" fillId="35" borderId="72" xfId="5" applyFill="1" applyBorder="1" applyAlignment="1">
      <alignment horizontal="center" vertical="center" textRotation="90"/>
    </xf>
    <xf numFmtId="2" fontId="35" fillId="42" borderId="81" xfId="5" applyNumberFormat="1" applyFont="1" applyFill="1" applyBorder="1" applyAlignment="1">
      <alignment horizontal="center"/>
    </xf>
    <xf numFmtId="2" fontId="35" fillId="6" borderId="0" xfId="5" applyNumberFormat="1" applyFont="1" applyFill="1" applyAlignment="1">
      <alignment horizontal="center"/>
    </xf>
    <xf numFmtId="2" fontId="35" fillId="34" borderId="72" xfId="5" applyNumberFormat="1" applyFont="1" applyFill="1" applyBorder="1" applyAlignment="1">
      <alignment horizontal="center"/>
    </xf>
    <xf numFmtId="2" fontId="35" fillId="34" borderId="81" xfId="5" applyNumberFormat="1" applyFont="1" applyFill="1" applyBorder="1" applyAlignment="1">
      <alignment horizontal="center"/>
    </xf>
    <xf numFmtId="2" fontId="47" fillId="10" borderId="52" xfId="0" applyNumberFormat="1" applyFont="1" applyFill="1" applyBorder="1" applyAlignment="1">
      <alignment horizontal="center"/>
    </xf>
    <xf numFmtId="2" fontId="35" fillId="119" borderId="0" xfId="5" applyNumberFormat="1" applyFont="1" applyFill="1" applyAlignment="1">
      <alignment horizontal="center"/>
    </xf>
    <xf numFmtId="2" fontId="35" fillId="128" borderId="0" xfId="5" applyNumberFormat="1" applyFont="1" applyFill="1" applyAlignment="1">
      <alignment horizontal="center"/>
    </xf>
    <xf numFmtId="0" fontId="53" fillId="30" borderId="8" xfId="5" applyFont="1" applyFill="1" applyBorder="1" applyAlignment="1" applyProtection="1">
      <alignment horizontal="center"/>
      <protection hidden="1"/>
    </xf>
    <xf numFmtId="0" fontId="41" fillId="13" borderId="50" xfId="5" applyFont="1" applyFill="1" applyBorder="1" applyAlignment="1" applyProtection="1">
      <alignment horizontal="center" wrapText="1"/>
      <protection hidden="1"/>
    </xf>
    <xf numFmtId="49" fontId="41" fillId="38" borderId="106" xfId="5" applyNumberFormat="1" applyFont="1" applyFill="1" applyBorder="1" applyAlignment="1" applyProtection="1">
      <alignment horizontal="center" wrapText="1"/>
      <protection hidden="1"/>
    </xf>
    <xf numFmtId="49" fontId="41" fillId="38" borderId="107" xfId="5" applyNumberFormat="1" applyFont="1" applyFill="1" applyBorder="1" applyAlignment="1" applyProtection="1">
      <alignment horizontal="center" wrapText="1"/>
      <protection hidden="1"/>
    </xf>
    <xf numFmtId="49" fontId="41" fillId="38" borderId="108" xfId="5" applyNumberFormat="1" applyFont="1" applyFill="1" applyBorder="1" applyAlignment="1" applyProtection="1">
      <alignment horizontal="center" wrapText="1"/>
      <protection hidden="1"/>
    </xf>
    <xf numFmtId="0" fontId="41" fillId="9" borderId="106" xfId="5" applyFont="1" applyFill="1" applyBorder="1" applyAlignment="1" applyProtection="1">
      <alignment horizontal="center" vertical="center" wrapText="1"/>
      <protection hidden="1"/>
    </xf>
    <xf numFmtId="0" fontId="41" fillId="48" borderId="106" xfId="5" applyFont="1" applyFill="1" applyBorder="1" applyAlignment="1" applyProtection="1">
      <alignment horizontal="center" vertical="center" wrapText="1"/>
      <protection hidden="1"/>
    </xf>
    <xf numFmtId="49" fontId="41" fillId="38" borderId="106" xfId="5" applyNumberFormat="1" applyFont="1" applyFill="1" applyBorder="1" applyAlignment="1" applyProtection="1">
      <alignment horizontal="center" vertical="center" wrapText="1"/>
      <protection hidden="1"/>
    </xf>
    <xf numFmtId="49" fontId="41" fillId="38" borderId="108" xfId="5" applyNumberFormat="1" applyFont="1" applyFill="1" applyBorder="1" applyAlignment="1" applyProtection="1">
      <alignment horizontal="center" vertical="center" wrapText="1"/>
      <protection hidden="1"/>
    </xf>
    <xf numFmtId="0" fontId="41" fillId="46" borderId="101" xfId="5" applyFont="1" applyFill="1" applyBorder="1" applyAlignment="1" applyProtection="1">
      <alignment horizontal="left" vertical="center"/>
      <protection hidden="1"/>
    </xf>
    <xf numFmtId="0" fontId="52" fillId="0" borderId="8" xfId="5" applyFont="1" applyBorder="1" applyAlignment="1" applyProtection="1">
      <alignment horizontal="center"/>
      <protection hidden="1"/>
    </xf>
    <xf numFmtId="0" fontId="53" fillId="30" borderId="8" xfId="5" applyFont="1" applyFill="1" applyBorder="1" applyAlignment="1" applyProtection="1">
      <alignment horizontal="center" wrapText="1"/>
      <protection hidden="1"/>
    </xf>
    <xf numFmtId="0" fontId="41" fillId="13" borderId="105" xfId="5" applyFont="1" applyFill="1" applyBorder="1" applyAlignment="1" applyProtection="1">
      <alignment horizontal="center" wrapText="1"/>
      <protection hidden="1"/>
    </xf>
    <xf numFmtId="0" fontId="41" fillId="38" borderId="108" xfId="5" applyFont="1" applyFill="1" applyBorder="1" applyAlignment="1" applyProtection="1">
      <alignment horizontal="center" wrapText="1"/>
      <protection hidden="1"/>
    </xf>
    <xf numFmtId="0" fontId="41" fillId="0" borderId="102" xfId="5" applyFont="1" applyBorder="1" applyAlignment="1" applyProtection="1">
      <alignment horizontal="center"/>
      <protection hidden="1"/>
    </xf>
    <xf numFmtId="0" fontId="41" fillId="38" borderId="103" xfId="5" applyFont="1" applyFill="1" applyBorder="1" applyAlignment="1" applyProtection="1">
      <alignment horizontal="center"/>
      <protection hidden="1"/>
    </xf>
    <xf numFmtId="0" fontId="41" fillId="0" borderId="104" xfId="5" applyFont="1" applyBorder="1" applyAlignment="1" applyProtection="1">
      <alignment horizontal="center"/>
      <protection hidden="1"/>
    </xf>
    <xf numFmtId="0" fontId="41" fillId="0" borderId="101" xfId="5" applyFont="1" applyBorder="1" applyAlignment="1" applyProtection="1">
      <alignment horizontal="center"/>
      <protection hidden="1"/>
    </xf>
    <xf numFmtId="0" fontId="41" fillId="46" borderId="89" xfId="5" applyFont="1" applyFill="1" applyBorder="1" applyAlignment="1" applyProtection="1">
      <alignment horizontal="left"/>
      <protection hidden="1"/>
    </xf>
    <xf numFmtId="0" fontId="41" fillId="46" borderId="94" xfId="5" applyFont="1" applyFill="1" applyBorder="1" applyAlignment="1" applyProtection="1">
      <alignment horizontal="left"/>
      <protection hidden="1"/>
    </xf>
    <xf numFmtId="0" fontId="41" fillId="9" borderId="90" xfId="5" applyFont="1" applyFill="1" applyBorder="1" applyAlignment="1" applyProtection="1">
      <alignment horizontal="center"/>
      <protection hidden="1"/>
    </xf>
    <xf numFmtId="0" fontId="41" fillId="9" borderId="70" xfId="5" applyFont="1" applyFill="1" applyBorder="1" applyAlignment="1" applyProtection="1">
      <alignment horizontal="center"/>
      <protection hidden="1"/>
    </xf>
    <xf numFmtId="0" fontId="41" fillId="9" borderId="72" xfId="5" applyFont="1" applyFill="1" applyBorder="1" applyAlignment="1" applyProtection="1">
      <alignment horizontal="center"/>
      <protection hidden="1"/>
    </xf>
    <xf numFmtId="0" fontId="41" fillId="48" borderId="72" xfId="5" applyFont="1" applyFill="1" applyBorder="1" applyAlignment="1" applyProtection="1">
      <alignment horizontal="center"/>
      <protection hidden="1"/>
    </xf>
    <xf numFmtId="0" fontId="41" fillId="38" borderId="94" xfId="5" applyFont="1" applyFill="1" applyBorder="1" applyAlignment="1" applyProtection="1">
      <alignment horizontal="center"/>
      <protection hidden="1"/>
    </xf>
    <xf numFmtId="0" fontId="41" fillId="0" borderId="72" xfId="5" applyFont="1" applyBorder="1" applyAlignment="1" applyProtection="1">
      <alignment horizontal="center"/>
      <protection hidden="1"/>
    </xf>
    <xf numFmtId="0" fontId="41" fillId="0" borderId="94" xfId="5" applyFont="1" applyBorder="1" applyAlignment="1" applyProtection="1">
      <alignment horizontal="center"/>
      <protection hidden="1"/>
    </xf>
    <xf numFmtId="0" fontId="54" fillId="0" borderId="8" xfId="3" applyFont="1" applyBorder="1" applyAlignment="1" applyProtection="1">
      <alignment horizontal="center" vertical="center"/>
      <protection hidden="1"/>
    </xf>
    <xf numFmtId="0" fontId="41" fillId="38" borderId="88" xfId="5" applyFont="1" applyFill="1" applyBorder="1" applyAlignment="1" applyProtection="1">
      <alignment horizontal="center"/>
      <protection hidden="1"/>
    </xf>
    <xf numFmtId="0" fontId="41" fillId="38" borderId="78" xfId="5" applyFont="1" applyFill="1" applyBorder="1" applyAlignment="1" applyProtection="1">
      <alignment horizontal="center"/>
      <protection hidden="1"/>
    </xf>
    <xf numFmtId="0" fontId="41" fillId="38" borderId="87" xfId="5" applyFont="1" applyFill="1" applyBorder="1" applyAlignment="1" applyProtection="1">
      <alignment horizontal="center"/>
      <protection hidden="1"/>
    </xf>
    <xf numFmtId="0" fontId="41" fillId="38" borderId="89" xfId="5" applyFont="1" applyFill="1" applyBorder="1" applyAlignment="1" applyProtection="1">
      <alignment horizontal="center"/>
      <protection hidden="1"/>
    </xf>
    <xf numFmtId="0" fontId="41" fillId="11" borderId="92" xfId="4" applyFont="1" applyFill="1" applyBorder="1" applyAlignment="1" applyProtection="1">
      <alignment horizontal="center" vertical="center"/>
      <protection locked="0"/>
    </xf>
    <xf numFmtId="0" fontId="29" fillId="13" borderId="96" xfId="3" applyFont="1" applyFill="1" applyBorder="1" applyAlignment="1" applyProtection="1">
      <alignment horizontal="left" vertical="top"/>
      <protection hidden="1"/>
    </xf>
    <xf numFmtId="0" fontId="41" fillId="11" borderId="96" xfId="4" applyFont="1" applyFill="1" applyBorder="1" applyAlignment="1" applyProtection="1">
      <alignment horizontal="center" vertical="center"/>
      <protection locked="0"/>
    </xf>
    <xf numFmtId="0" fontId="29" fillId="13" borderId="92" xfId="3" applyFont="1" applyFill="1" applyBorder="1" applyAlignment="1" applyProtection="1">
      <alignment horizontal="left" vertical="top"/>
      <protection hidden="1"/>
    </xf>
    <xf numFmtId="168" fontId="29" fillId="46" borderId="92" xfId="3" applyNumberFormat="1" applyFont="1" applyFill="1" applyBorder="1" applyAlignment="1" applyProtection="1">
      <alignment horizontal="center"/>
      <protection hidden="1"/>
    </xf>
    <xf numFmtId="0" fontId="53" fillId="30" borderId="8" xfId="4" applyFont="1" applyFill="1" applyBorder="1" applyAlignment="1" applyProtection="1">
      <alignment horizontal="center"/>
      <protection hidden="1"/>
    </xf>
    <xf numFmtId="0" fontId="29" fillId="13" borderId="90" xfId="3" applyFont="1" applyFill="1" applyBorder="1" applyAlignment="1" applyProtection="1">
      <alignment horizontal="left" vertical="top"/>
      <protection hidden="1"/>
    </xf>
    <xf numFmtId="0" fontId="41" fillId="11" borderId="89" xfId="4" applyFont="1" applyFill="1" applyBorder="1" applyAlignment="1" applyProtection="1">
      <alignment horizontal="left"/>
      <protection locked="0"/>
    </xf>
    <xf numFmtId="0" fontId="97" fillId="58" borderId="8" xfId="0" applyFont="1" applyFill="1" applyBorder="1" applyAlignment="1">
      <alignment horizontal="center" shrinkToFit="1"/>
    </xf>
    <xf numFmtId="0" fontId="89" fillId="58" borderId="20" xfId="13" applyFont="1" applyFill="1" applyBorder="1" applyAlignment="1">
      <alignment horizontal="center" vertical="center"/>
    </xf>
    <xf numFmtId="0" fontId="89" fillId="58" borderId="67" xfId="13" applyFont="1" applyFill="1" applyBorder="1" applyAlignment="1">
      <alignment horizontal="center" vertical="center"/>
    </xf>
    <xf numFmtId="0" fontId="87" fillId="58" borderId="12" xfId="13" quotePrefix="1" applyFont="1" applyFill="1" applyBorder="1" applyAlignment="1">
      <alignment horizontal="center" vertical="center" wrapText="1"/>
    </xf>
    <xf numFmtId="0" fontId="87" fillId="58" borderId="0" xfId="13" quotePrefix="1" applyFont="1" applyFill="1" applyBorder="1" applyAlignment="1">
      <alignment horizontal="center" vertical="center" wrapText="1"/>
    </xf>
    <xf numFmtId="0" fontId="88" fillId="58" borderId="20" xfId="13" applyFont="1" applyFill="1" applyBorder="1" applyAlignment="1">
      <alignment horizontal="center" vertical="center"/>
    </xf>
    <xf numFmtId="0" fontId="88" fillId="58" borderId="123" xfId="13" applyFont="1" applyFill="1" applyBorder="1" applyAlignment="1">
      <alignment horizontal="center" vertical="center"/>
    </xf>
    <xf numFmtId="0" fontId="88" fillId="58" borderId="67" xfId="13" applyFont="1" applyFill="1" applyBorder="1" applyAlignment="1">
      <alignment horizontal="center" vertical="center"/>
    </xf>
    <xf numFmtId="0" fontId="90" fillId="58" borderId="20" xfId="13" applyFont="1" applyFill="1" applyBorder="1" applyAlignment="1">
      <alignment horizontal="center" vertical="center"/>
    </xf>
    <xf numFmtId="0" fontId="90" fillId="58" borderId="123" xfId="13" applyFont="1" applyFill="1" applyBorder="1" applyAlignment="1">
      <alignment horizontal="center" vertical="center"/>
    </xf>
    <xf numFmtId="0" fontId="90" fillId="58" borderId="67" xfId="13" applyFont="1" applyFill="1" applyBorder="1" applyAlignment="1">
      <alignment horizontal="center" vertical="center"/>
    </xf>
    <xf numFmtId="181" fontId="75" fillId="60" borderId="8" xfId="0" applyNumberFormat="1" applyFont="1" applyFill="1" applyBorder="1" applyAlignment="1">
      <alignment horizontal="center"/>
    </xf>
    <xf numFmtId="181" fontId="92" fillId="90" borderId="25" xfId="14" applyNumberFormat="1" applyFont="1" applyFill="1" applyBorder="1" applyAlignment="1">
      <alignment horizontal="right" shrinkToFit="1"/>
    </xf>
    <xf numFmtId="181" fontId="92" fillId="90" borderId="8" xfId="14" applyNumberFormat="1" applyFont="1" applyFill="1" applyBorder="1" applyAlignment="1">
      <alignment horizontal="right" shrinkToFit="1"/>
    </xf>
    <xf numFmtId="181" fontId="92" fillId="74" borderId="8" xfId="0" applyNumberFormat="1" applyFont="1" applyFill="1" applyBorder="1" applyAlignment="1">
      <alignment horizontal="right"/>
    </xf>
    <xf numFmtId="181" fontId="92" fillId="90" borderId="1" xfId="0" applyNumberFormat="1" applyFont="1" applyFill="1" applyBorder="1" applyAlignment="1">
      <alignment horizontal="right"/>
    </xf>
    <xf numFmtId="181" fontId="92" fillId="90" borderId="3" xfId="0" applyNumberFormat="1" applyFont="1" applyFill="1" applyBorder="1" applyAlignment="1">
      <alignment horizontal="right"/>
    </xf>
    <xf numFmtId="0" fontId="91" fillId="58" borderId="8" xfId="0" applyFont="1" applyFill="1" applyBorder="1" applyAlignment="1">
      <alignment horizontal="left"/>
    </xf>
    <xf numFmtId="181" fontId="92" fillId="93" borderId="8" xfId="0" applyNumberFormat="1" applyFont="1" applyFill="1" applyBorder="1" applyAlignment="1">
      <alignment horizontal="center" vertical="center"/>
    </xf>
    <xf numFmtId="181" fontId="92" fillId="90" borderId="8" xfId="0" applyNumberFormat="1" applyFont="1" applyFill="1" applyBorder="1" applyAlignment="1">
      <alignment horizontal="right"/>
    </xf>
    <xf numFmtId="5" fontId="75" fillId="60" borderId="8" xfId="14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81" fillId="60" borderId="8" xfId="3" applyFont="1" applyFill="1" applyBorder="1" applyAlignment="1">
      <alignment horizontal="center" vertical="center"/>
    </xf>
    <xf numFmtId="0" fontId="67" fillId="13" borderId="8" xfId="3" applyFont="1" applyFill="1" applyBorder="1" applyAlignment="1" applyProtection="1">
      <alignment horizontal="left"/>
      <protection hidden="1"/>
    </xf>
    <xf numFmtId="181" fontId="92" fillId="74" borderId="8" xfId="0" applyNumberFormat="1" applyFont="1" applyFill="1" applyBorder="1" applyAlignment="1">
      <alignment horizontal="right" vertical="center"/>
    </xf>
    <xf numFmtId="0" fontId="27" fillId="16" borderId="50" xfId="3" applyFont="1" applyFill="1" applyBorder="1" applyAlignment="1" applyProtection="1">
      <alignment horizontal="center"/>
      <protection locked="0"/>
    </xf>
    <xf numFmtId="0" fontId="27" fillId="16" borderId="29" xfId="3" applyFont="1" applyFill="1" applyBorder="1" applyAlignment="1" applyProtection="1">
      <alignment horizontal="center"/>
      <protection locked="0"/>
    </xf>
    <xf numFmtId="181" fontId="92" fillId="74" borderId="9" xfId="0" applyNumberFormat="1" applyFont="1" applyFill="1" applyBorder="1" applyAlignment="1">
      <alignment horizontal="right"/>
    </xf>
    <xf numFmtId="0" fontId="91" fillId="80" borderId="50" xfId="0" applyFont="1" applyFill="1" applyBorder="1" applyAlignment="1">
      <alignment horizontal="left"/>
    </xf>
    <xf numFmtId="0" fontId="91" fillId="80" borderId="29" xfId="0" applyFont="1" applyFill="1" applyBorder="1" applyAlignment="1">
      <alignment horizontal="left"/>
    </xf>
    <xf numFmtId="181" fontId="92" fillId="74" borderId="5" xfId="0" applyNumberFormat="1" applyFont="1" applyFill="1" applyBorder="1" applyAlignment="1">
      <alignment horizontal="right"/>
    </xf>
    <xf numFmtId="181" fontId="92" fillId="74" borderId="6" xfId="0" applyNumberFormat="1" applyFont="1" applyFill="1" applyBorder="1" applyAlignment="1">
      <alignment horizontal="right"/>
    </xf>
    <xf numFmtId="0" fontId="92" fillId="80" borderId="3" xfId="0" applyFont="1" applyFill="1" applyBorder="1" applyAlignment="1">
      <alignment horizontal="left"/>
    </xf>
    <xf numFmtId="0" fontId="92" fillId="69" borderId="8" xfId="0" applyFont="1" applyFill="1" applyBorder="1" applyAlignment="1">
      <alignment horizontal="center" vertical="center" shrinkToFit="1"/>
    </xf>
    <xf numFmtId="0" fontId="67" fillId="91" borderId="8" xfId="3" applyFont="1" applyFill="1" applyBorder="1" applyAlignment="1" applyProtection="1">
      <alignment horizontal="left"/>
      <protection hidden="1"/>
    </xf>
    <xf numFmtId="181" fontId="92" fillId="90" borderId="8" xfId="14" applyNumberFormat="1" applyFont="1" applyFill="1" applyBorder="1" applyAlignment="1">
      <alignment horizontal="right" vertical="center"/>
    </xf>
    <xf numFmtId="181" fontId="92" fillId="0" borderId="8" xfId="0" applyNumberFormat="1" applyFont="1" applyBorder="1" applyAlignment="1">
      <alignment horizontal="center" vertical="center"/>
    </xf>
    <xf numFmtId="181" fontId="92" fillId="92" borderId="50" xfId="0" applyNumberFormat="1" applyFont="1" applyFill="1" applyBorder="1"/>
    <xf numFmtId="181" fontId="92" fillId="92" borderId="69" xfId="0" applyNumberFormat="1" applyFont="1" applyFill="1" applyBorder="1"/>
    <xf numFmtId="2" fontId="28" fillId="99" borderId="8" xfId="3" applyNumberFormat="1" applyFont="1" applyFill="1" applyBorder="1" applyAlignment="1" applyProtection="1">
      <alignment horizontal="center"/>
      <protection hidden="1"/>
    </xf>
    <xf numFmtId="2" fontId="28" fillId="98" borderId="6" xfId="3" applyNumberFormat="1" applyFont="1" applyFill="1" applyBorder="1" applyAlignment="1" applyProtection="1">
      <alignment horizontal="center"/>
      <protection hidden="1"/>
    </xf>
    <xf numFmtId="2" fontId="28" fillId="98" borderId="7" xfId="3" applyNumberFormat="1" applyFont="1" applyFill="1" applyBorder="1" applyAlignment="1" applyProtection="1">
      <alignment horizontal="center"/>
      <protection hidden="1"/>
    </xf>
    <xf numFmtId="181" fontId="92" fillId="74" borderId="8" xfId="0" applyNumberFormat="1" applyFont="1" applyFill="1" applyBorder="1" applyAlignment="1">
      <alignment horizontal="right" shrinkToFit="1"/>
    </xf>
    <xf numFmtId="0" fontId="92" fillId="69" borderId="5" xfId="0" applyFont="1" applyFill="1" applyBorder="1" applyAlignment="1">
      <alignment horizontal="center" vertical="center" shrinkToFit="1"/>
    </xf>
    <xf numFmtId="0" fontId="92" fillId="69" borderId="25" xfId="0" applyFont="1" applyFill="1" applyBorder="1" applyAlignment="1">
      <alignment horizontal="center" vertical="center" shrinkToFit="1"/>
    </xf>
    <xf numFmtId="181" fontId="92" fillId="92" borderId="50" xfId="0" applyNumberFormat="1" applyFont="1" applyFill="1" applyBorder="1" applyAlignment="1">
      <alignment horizontal="right"/>
    </xf>
    <xf numFmtId="181" fontId="92" fillId="92" borderId="69" xfId="0" applyNumberFormat="1" applyFont="1" applyFill="1" applyBorder="1" applyAlignment="1">
      <alignment horizontal="right"/>
    </xf>
    <xf numFmtId="181" fontId="92" fillId="90" borderId="8" xfId="0" applyNumberFormat="1" applyFont="1" applyFill="1" applyBorder="1"/>
    <xf numFmtId="181" fontId="96" fillId="90" borderId="8" xfId="0" applyNumberFormat="1" applyFont="1" applyFill="1" applyBorder="1" applyAlignment="1">
      <alignment horizontal="right"/>
    </xf>
    <xf numFmtId="2" fontId="28" fillId="98" borderId="8" xfId="3" applyNumberFormat="1" applyFont="1" applyFill="1" applyBorder="1" applyAlignment="1" applyProtection="1">
      <alignment horizontal="center"/>
      <protection hidden="1"/>
    </xf>
    <xf numFmtId="0" fontId="98" fillId="58" borderId="8" xfId="0" applyFont="1" applyFill="1" applyBorder="1" applyAlignment="1">
      <alignment horizontal="center" shrinkToFit="1"/>
    </xf>
    <xf numFmtId="181" fontId="92" fillId="74" borderId="50" xfId="0" applyNumberFormat="1" applyFont="1" applyFill="1" applyBorder="1"/>
    <xf numFmtId="181" fontId="92" fillId="74" borderId="69" xfId="0" applyNumberFormat="1" applyFont="1" applyFill="1" applyBorder="1"/>
    <xf numFmtId="181" fontId="92" fillId="74" borderId="29" xfId="0" applyNumberFormat="1" applyFont="1" applyFill="1" applyBorder="1"/>
    <xf numFmtId="0" fontId="2" fillId="53" borderId="50" xfId="3" applyFill="1" applyBorder="1" applyAlignment="1" applyProtection="1">
      <alignment horizontal="center"/>
      <protection hidden="1"/>
    </xf>
    <xf numFmtId="0" fontId="2" fillId="53" borderId="29" xfId="3" applyFill="1" applyBorder="1" applyAlignment="1" applyProtection="1">
      <alignment horizontal="center"/>
      <protection hidden="1"/>
    </xf>
    <xf numFmtId="0" fontId="57" fillId="49" borderId="8" xfId="5" applyFont="1" applyFill="1" applyBorder="1" applyAlignment="1" applyProtection="1">
      <alignment horizontal="left" vertical="center"/>
      <protection locked="0"/>
    </xf>
    <xf numFmtId="0" fontId="57" fillId="45" borderId="8" xfId="5" applyFont="1" applyFill="1" applyBorder="1" applyAlignment="1" applyProtection="1">
      <alignment horizontal="center" vertical="center"/>
      <protection locked="0"/>
    </xf>
    <xf numFmtId="1" fontId="57" fillId="45" borderId="8" xfId="5" applyNumberFormat="1" applyFont="1" applyFill="1" applyBorder="1" applyAlignment="1" applyProtection="1">
      <alignment horizontal="center" vertical="center"/>
      <protection locked="0"/>
    </xf>
    <xf numFmtId="168" fontId="57" fillId="45" borderId="8" xfId="5" applyNumberFormat="1" applyFont="1" applyFill="1" applyBorder="1" applyAlignment="1">
      <alignment horizontal="center" vertical="center"/>
    </xf>
    <xf numFmtId="0" fontId="58" fillId="32" borderId="8" xfId="5" applyFont="1" applyFill="1" applyBorder="1" applyAlignment="1" applyProtection="1">
      <alignment horizontal="center" vertical="center"/>
      <protection locked="0"/>
    </xf>
    <xf numFmtId="0" fontId="71" fillId="32" borderId="8" xfId="5" applyFont="1" applyFill="1" applyBorder="1" applyAlignment="1" applyProtection="1">
      <alignment horizontal="center" vertical="center"/>
      <protection locked="0"/>
    </xf>
    <xf numFmtId="0" fontId="56" fillId="52" borderId="8" xfId="5" applyFont="1" applyFill="1" applyBorder="1" applyAlignment="1" applyProtection="1">
      <alignment horizontal="center" vertical="center"/>
      <protection locked="0"/>
    </xf>
    <xf numFmtId="0" fontId="57" fillId="45" borderId="8" xfId="5" applyFont="1" applyFill="1" applyBorder="1" applyAlignment="1">
      <alignment horizontal="center" vertical="center"/>
    </xf>
    <xf numFmtId="168" fontId="57" fillId="45" borderId="8" xfId="5" applyNumberFormat="1" applyFont="1" applyFill="1" applyBorder="1" applyAlignment="1" applyProtection="1">
      <alignment horizontal="center" vertical="center"/>
      <protection locked="0"/>
    </xf>
    <xf numFmtId="0" fontId="57" fillId="45" borderId="50" xfId="5" applyFont="1" applyFill="1" applyBorder="1" applyAlignment="1" applyProtection="1">
      <alignment horizontal="center" vertical="center"/>
      <protection locked="0"/>
    </xf>
    <xf numFmtId="1" fontId="57" fillId="45" borderId="50" xfId="5" applyNumberFormat="1" applyFont="1" applyFill="1" applyBorder="1" applyAlignment="1" applyProtection="1">
      <alignment horizontal="center" vertical="center"/>
      <protection locked="0"/>
    </xf>
    <xf numFmtId="168" fontId="57" fillId="45" borderId="50" xfId="5" applyNumberFormat="1" applyFont="1" applyFill="1" applyBorder="1" applyAlignment="1" applyProtection="1">
      <alignment horizontal="center" vertical="center"/>
      <protection locked="0"/>
    </xf>
    <xf numFmtId="0" fontId="86" fillId="58" borderId="20" xfId="13" applyFont="1" applyFill="1" applyBorder="1" applyAlignment="1">
      <alignment horizontal="center" vertical="center" wrapText="1"/>
    </xf>
    <xf numFmtId="0" fontId="86" fillId="58" borderId="123" xfId="13" applyFont="1" applyFill="1" applyBorder="1" applyAlignment="1">
      <alignment horizontal="center" vertical="center" wrapText="1"/>
    </xf>
    <xf numFmtId="0" fontId="86" fillId="58" borderId="67" xfId="13" applyFont="1" applyFill="1" applyBorder="1" applyAlignment="1">
      <alignment horizontal="center" vertical="center" wrapText="1"/>
    </xf>
    <xf numFmtId="0" fontId="58" fillId="32" borderId="25" xfId="5" applyFont="1" applyFill="1" applyBorder="1" applyAlignment="1" applyProtection="1">
      <alignment horizontal="center" vertical="center"/>
      <protection locked="0"/>
    </xf>
    <xf numFmtId="0" fontId="57" fillId="45" borderId="69" xfId="5" applyFont="1" applyFill="1" applyBorder="1" applyAlignment="1" applyProtection="1">
      <alignment horizontal="center" vertical="center"/>
      <protection locked="0"/>
    </xf>
  </cellXfs>
  <cellStyles count="16">
    <cellStyle name="Comma 4" xfId="1" xr:uid="{00000000-0005-0000-0000-000006000000}"/>
    <cellStyle name="Excel Built-in Normal" xfId="12" xr:uid="{00000000-0005-0000-0000-000011000000}"/>
    <cellStyle name="Hiperlink" xfId="13" builtinId="8"/>
    <cellStyle name="Moeda" xfId="14" builtinId="4"/>
    <cellStyle name="Moeda 2" xfId="2" xr:uid="{00000000-0005-0000-0000-000007000000}"/>
    <cellStyle name="Normal" xfId="0" builtinId="0"/>
    <cellStyle name="Normal 13" xfId="3" xr:uid="{00000000-0005-0000-0000-000008000000}"/>
    <cellStyle name="Normal 14" xfId="4" xr:uid="{00000000-0005-0000-0000-000009000000}"/>
    <cellStyle name="Normal 2" xfId="5" xr:uid="{00000000-0005-0000-0000-00000A000000}"/>
    <cellStyle name="Normal 3" xfId="6" xr:uid="{00000000-0005-0000-0000-00000B000000}"/>
    <cellStyle name="Normal 4" xfId="7" xr:uid="{00000000-0005-0000-0000-00000C000000}"/>
    <cellStyle name="Normal 5" xfId="15" xr:uid="{A2CA6F15-07F4-494C-A3DD-4F091415DDA8}"/>
    <cellStyle name="Normální 2" xfId="8" xr:uid="{00000000-0005-0000-0000-00000D000000}"/>
    <cellStyle name="Porcentagem 2" xfId="9" xr:uid="{00000000-0005-0000-0000-00000E000000}"/>
    <cellStyle name="Vírgula 2" xfId="10" xr:uid="{00000000-0005-0000-0000-00000F000000}"/>
    <cellStyle name="Акцент6" xfId="11" xr:uid="{00000000-0005-0000-0000-000010000000}"/>
  </cellStyles>
  <dxfs count="409"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theme="9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00B050"/>
          </stop>
          <stop position="1">
            <color theme="7" tint="0.59999389629810485"/>
          </stop>
        </gradientFill>
      </fill>
    </dxf>
    <dxf>
      <fill>
        <gradientFill>
          <stop position="0">
            <color rgb="FFFF0000"/>
          </stop>
          <stop position="1">
            <color theme="7" tint="0.59999389629810485"/>
          </stop>
        </gradientFill>
      </fill>
    </dxf>
    <dxf>
      <fill>
        <patternFill>
          <bgColor rgb="FF78F52B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99FFCC"/>
        </patternFill>
      </fill>
    </dxf>
    <dxf>
      <fill>
        <patternFill>
          <bgColor rgb="FF00B0F0"/>
        </patternFill>
      </fill>
    </dxf>
    <dxf>
      <fill>
        <patternFill>
          <bgColor rgb="FF00FF00"/>
        </patternFill>
      </fill>
    </dxf>
    <dxf>
      <fill>
        <patternFill>
          <bgColor theme="7"/>
        </patternFill>
      </fill>
    </dxf>
    <dxf>
      <fill>
        <patternFill>
          <bgColor rgb="FFFF3399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FF00"/>
        </patternFill>
      </fill>
    </dxf>
    <dxf>
      <fill>
        <patternFill>
          <bgColor rgb="FF00B0F0"/>
        </patternFill>
      </fill>
    </dxf>
    <dxf>
      <fill>
        <patternFill>
          <bgColor rgb="FF99FFCC"/>
        </patternFill>
      </fill>
    </dxf>
    <dxf>
      <fill>
        <patternFill>
          <bgColor theme="7"/>
        </patternFill>
      </fill>
    </dxf>
    <dxf>
      <fill>
        <patternFill>
          <bgColor rgb="FFFF3399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78F52B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78F52B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78F52B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99FFCC"/>
        </patternFill>
      </fill>
    </dxf>
    <dxf>
      <fill>
        <patternFill>
          <bgColor rgb="FFFF3399"/>
        </patternFill>
      </fill>
    </dxf>
    <dxf>
      <fill>
        <patternFill>
          <bgColor theme="7"/>
        </patternFill>
      </fill>
    </dxf>
    <dxf>
      <fill>
        <patternFill>
          <bgColor rgb="FF00FF00"/>
        </patternFill>
      </fill>
    </dxf>
    <dxf>
      <fill>
        <patternFill>
          <bgColor rgb="FF00B0F0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FF00"/>
        </patternFill>
      </fill>
    </dxf>
    <dxf>
      <fill>
        <patternFill>
          <bgColor theme="7"/>
        </patternFill>
      </fill>
    </dxf>
    <dxf>
      <fill>
        <patternFill>
          <bgColor rgb="FF00B0F0"/>
        </patternFill>
      </fill>
    </dxf>
    <dxf>
      <fill>
        <patternFill>
          <bgColor rgb="FF99FFCC"/>
        </patternFill>
      </fill>
    </dxf>
    <dxf>
      <fill>
        <patternFill>
          <bgColor rgb="FFFF3399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9FFCC"/>
        </patternFill>
      </fill>
    </dxf>
    <dxf>
      <fill>
        <patternFill>
          <bgColor rgb="FFFF3399"/>
        </patternFill>
      </fill>
    </dxf>
    <dxf>
      <fill>
        <patternFill>
          <bgColor theme="7"/>
        </patternFill>
      </fill>
    </dxf>
    <dxf>
      <fill>
        <patternFill>
          <bgColor rgb="FF00FF00"/>
        </patternFill>
      </fill>
    </dxf>
    <dxf>
      <fill>
        <patternFill>
          <bgColor rgb="FF00B0F0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FF3399"/>
        </patternFill>
      </fill>
    </dxf>
    <dxf>
      <fill>
        <patternFill>
          <bgColor rgb="FF99FFCC"/>
        </patternFill>
      </fill>
    </dxf>
    <dxf>
      <fill>
        <patternFill>
          <bgColor rgb="FF00B0F0"/>
        </patternFill>
      </fill>
    </dxf>
    <dxf>
      <fill>
        <patternFill>
          <bgColor rgb="FF00FF00"/>
        </patternFill>
      </fill>
    </dxf>
    <dxf>
      <fill>
        <patternFill>
          <bgColor theme="7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9FFCC"/>
        </patternFill>
      </fill>
    </dxf>
    <dxf>
      <fill>
        <patternFill>
          <bgColor theme="7"/>
        </patternFill>
      </fill>
    </dxf>
    <dxf>
      <fill>
        <patternFill>
          <bgColor rgb="FF00FF00"/>
        </patternFill>
      </fill>
    </dxf>
    <dxf>
      <fill>
        <patternFill>
          <bgColor rgb="FF00B0F0"/>
        </patternFill>
      </fill>
    </dxf>
    <dxf>
      <fill>
        <patternFill>
          <bgColor rgb="FFFF3399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3399"/>
        </patternFill>
      </fill>
    </dxf>
    <dxf>
      <fill>
        <patternFill>
          <bgColor theme="7"/>
        </patternFill>
      </fill>
    </dxf>
    <dxf>
      <fill>
        <patternFill>
          <bgColor rgb="FF99FFCC"/>
        </patternFill>
      </fill>
    </dxf>
    <dxf>
      <fill>
        <patternFill>
          <bgColor rgb="FF00B0F0"/>
        </patternFill>
      </fill>
    </dxf>
    <dxf>
      <fill>
        <patternFill>
          <bgColor rgb="FF00FF00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78F52B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FF3399"/>
        </patternFill>
      </fill>
    </dxf>
    <dxf>
      <fill>
        <patternFill>
          <bgColor rgb="FF99FFCC"/>
        </patternFill>
      </fill>
    </dxf>
    <dxf>
      <fill>
        <patternFill>
          <bgColor rgb="FF00B0F0"/>
        </patternFill>
      </fill>
    </dxf>
    <dxf>
      <fill>
        <patternFill>
          <bgColor rgb="FF00FF00"/>
        </patternFill>
      </fill>
    </dxf>
    <dxf>
      <fill>
        <patternFill>
          <bgColor theme="7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00FF00"/>
        </patternFill>
      </fill>
    </dxf>
    <dxf>
      <fill>
        <patternFill>
          <bgColor rgb="FFFF3399"/>
        </patternFill>
      </fill>
    </dxf>
    <dxf>
      <fill>
        <patternFill>
          <bgColor rgb="FF99FFCC"/>
        </patternFill>
      </fill>
    </dxf>
    <dxf>
      <fill>
        <patternFill>
          <bgColor rgb="FF00B0F0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9FFCC"/>
        </patternFill>
      </fill>
    </dxf>
    <dxf>
      <fill>
        <patternFill>
          <bgColor rgb="FF00B0F0"/>
        </patternFill>
      </fill>
    </dxf>
    <dxf>
      <fill>
        <patternFill>
          <bgColor rgb="FF00FF00"/>
        </patternFill>
      </fill>
    </dxf>
    <dxf>
      <fill>
        <patternFill>
          <bgColor theme="7"/>
        </patternFill>
      </fill>
    </dxf>
    <dxf>
      <fill>
        <patternFill>
          <bgColor rgb="FFFF3399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78F52B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78F52B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78F52B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00FF00"/>
        </patternFill>
      </fill>
    </dxf>
    <dxf>
      <fill>
        <patternFill>
          <bgColor rgb="FFFF3399"/>
        </patternFill>
      </fill>
    </dxf>
    <dxf>
      <fill>
        <patternFill>
          <bgColor rgb="FF99FFCC"/>
        </patternFill>
      </fill>
    </dxf>
    <dxf>
      <fill>
        <patternFill>
          <bgColor theme="7"/>
        </patternFill>
      </fill>
    </dxf>
    <dxf>
      <fill>
        <patternFill>
          <bgColor rgb="FF00B0F0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FF3399"/>
        </patternFill>
      </fill>
    </dxf>
    <dxf>
      <fill>
        <patternFill>
          <bgColor rgb="FF00FF00"/>
        </patternFill>
      </fill>
    </dxf>
    <dxf>
      <fill>
        <patternFill>
          <bgColor rgb="FF00B0F0"/>
        </patternFill>
      </fill>
    </dxf>
    <dxf>
      <fill>
        <patternFill>
          <bgColor rgb="FF99FFCC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3399"/>
        </patternFill>
      </fill>
    </dxf>
    <dxf>
      <fill>
        <patternFill>
          <bgColor theme="7"/>
        </patternFill>
      </fill>
    </dxf>
    <dxf>
      <fill>
        <patternFill>
          <bgColor rgb="FF00FF00"/>
        </patternFill>
      </fill>
    </dxf>
    <dxf>
      <fill>
        <patternFill>
          <bgColor rgb="FF00B0F0"/>
        </patternFill>
      </fill>
    </dxf>
    <dxf>
      <fill>
        <patternFill>
          <bgColor rgb="FF99FFCC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CF32D"/>
        </patternFill>
      </fill>
    </dxf>
    <dxf>
      <fill>
        <patternFill>
          <bgColor rgb="FF78F32D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4AF22E"/>
        </patternFill>
      </fill>
    </dxf>
    <dxf>
      <fill>
        <patternFill>
          <bgColor rgb="FFFFC000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55E937"/>
        </patternFill>
      </fill>
    </dxf>
    <dxf>
      <fill>
        <patternFill>
          <bgColor rgb="FF99FFCC"/>
        </patternFill>
      </fill>
    </dxf>
    <dxf>
      <fill>
        <patternFill>
          <bgColor rgb="FF00B0F0"/>
        </patternFill>
      </fill>
    </dxf>
    <dxf>
      <fill>
        <patternFill>
          <bgColor rgb="FFFF3399"/>
        </patternFill>
      </fill>
    </dxf>
    <dxf>
      <fill>
        <patternFill>
          <bgColor theme="7"/>
        </patternFill>
      </fill>
    </dxf>
    <dxf>
      <fill>
        <patternFill>
          <bgColor rgb="FF00FF00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9FFCC"/>
        </patternFill>
      </fill>
    </dxf>
    <dxf>
      <fill>
        <patternFill>
          <bgColor rgb="FF00B0F0"/>
        </patternFill>
      </fill>
    </dxf>
    <dxf>
      <fill>
        <patternFill>
          <bgColor rgb="FF00FF00"/>
        </patternFill>
      </fill>
    </dxf>
    <dxf>
      <fill>
        <patternFill>
          <bgColor rgb="FFFF3399"/>
        </patternFill>
      </fill>
    </dxf>
    <dxf>
      <fill>
        <patternFill>
          <bgColor theme="7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9FFCC"/>
        </patternFill>
      </fill>
    </dxf>
    <dxf>
      <fill>
        <patternFill>
          <bgColor rgb="FFFF3399"/>
        </patternFill>
      </fill>
    </dxf>
    <dxf>
      <fill>
        <patternFill>
          <bgColor theme="7"/>
        </patternFill>
      </fill>
    </dxf>
    <dxf>
      <fill>
        <patternFill>
          <bgColor rgb="FF00FF00"/>
        </patternFill>
      </fill>
    </dxf>
    <dxf>
      <fill>
        <patternFill>
          <bgColor rgb="FF72F92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gradientFill degree="90">
          <stop position="0">
            <color theme="7" tint="0.59999389629810485"/>
          </stop>
          <stop position="1">
            <color rgb="FF92D050"/>
          </stop>
        </gradientFill>
      </fill>
    </dxf>
    <dxf>
      <fill>
        <patternFill patternType="solid">
          <fgColor auto="1"/>
          <bgColor theme="1"/>
        </patternFill>
      </fill>
    </dxf>
    <dxf>
      <font>
        <b/>
        <i val="0"/>
      </font>
      <fill>
        <gradientFill degree="270">
          <stop position="0">
            <color rgb="FFFFC000"/>
          </stop>
          <stop position="1">
            <color rgb="FFFF0000"/>
          </stop>
        </gradientFill>
      </fill>
    </dxf>
    <dxf>
      <font>
        <b/>
        <i val="0"/>
      </font>
      <fill>
        <gradientFill degree="90">
          <stop position="0">
            <color rgb="FF92D050"/>
          </stop>
          <stop position="1">
            <color rgb="FFFFFF00"/>
          </stop>
        </gradientFill>
      </fill>
    </dxf>
    <dxf>
      <fill>
        <gradientFill degree="45">
          <stop position="0">
            <color rgb="FFFFFF00"/>
          </stop>
          <stop position="1">
            <color rgb="FFED7D2D"/>
          </stop>
        </gradientFill>
      </fill>
    </dxf>
    <dxf>
      <fill>
        <patternFill patternType="solid">
          <fgColor auto="1"/>
          <bgColor theme="1"/>
        </patternFill>
      </fill>
    </dxf>
    <dxf>
      <font>
        <b/>
        <i val="0"/>
        <color rgb="FFC00000"/>
      </font>
    </dxf>
    <dxf>
      <fill>
        <gradientFill>
          <stop position="0">
            <color rgb="FFFFFF00"/>
          </stop>
          <stop position="1">
            <color theme="2"/>
          </stop>
        </gradientFill>
      </fill>
    </dxf>
    <dxf>
      <fill>
        <gradientFill>
          <stop position="0">
            <color rgb="FFFF0000"/>
          </stop>
          <stop position="1">
            <color theme="2"/>
          </stop>
        </gradientFill>
      </fill>
    </dxf>
    <dxf>
      <fill>
        <gradientFill>
          <stop position="0">
            <color rgb="FF92D050"/>
          </stop>
          <stop position="1">
            <color theme="2"/>
          </stop>
        </gradientFill>
      </fill>
    </dxf>
    <dxf>
      <fill>
        <gradientFill>
          <stop position="0">
            <color rgb="FF00B050"/>
          </stop>
          <stop position="1">
            <color theme="2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>
          <stop position="0">
            <color rgb="FF00B050"/>
          </stop>
          <stop position="1">
            <color theme="2"/>
          </stop>
        </gradientFill>
      </fill>
    </dxf>
    <dxf>
      <fill>
        <gradientFill>
          <stop position="0">
            <color rgb="FF92D050"/>
          </stop>
          <stop position="1">
            <color theme="2"/>
          </stop>
        </gradientFill>
      </fill>
    </dxf>
    <dxf>
      <fill>
        <gradientFill>
          <stop position="0">
            <color rgb="FFFFFF00"/>
          </stop>
          <stop position="1">
            <color theme="2"/>
          </stop>
        </gradientFill>
      </fill>
    </dxf>
    <dxf>
      <fill>
        <gradientFill>
          <stop position="0">
            <color rgb="FFFF0000"/>
          </stop>
          <stop position="1">
            <color theme="2"/>
          </stop>
        </gradientFill>
      </fill>
    </dxf>
    <dxf>
      <font>
        <b/>
        <i val="0"/>
        <color rgb="FF800000"/>
      </font>
      <fill>
        <patternFill>
          <bgColor rgb="FFFFD966"/>
        </patternFill>
      </fill>
    </dxf>
    <dxf>
      <font>
        <b/>
        <i val="0"/>
        <color rgb="FFFFC000"/>
      </font>
      <fill>
        <patternFill>
          <bgColor rgb="FFFFD966"/>
        </patternFill>
      </fill>
    </dxf>
    <dxf>
      <font>
        <b/>
        <i val="0"/>
        <color rgb="FFFFC000"/>
      </font>
      <fill>
        <patternFill>
          <bgColor rgb="FFFFD966"/>
        </patternFill>
      </fill>
    </dxf>
    <dxf>
      <font>
        <b/>
        <i val="0"/>
        <color rgb="FF800000"/>
      </font>
      <fill>
        <patternFill>
          <bgColor rgb="FFFFD966"/>
        </patternFill>
      </fill>
    </dxf>
    <dxf>
      <font>
        <b/>
        <i val="0"/>
        <color rgb="FF800000"/>
      </font>
      <fill>
        <patternFill>
          <bgColor rgb="FFCCCCFF"/>
        </patternFill>
      </fill>
    </dxf>
    <dxf>
      <font>
        <b/>
        <i val="0"/>
        <color rgb="FF808000"/>
      </font>
      <fill>
        <patternFill>
          <bgColor rgb="FFCCCCFF"/>
        </patternFill>
      </fill>
    </dxf>
    <dxf>
      <font>
        <b/>
        <i val="0"/>
        <color rgb="FF800000"/>
      </font>
      <fill>
        <patternFill>
          <bgColor rgb="FFCCCCFF"/>
        </patternFill>
      </fill>
    </dxf>
    <dxf>
      <font>
        <b/>
        <i val="0"/>
        <color rgb="FF808000"/>
      </font>
      <fill>
        <patternFill>
          <bgColor rgb="FFCCCCFF"/>
        </patternFill>
      </fill>
    </dxf>
    <dxf>
      <font>
        <b val="0"/>
        <color rgb="FFFF6600"/>
      </font>
      <fill>
        <patternFill>
          <bgColor rgb="FFCCCCFF"/>
        </patternFill>
      </fill>
    </dxf>
    <dxf>
      <font>
        <b val="0"/>
        <color rgb="FF800000"/>
      </font>
      <fill>
        <patternFill>
          <bgColor rgb="FFCCCCFF"/>
        </patternFill>
      </fill>
    </dxf>
    <dxf>
      <font>
        <b/>
        <i val="0"/>
        <color rgb="FF808000"/>
      </font>
      <fill>
        <patternFill>
          <bgColor rgb="FFCCCCFF"/>
        </patternFill>
      </fill>
    </dxf>
    <dxf>
      <font>
        <b/>
        <i val="0"/>
        <color rgb="FF800000"/>
      </font>
      <fill>
        <patternFill>
          <bgColor rgb="FFCCCCFF"/>
        </patternFill>
      </fill>
    </dxf>
    <dxf>
      <font>
        <b/>
        <i val="0"/>
        <color rgb="FF808000"/>
      </font>
      <fill>
        <patternFill>
          <bgColor rgb="FFCCCCFF"/>
        </patternFill>
      </fill>
    </dxf>
    <dxf>
      <font>
        <b/>
        <i val="0"/>
        <color rgb="FF800000"/>
      </font>
      <fill>
        <patternFill>
          <bgColor rgb="FFCCCCFF"/>
        </patternFill>
      </fill>
    </dxf>
    <dxf>
      <font>
        <b/>
        <i val="0"/>
        <color rgb="FF2F5597"/>
      </font>
      <fill>
        <patternFill>
          <bgColor rgb="FFF8CBAD"/>
        </patternFill>
      </fill>
    </dxf>
    <dxf>
      <font>
        <b/>
        <i val="0"/>
        <color rgb="FFBF9000"/>
      </font>
      <fill>
        <patternFill>
          <bgColor rgb="FFF8CBAD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rgb="FFFF0000"/>
          </stop>
          <stop position="1">
            <color theme="4"/>
          </stop>
        </gradientFill>
      </fill>
    </dxf>
    <dxf>
      <font>
        <b/>
        <i val="0"/>
      </font>
      <fill>
        <patternFill>
          <bgColor rgb="FFFFC000"/>
        </patternFill>
      </fill>
    </dxf>
    <dxf>
      <fill>
        <gradientFill degree="90">
          <stop position="0">
            <color rgb="FFFF0000"/>
          </stop>
          <stop position="1">
            <color theme="4"/>
          </stop>
        </gradientFill>
      </fill>
    </dxf>
    <dxf>
      <font>
        <b/>
        <i val="0"/>
      </font>
      <fill>
        <gradientFill degree="270">
          <stop position="0">
            <color rgb="FFFFC000"/>
          </stop>
          <stop position="1">
            <color rgb="FFFF0000"/>
          </stop>
        </gradientFill>
      </fill>
    </dxf>
    <dxf>
      <font>
        <b/>
        <i val="0"/>
      </font>
      <fill>
        <gradientFill degree="90">
          <stop position="0">
            <color rgb="FF92D050"/>
          </stop>
          <stop position="1">
            <color rgb="FFFFFF00"/>
          </stop>
        </gradientFill>
      </fill>
    </dxf>
    <dxf>
      <font>
        <b/>
        <i val="0"/>
      </font>
      <fill>
        <gradientFill degree="270">
          <stop position="0">
            <color rgb="FFFFC000"/>
          </stop>
          <stop position="1">
            <color rgb="FFFF0000"/>
          </stop>
        </gradientFill>
      </fill>
    </dxf>
    <dxf>
      <font>
        <b/>
        <i val="0"/>
      </font>
      <fill>
        <gradientFill degree="90">
          <stop position="0">
            <color rgb="FF92D050"/>
          </stop>
          <stop position="1">
            <color rgb="FFFFFF00"/>
          </stop>
        </gradientFill>
      </fill>
    </dxf>
    <dxf>
      <fill>
        <gradientFill degree="90">
          <stop position="0">
            <color rgb="FFFFFF00"/>
          </stop>
          <stop position="1">
            <color rgb="FFFF0000"/>
          </stop>
        </gradient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rgb="FFFFC000"/>
          </stop>
          <stop position="1">
            <color rgb="FFFF0000"/>
          </stop>
        </gradientFill>
      </fill>
    </dxf>
    <dxf>
      <fill>
        <gradientFill degree="90">
          <stop position="0">
            <color rgb="FFFFFF00"/>
          </stop>
          <stop position="1">
            <color rgb="FFFF0000"/>
          </stop>
        </gradientFill>
      </fill>
    </dxf>
    <dxf>
      <fill>
        <gradientFill degree="90">
          <stop position="0">
            <color rgb="FFFFFF00"/>
          </stop>
          <stop position="1">
            <color rgb="FFFF0000"/>
          </stop>
        </gradientFill>
      </fill>
    </dxf>
    <dxf>
      <fill>
        <gradientFill degree="270">
          <stop position="0">
            <color rgb="FFFFFF00"/>
          </stop>
          <stop position="1">
            <color theme="9" tint="0.40000610370189521"/>
          </stop>
        </gradientFill>
      </fill>
    </dxf>
    <dxf>
      <fill>
        <gradientFill degree="90">
          <stop position="0">
            <color rgb="FFFFFF00"/>
          </stop>
          <stop position="1">
            <color rgb="FFFF0000"/>
          </stop>
        </gradientFill>
      </fill>
    </dxf>
    <dxf>
      <font>
        <b/>
        <i val="0"/>
      </font>
      <fill>
        <gradientFill degree="270">
          <stop position="0">
            <color rgb="FFFFC000"/>
          </stop>
          <stop position="1">
            <color rgb="FFFF0000"/>
          </stop>
        </gradientFill>
      </fill>
    </dxf>
    <dxf>
      <font>
        <b/>
        <i val="0"/>
      </font>
      <fill>
        <gradientFill degree="90"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FFC000"/>
        </patternFill>
      </fill>
    </dxf>
    <dxf>
      <font>
        <b/>
        <i val="0"/>
      </font>
      <fill>
        <gradientFill degree="270">
          <stop position="0">
            <color rgb="FFFFC000"/>
          </stop>
          <stop position="1">
            <color rgb="FFFF0000"/>
          </stop>
        </gradientFill>
      </fill>
    </dxf>
    <dxf>
      <font>
        <b/>
        <i val="0"/>
      </font>
      <fill>
        <gradientFill degree="90">
          <stop position="0">
            <color rgb="FF92D050"/>
          </stop>
          <stop position="1">
            <color rgb="FFFFFF00"/>
          </stop>
        </gradientFill>
      </fill>
    </dxf>
    <dxf>
      <fill>
        <gradientFill degree="270">
          <stop position="0">
            <color rgb="FFFFC00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type="path" left="0.5" right="0.5" top="0.5" bottom="0.5">
          <stop position="0">
            <color rgb="FFFFC000"/>
          </stop>
          <stop position="1">
            <color rgb="FFFF0000"/>
          </stop>
        </gradientFill>
      </fill>
    </dxf>
    <dxf>
      <fill>
        <gradientFill type="path" left="0.5" right="0.5" top="0.5" bottom="0.5">
          <stop position="0">
            <color rgb="FF92D050"/>
          </stop>
          <stop position="1">
            <color rgb="FF00B050"/>
          </stop>
        </gradient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92D050"/>
        </pattern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92D050"/>
        </pattern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92D050"/>
        </pattern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92D050"/>
        </pattern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92D050"/>
        </pattern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92D050"/>
        </pattern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92D050"/>
        </pattern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gradientFill>
          <stop position="0">
            <color rgb="FFFFFF0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>
          <stop position="0">
            <color rgb="FF92D050"/>
          </stop>
          <stop position="1">
            <color rgb="FFFFFF00"/>
          </stop>
        </gradient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Arial"/>
        <family val="2"/>
        <charset val="1"/>
        <scheme val="none"/>
      </font>
      <numFmt numFmtId="3" formatCode="#,##0"/>
      <fill>
        <patternFill patternType="solid">
          <fgColor rgb="FFC0C0C0"/>
          <bgColor rgb="FFCCCCFF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  <protection locked="1" hidden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Arial"/>
        <family val="2"/>
        <charset val="1"/>
        <scheme val="none"/>
      </font>
      <fill>
        <patternFill patternType="solid">
          <fgColor rgb="FFC0C0C0"/>
          <bgColor rgb="FFCCCCFF"/>
        </patternFill>
      </fill>
      <alignment horizontal="center" vertical="bottom" textRotation="0" wrapText="0" indent="0" justifyLastLine="0" shrinkToFit="0" readingOrder="0"/>
      <protection locked="1" hidden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Arial"/>
        <family val="2"/>
        <charset val="1"/>
        <scheme val="none"/>
      </font>
      <numFmt numFmtId="3" formatCode="#,##0"/>
      <fill>
        <patternFill patternType="solid">
          <fgColor rgb="FFC0C0C0"/>
          <bgColor rgb="FFCCCCFF"/>
        </patternFill>
      </fill>
      <alignment horizontal="center" vertical="bottom" textRotation="0" wrapText="0" indent="0" justifyLastLine="0" shrinkToFit="0" readingOrder="0"/>
      <protection locked="1" hidden="1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92D050"/>
      <rgbColor rgb="FFFBE5D6"/>
      <rgbColor rgb="FFFFFF00"/>
      <rgbColor rgb="FFFF9933"/>
      <rgbColor rgb="FF9DC3E6"/>
      <rgbColor rgb="FF980000"/>
      <rgbColor rgb="FF1C6424"/>
      <rgbColor rgb="FFFFFF66"/>
      <rgbColor rgb="FF948400"/>
      <rgbColor rgb="FFED7D2D"/>
      <rgbColor rgb="FF00B050"/>
      <rgbColor rgb="FFCAC9C9"/>
      <rgbColor rgb="FF7F7F81"/>
      <rgbColor rgb="FF91AFDB"/>
      <rgbColor rgb="FFC55A11"/>
      <rgbColor rgb="FFF9F7CD"/>
      <rgbColor rgb="FFCCFFFF"/>
      <rgbColor rgb="FFFFD966"/>
      <rgbColor rgb="FFFF6C5C"/>
      <rgbColor rgb="FFA0ABAA"/>
      <rgbColor rgb="FFCCCCFF"/>
      <rgbColor rgb="FFFFFFA6"/>
      <rgbColor rgb="FFF8CBAD"/>
      <rgbColor rgb="FFFFED01"/>
      <rgbColor rgb="FFCFCFCF"/>
      <rgbColor rgb="FFFFC000"/>
      <rgbColor rgb="FFFF4E00"/>
      <rgbColor rgb="FF7096C8"/>
      <rgbColor rgb="FFF2F2F2"/>
      <rgbColor rgb="FF09CCF6"/>
      <rgbColor rgb="FFEDEEED"/>
      <rgbColor rgb="FFC4E9BC"/>
      <rgbColor rgb="FFFFFF99"/>
      <rgbColor rgb="FF99CCFF"/>
      <rgbColor rgb="FFF4B183"/>
      <rgbColor rgb="FF9FABB1"/>
      <rgbColor rgb="FFFFCC99"/>
      <rgbColor rgb="FF538DD5"/>
      <rgbColor rgb="FF00B0F0"/>
      <rgbColor rgb="FF92D04F"/>
      <rgbColor rgb="FFFFCC00"/>
      <rgbColor rgb="FFFF9400"/>
      <rgbColor rgb="FFFF6600"/>
      <rgbColor rgb="FF4E646C"/>
      <rgbColor rgb="FF8C97A7"/>
      <rgbColor rgb="FFD2F381"/>
      <rgbColor rgb="FF01B04F"/>
      <rgbColor rgb="FFFFE699"/>
      <rgbColor rgb="FFAF8A00"/>
      <rgbColor rgb="FFC55A10"/>
      <rgbColor rgb="FFE15A41"/>
      <rgbColor rgb="FFDBDBDB"/>
      <rgbColor rgb="FFBF900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D7D2D"/>
      <color rgb="FF78F52B"/>
      <color rgb="FFFF6699"/>
      <color rgb="FF09CCF6"/>
      <color rgb="FF000000"/>
      <color rgb="FF78F42C"/>
      <color rgb="FF5DF12F"/>
      <color rgb="FFF2F2F2"/>
      <color rgb="FFC9C9C9"/>
      <color rgb="FF78F3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lang="cs-CZ" sz="1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cs-CZ" sz="1000" b="0" strike="noStrike" spc="-1">
                <a:solidFill>
                  <a:srgbClr val="595959"/>
                </a:solidFill>
                <a:latin typeface="Calibri"/>
              </a:rPr>
              <a:t>Wing Split projection</a:t>
            </a:r>
          </a:p>
        </c:rich>
      </c:tx>
      <c:layout>
        <c:manualLayout>
          <c:xMode val="edge"/>
          <c:yMode val="edge"/>
          <c:x val="0.37810512219618297"/>
          <c:y val="7.9936051159072697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772346836290599E-2"/>
          <c:y val="0.113709032773781"/>
          <c:w val="0.82022095748242396"/>
          <c:h val="0.69304556354916103"/>
        </c:manualLayout>
      </c:layout>
      <c:scatterChart>
        <c:scatterStyle val="lineMarker"/>
        <c:varyColors val="0"/>
        <c:ser>
          <c:idx val="0"/>
          <c:order val="0"/>
          <c:tx>
            <c:strRef>
              <c:f>'Setup&amp;WS'!$S$47</c:f>
              <c:strCache>
                <c:ptCount val="1"/>
                <c:pt idx="0">
                  <c:v>-</c:v>
                </c:pt>
              </c:strCache>
            </c:strRef>
          </c:tx>
          <c:spPr>
            <a:ln w="25560">
              <a:noFill/>
            </a:ln>
          </c:spPr>
          <c:marker>
            <c:symbol val="x"/>
            <c:size val="10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strRef>
              <c:f>'Setup&amp;WS'!$S$47</c:f>
              <c:strCache>
                <c:ptCount val="1"/>
                <c:pt idx="0">
                  <c:v>-</c:v>
                </c:pt>
              </c:strCache>
            </c:strRef>
          </c:xVal>
          <c:yVal>
            <c:numRef>
              <c:f>'Setup&amp;WS'!$S$48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5B-44D5-B2E0-3106D0FE1D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87556"/>
        <c:axId val="9487807"/>
      </c:scatterChart>
      <c:valAx>
        <c:axId val="1878755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cs-CZ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cs-CZ" sz="1000" b="0" strike="noStrike" spc="-1">
                    <a:solidFill>
                      <a:srgbClr val="595959"/>
                    </a:solidFill>
                    <a:latin typeface="Calibri"/>
                  </a:rPr>
                  <a:t>FW-RW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9487807"/>
        <c:crosses val="autoZero"/>
        <c:crossBetween val="midCat"/>
      </c:valAx>
      <c:valAx>
        <c:axId val="9487807"/>
        <c:scaling>
          <c:orientation val="minMax"/>
        </c:scaling>
        <c:delete val="0"/>
        <c:axPos val="r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cs-CZ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cs-CZ" sz="1000" b="0" strike="noStrike" spc="-1">
                    <a:solidFill>
                      <a:srgbClr val="595959"/>
                    </a:solidFill>
                    <a:latin typeface="Calibri"/>
                  </a:rPr>
                  <a:t>time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8787556"/>
        <c:crosses val="max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2F2F2"/>
    </a:solidFill>
    <a:ln w="12600">
      <a:solidFill>
        <a:srgbClr val="000000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lang="en-US" sz="1600" b="1" strike="noStrike" spc="49">
                <a:solidFill>
                  <a:srgbClr val="F2F2F2"/>
                </a:solidFill>
                <a:latin typeface="Calibri"/>
              </a:defRPr>
            </a:pPr>
            <a:r>
              <a:rPr lang="en-US" sz="1600" b="1" strike="noStrike" spc="49">
                <a:solidFill>
                  <a:srgbClr val="F2F2F2"/>
                </a:solidFill>
                <a:latin typeface="Calibri"/>
              </a:rPr>
              <a:t>Desgaste de peças</a:t>
            </a:r>
          </a:p>
        </c:rich>
      </c:tx>
      <c:overlay val="0"/>
      <c:spPr>
        <a:noFill/>
        <a:ln w="0">
          <a:noFill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 w="6480">
          <a:noFill/>
        </a:ln>
      </c:spPr>
    </c:floor>
    <c:sideWall>
      <c:thickness val="0"/>
      <c:spPr>
        <a:noFill/>
        <a:ln w="6480">
          <a:noFill/>
        </a:ln>
      </c:spPr>
    </c:sideWall>
    <c:backWall>
      <c:thickness val="0"/>
      <c:spPr>
        <a:noFill/>
        <a:ln w="6480">
          <a:noFill/>
        </a:ln>
      </c:spPr>
    </c:backWall>
    <c:plotArea>
      <c:layout>
        <c:manualLayout>
          <c:layoutTarget val="inner"/>
          <c:xMode val="edge"/>
          <c:yMode val="edge"/>
          <c:x val="0.12934250408020501"/>
          <c:y val="0.141548387096774"/>
          <c:w val="0.84675915131732304"/>
          <c:h val="0.40245161290322601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'Tyre&amp;Fuel'!$H$28</c:f>
              <c:strCache>
                <c:ptCount val="1"/>
                <c:pt idx="0">
                  <c:v>Início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'Tyre&amp;Fuel'!$F$29:$F$39</c:f>
              <c:strCache>
                <c:ptCount val="11"/>
                <c:pt idx="0">
                  <c:v>Chassi</c:v>
                </c:pt>
                <c:pt idx="1">
                  <c:v>Motor</c:v>
                </c:pt>
                <c:pt idx="2">
                  <c:v>Asa Dianteira</c:v>
                </c:pt>
                <c:pt idx="3">
                  <c:v>Asa Traseira</c:v>
                </c:pt>
                <c:pt idx="4">
                  <c:v>Assoalho</c:v>
                </c:pt>
                <c:pt idx="5">
                  <c:v>Laterais</c:v>
                </c:pt>
                <c:pt idx="6">
                  <c:v>Radiador</c:v>
                </c:pt>
                <c:pt idx="7">
                  <c:v>Câmbio</c:v>
                </c:pt>
                <c:pt idx="8">
                  <c:v>Freios</c:v>
                </c:pt>
                <c:pt idx="9">
                  <c:v>Suspensão</c:v>
                </c:pt>
                <c:pt idx="10">
                  <c:v>Eletrônicos</c:v>
                </c:pt>
              </c:strCache>
            </c:strRef>
          </c:cat>
          <c:val>
            <c:numRef>
              <c:f>'Tyre&amp;Fuel'!$H$29:$H$39</c:f>
              <c:numCache>
                <c:formatCode>0</c:formatCode>
                <c:ptCount val="11"/>
                <c:pt idx="0">
                  <c:v>87</c:v>
                </c:pt>
                <c:pt idx="1">
                  <c:v>64</c:v>
                </c:pt>
                <c:pt idx="2">
                  <c:v>71</c:v>
                </c:pt>
                <c:pt idx="3">
                  <c:v>72</c:v>
                </c:pt>
                <c:pt idx="4">
                  <c:v>20</c:v>
                </c:pt>
                <c:pt idx="5">
                  <c:v>64</c:v>
                </c:pt>
                <c:pt idx="6">
                  <c:v>66</c:v>
                </c:pt>
                <c:pt idx="7">
                  <c:v>43</c:v>
                </c:pt>
                <c:pt idx="8">
                  <c:v>51</c:v>
                </c:pt>
                <c:pt idx="9">
                  <c:v>97</c:v>
                </c:pt>
                <c:pt idx="1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5-4322-88E6-6189B25C7CF3}"/>
            </c:ext>
          </c:extLst>
        </c:ser>
        <c:ser>
          <c:idx val="1"/>
          <c:order val="1"/>
          <c:tx>
            <c:strRef>
              <c:f>'Tyre&amp;Fuel'!$I$28</c:f>
              <c:strCache>
                <c:ptCount val="1"/>
                <c:pt idx="0">
                  <c:v>Est.desg.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'Tyre&amp;Fuel'!$F$29:$F$39</c:f>
              <c:strCache>
                <c:ptCount val="11"/>
                <c:pt idx="0">
                  <c:v>Chassi</c:v>
                </c:pt>
                <c:pt idx="1">
                  <c:v>Motor</c:v>
                </c:pt>
                <c:pt idx="2">
                  <c:v>Asa Dianteira</c:v>
                </c:pt>
                <c:pt idx="3">
                  <c:v>Asa Traseira</c:v>
                </c:pt>
                <c:pt idx="4">
                  <c:v>Assoalho</c:v>
                </c:pt>
                <c:pt idx="5">
                  <c:v>Laterais</c:v>
                </c:pt>
                <c:pt idx="6">
                  <c:v>Radiador</c:v>
                </c:pt>
                <c:pt idx="7">
                  <c:v>Câmbio</c:v>
                </c:pt>
                <c:pt idx="8">
                  <c:v>Freios</c:v>
                </c:pt>
                <c:pt idx="9">
                  <c:v>Suspensão</c:v>
                </c:pt>
                <c:pt idx="10">
                  <c:v>Eletrônicos</c:v>
                </c:pt>
              </c:strCache>
            </c:strRef>
          </c:cat>
          <c:val>
            <c:numRef>
              <c:f>'Tyre&amp;Fuel'!$I$29:$I$39</c:f>
              <c:numCache>
                <c:formatCode>0</c:formatCode>
                <c:ptCount val="11"/>
                <c:pt idx="0">
                  <c:v>19.823520777134064</c:v>
                </c:pt>
                <c:pt idx="1">
                  <c:v>38.94249412730376</c:v>
                </c:pt>
                <c:pt idx="2">
                  <c:v>19.823520777134064</c:v>
                </c:pt>
                <c:pt idx="3">
                  <c:v>25.023132784251196</c:v>
                </c:pt>
                <c:pt idx="4">
                  <c:v>21.006432508753214</c:v>
                </c:pt>
                <c:pt idx="5">
                  <c:v>13.648981518682472</c:v>
                </c:pt>
                <c:pt idx="6">
                  <c:v>13.518991218504544</c:v>
                </c:pt>
                <c:pt idx="7">
                  <c:v>20.088051037996149</c:v>
                </c:pt>
                <c:pt idx="8">
                  <c:v>32.727007924296117</c:v>
                </c:pt>
                <c:pt idx="9">
                  <c:v>20.148496527578885</c:v>
                </c:pt>
                <c:pt idx="10">
                  <c:v>11.699127016013547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25-4322-88E6-6189B25C7CF3}"/>
            </c:ext>
          </c:extLst>
        </c:ser>
        <c:ser>
          <c:idx val="2"/>
          <c:order val="2"/>
          <c:tx>
            <c:strRef>
              <c:f>'Tyre&amp;Fuel'!$L$28</c:f>
              <c:strCache>
                <c:ptCount val="1"/>
                <c:pt idx="0">
                  <c:v>Antes corr.</c:v>
                </c:pt>
              </c:strCache>
            </c:strRef>
          </c:tx>
          <c:spPr>
            <a:solidFill>
              <a:srgbClr val="43682B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'Tyre&amp;Fuel'!$F$29:$F$39</c:f>
              <c:strCache>
                <c:ptCount val="11"/>
                <c:pt idx="0">
                  <c:v>Chassi</c:v>
                </c:pt>
                <c:pt idx="1">
                  <c:v>Motor</c:v>
                </c:pt>
                <c:pt idx="2">
                  <c:v>Asa Dianteira</c:v>
                </c:pt>
                <c:pt idx="3">
                  <c:v>Asa Traseira</c:v>
                </c:pt>
                <c:pt idx="4">
                  <c:v>Assoalho</c:v>
                </c:pt>
                <c:pt idx="5">
                  <c:v>Laterais</c:v>
                </c:pt>
                <c:pt idx="6">
                  <c:v>Radiador</c:v>
                </c:pt>
                <c:pt idx="7">
                  <c:v>Câmbio</c:v>
                </c:pt>
                <c:pt idx="8">
                  <c:v>Freios</c:v>
                </c:pt>
                <c:pt idx="9">
                  <c:v>Suspensão</c:v>
                </c:pt>
                <c:pt idx="10">
                  <c:v>Eletrônicos</c:v>
                </c:pt>
              </c:strCache>
            </c:strRef>
          </c:cat>
          <c:val>
            <c:numRef>
              <c:f>'Tyre&amp;Fuel'!$L$29:$L$39</c:f>
              <c:numCache>
                <c:formatCode>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25-4322-88E6-6189B25C7CF3}"/>
            </c:ext>
          </c:extLst>
        </c:ser>
        <c:ser>
          <c:idx val="3"/>
          <c:order val="3"/>
          <c:tx>
            <c:strRef>
              <c:f>'Tyre&amp;Fuel'!$M$28</c:f>
              <c:strCache>
                <c:ptCount val="1"/>
                <c:pt idx="0">
                  <c:v>Após corr.</c:v>
                </c:pt>
              </c:strCache>
            </c:strRef>
          </c:tx>
          <c:spPr>
            <a:solidFill>
              <a:srgbClr val="F1975A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'Tyre&amp;Fuel'!$F$29:$F$39</c:f>
              <c:strCache>
                <c:ptCount val="11"/>
                <c:pt idx="0">
                  <c:v>Chassi</c:v>
                </c:pt>
                <c:pt idx="1">
                  <c:v>Motor</c:v>
                </c:pt>
                <c:pt idx="2">
                  <c:v>Asa Dianteira</c:v>
                </c:pt>
                <c:pt idx="3">
                  <c:v>Asa Traseira</c:v>
                </c:pt>
                <c:pt idx="4">
                  <c:v>Assoalho</c:v>
                </c:pt>
                <c:pt idx="5">
                  <c:v>Laterais</c:v>
                </c:pt>
                <c:pt idx="6">
                  <c:v>Radiador</c:v>
                </c:pt>
                <c:pt idx="7">
                  <c:v>Câmbio</c:v>
                </c:pt>
                <c:pt idx="8">
                  <c:v>Freios</c:v>
                </c:pt>
                <c:pt idx="9">
                  <c:v>Suspensão</c:v>
                </c:pt>
                <c:pt idx="10">
                  <c:v>Eletrônicos</c:v>
                </c:pt>
              </c:strCache>
            </c:strRef>
          </c:cat>
          <c:val>
            <c:numRef>
              <c:f>'Tyre&amp;Fuel'!$M$29:$M$39</c:f>
              <c:numCache>
                <c:formatCode>0</c:formatCode>
                <c:ptCount val="11"/>
                <c:pt idx="0">
                  <c:v>106.82352077713406</c:v>
                </c:pt>
                <c:pt idx="1">
                  <c:v>102.94249412730376</c:v>
                </c:pt>
                <c:pt idx="2">
                  <c:v>90.823520777134064</c:v>
                </c:pt>
                <c:pt idx="3">
                  <c:v>97.023132784251203</c:v>
                </c:pt>
                <c:pt idx="4">
                  <c:v>41.006432508753214</c:v>
                </c:pt>
                <c:pt idx="5">
                  <c:v>77.648981518682476</c:v>
                </c:pt>
                <c:pt idx="6">
                  <c:v>79.518991218504539</c:v>
                </c:pt>
                <c:pt idx="7">
                  <c:v>63.088051037996152</c:v>
                </c:pt>
                <c:pt idx="8">
                  <c:v>83.727007924296117</c:v>
                </c:pt>
                <c:pt idx="9">
                  <c:v>117.14849652757889</c:v>
                </c:pt>
                <c:pt idx="10">
                  <c:v>55.699127016013549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25-4322-88E6-6189B25C7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1280998"/>
        <c:axId val="6469882"/>
        <c:axId val="0"/>
      </c:bar3DChart>
      <c:catAx>
        <c:axId val="912809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6469882"/>
        <c:crosses val="autoZero"/>
        <c:auto val="1"/>
        <c:lblAlgn val="ctr"/>
        <c:lblOffset val="100"/>
        <c:noMultiLvlLbl val="0"/>
      </c:catAx>
      <c:valAx>
        <c:axId val="6469882"/>
        <c:scaling>
          <c:orientation val="minMax"/>
        </c:scaling>
        <c:delete val="0"/>
        <c:axPos val="l"/>
        <c:majorGridlines>
          <c:spPr>
            <a:ln w="9360">
              <a:solidFill>
                <a:srgbClr val="80808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US" sz="900" b="1" strike="noStrike" spc="-1">
                    <a:solidFill>
                      <a:srgbClr val="D9D9D9"/>
                    </a:solidFill>
                    <a:latin typeface="Calibri"/>
                  </a:defRPr>
                </a:pPr>
                <a:r>
                  <a:rPr lang="en-US" sz="900" b="1" strike="noStrike" spc="-1">
                    <a:solidFill>
                      <a:srgbClr val="D9D9D9"/>
                    </a:solidFill>
                    <a:latin typeface="Calibri"/>
                  </a:rPr>
                  <a:t>Peças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91280998"/>
        <c:crosses val="autoZero"/>
        <c:crossBetween val="between"/>
      </c:valAx>
      <c:dTable>
        <c:showHorzBorder val="1"/>
        <c:showVertBorder val="1"/>
        <c:showOutline val="1"/>
        <c:showKeys val="1"/>
      </c:dTable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ctrlProps/ctrlProp26.xml><?xml version="1.0" encoding="utf-8"?>
<formControlPr xmlns="http://schemas.microsoft.com/office/spreadsheetml/2009/9/main" objectType="Button" lockText="1"/>
</file>

<file path=xl/ctrlProps/ctrlProp27.xml><?xml version="1.0" encoding="utf-8"?>
<formControlPr xmlns="http://schemas.microsoft.com/office/spreadsheetml/2009/9/main" objectType="Button" lockText="1"/>
</file>

<file path=xl/ctrlProps/ctrlProp28.xml><?xml version="1.0" encoding="utf-8"?>
<formControlPr xmlns="http://schemas.microsoft.com/office/spreadsheetml/2009/9/main" objectType="Button" lockText="1"/>
</file>

<file path=xl/ctrlProps/ctrlProp29.xml><?xml version="1.0" encoding="utf-8"?>
<formControlPr xmlns="http://schemas.microsoft.com/office/spreadsheetml/2009/9/main" objectType="Button" lockText="1"/>
</file>

<file path=xl/ctrlProps/ctrlProp30.xml><?xml version="1.0" encoding="utf-8"?>
<formControlPr xmlns="http://schemas.microsoft.com/office/spreadsheetml/2009/9/main" objectType="Button" lockText="1"/>
</file>

<file path=xl/ctrlProps/ctrlProp31.xml><?xml version="1.0" encoding="utf-8"?>
<formControlPr xmlns="http://schemas.microsoft.com/office/spreadsheetml/2009/9/main" objectType="Button" lockText="1"/>
</file>

<file path=xl/ctrlProps/ctrlProp32.xml><?xml version="1.0" encoding="utf-8"?>
<formControlPr xmlns="http://schemas.microsoft.com/office/spreadsheetml/2009/9/main" objectType="Button" lockText="1"/>
</file>

<file path=xl/ctrlProps/ctrlProp3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image" Target="../media/image6.jpe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5.jpeg"/><Relationship Id="rId5" Type="http://schemas.openxmlformats.org/officeDocument/2006/relationships/image" Target="../media/image4.jpeg"/><Relationship Id="rId4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image" Target="../media/image10.jpeg"/><Relationship Id="rId7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image" Target="../media/image9.png"/><Relationship Id="rId6" Type="http://schemas.openxmlformats.org/officeDocument/2006/relationships/image" Target="../media/image12.png"/><Relationship Id="rId5" Type="http://schemas.openxmlformats.org/officeDocument/2006/relationships/image" Target="../media/image2.emf"/><Relationship Id="rId10" Type="http://schemas.openxmlformats.org/officeDocument/2006/relationships/image" Target="../media/image16.png"/><Relationship Id="rId4" Type="http://schemas.openxmlformats.org/officeDocument/2006/relationships/image" Target="../media/image11.jpeg"/><Relationship Id="rId9" Type="http://schemas.openxmlformats.org/officeDocument/2006/relationships/image" Target="../media/image15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8.emf"/><Relationship Id="rId1" Type="http://schemas.openxmlformats.org/officeDocument/2006/relationships/image" Target="../media/image7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7372</xdr:colOff>
      <xdr:row>16</xdr:row>
      <xdr:rowOff>892</xdr:rowOff>
    </xdr:from>
    <xdr:to>
      <xdr:col>8</xdr:col>
      <xdr:colOff>717559</xdr:colOff>
      <xdr:row>17</xdr:row>
      <xdr:rowOff>891</xdr:rowOff>
    </xdr:to>
    <xdr:sp macro="[0]!Testar_setup" textlink="">
      <xdr:nvSpPr>
        <xdr:cNvPr id="12" name="Retângulo: Cantos Arredondados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3588772" y="3101029"/>
          <a:ext cx="710187" cy="176462"/>
        </a:xfrm>
        <a:prstGeom prst="roundRect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aseline="0"/>
            <a:t>SIM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29</xdr:col>
          <xdr:colOff>4481</xdr:colOff>
          <xdr:row>11</xdr:row>
          <xdr:rowOff>5255</xdr:rowOff>
        </xdr:from>
        <xdr:to>
          <xdr:col>30</xdr:col>
          <xdr:colOff>2626</xdr:colOff>
          <xdr:row>12</xdr:row>
          <xdr:rowOff>20495</xdr:rowOff>
        </xdr:to>
        <xdr:pic>
          <xdr:nvPicPr>
            <xdr:cNvPr id="10" name="Imagem 9">
              <a:extLst>
                <a:ext uri="{FF2B5EF4-FFF2-40B4-BE49-F238E27FC236}">
                  <a16:creationId xmlns:a16="http://schemas.microsoft.com/office/drawing/2014/main" id="{00000000-0008-0000-0200-00000A000000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CLIMAQ2" spid="_x0000_s29500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4285412" y="2217683"/>
              <a:ext cx="431697" cy="176048"/>
            </a:xfrm>
            <a:prstGeom prst="rect">
              <a:avLst/>
            </a:prstGeom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492082</xdr:colOff>
          <xdr:row>11</xdr:row>
          <xdr:rowOff>4248</xdr:rowOff>
        </xdr:from>
        <xdr:to>
          <xdr:col>29</xdr:col>
          <xdr:colOff>16923</xdr:colOff>
          <xdr:row>12</xdr:row>
          <xdr:rowOff>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CLIMAQ1" spid="_x0000_s29501"/>
                </a:ext>
              </a:extLst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833247" y="2203937"/>
              <a:ext cx="437607" cy="170840"/>
            </a:xfrm>
            <a:prstGeom prst="rect">
              <a:avLst/>
            </a:prstGeom>
          </xdr:spPr>
        </xdr:pic>
        <xdr:clientData/>
      </xdr:twoCellAnchor>
    </mc:Choice>
    <mc:Fallback/>
  </mc:AlternateContent>
  <xdr:twoCellAnchor editAs="oneCell">
    <xdr:from>
      <xdr:col>20</xdr:col>
      <xdr:colOff>472320</xdr:colOff>
      <xdr:row>38</xdr:row>
      <xdr:rowOff>0</xdr:rowOff>
    </xdr:from>
    <xdr:to>
      <xdr:col>31</xdr:col>
      <xdr:colOff>364258</xdr:colOff>
      <xdr:row>48</xdr:row>
      <xdr:rowOff>990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45720</xdr:colOff>
      <xdr:row>7</xdr:row>
      <xdr:rowOff>30128</xdr:rowOff>
    </xdr:from>
    <xdr:to>
      <xdr:col>20</xdr:col>
      <xdr:colOff>363688</xdr:colOff>
      <xdr:row>8</xdr:row>
      <xdr:rowOff>967</xdr:rowOff>
    </xdr:to>
    <xdr:pic macro="[0]!sol_q2">
      <xdr:nvPicPr>
        <xdr:cNvPr id="4" name="Image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66376" y="1541936"/>
          <a:ext cx="306538" cy="128954"/>
        </a:xfrm>
        <a:prstGeom prst="rect">
          <a:avLst/>
        </a:prstGeom>
      </xdr:spPr>
    </xdr:pic>
    <xdr:clientData/>
  </xdr:twoCellAnchor>
  <xdr:twoCellAnchor editAs="oneCell">
    <xdr:from>
      <xdr:col>20</xdr:col>
      <xdr:colOff>48331</xdr:colOff>
      <xdr:row>8</xdr:row>
      <xdr:rowOff>21336</xdr:rowOff>
    </xdr:from>
    <xdr:to>
      <xdr:col>20</xdr:col>
      <xdr:colOff>362489</xdr:colOff>
      <xdr:row>8</xdr:row>
      <xdr:rowOff>150290</xdr:rowOff>
    </xdr:to>
    <xdr:pic macro="[0]!sol_corrida"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68987" y="1709928"/>
          <a:ext cx="306538" cy="128954"/>
        </a:xfrm>
        <a:prstGeom prst="rect">
          <a:avLst/>
        </a:prstGeom>
      </xdr:spPr>
    </xdr:pic>
    <xdr:clientData/>
  </xdr:twoCellAnchor>
  <xdr:twoCellAnchor editAs="oneCell">
    <xdr:from>
      <xdr:col>21</xdr:col>
      <xdr:colOff>73152</xdr:colOff>
      <xdr:row>6</xdr:row>
      <xdr:rowOff>16203</xdr:rowOff>
    </xdr:from>
    <xdr:to>
      <xdr:col>21</xdr:col>
      <xdr:colOff>304800</xdr:colOff>
      <xdr:row>6</xdr:row>
      <xdr:rowOff>154461</xdr:rowOff>
    </xdr:to>
    <xdr:pic macro="[0]!wet_q1"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5288" y="1351227"/>
          <a:ext cx="231648" cy="138258"/>
        </a:xfrm>
        <a:prstGeom prst="rect">
          <a:avLst/>
        </a:prstGeom>
      </xdr:spPr>
    </xdr:pic>
    <xdr:clientData/>
  </xdr:twoCellAnchor>
  <xdr:twoCellAnchor editAs="oneCell">
    <xdr:from>
      <xdr:col>21</xdr:col>
      <xdr:colOff>67056</xdr:colOff>
      <xdr:row>7</xdr:row>
      <xdr:rowOff>27432</xdr:rowOff>
    </xdr:from>
    <xdr:to>
      <xdr:col>21</xdr:col>
      <xdr:colOff>289179</xdr:colOff>
      <xdr:row>8</xdr:row>
      <xdr:rowOff>1860</xdr:rowOff>
    </xdr:to>
    <xdr:pic macro="[0]!wet_q2"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99192" y="1539240"/>
          <a:ext cx="231648" cy="138258"/>
        </a:xfrm>
        <a:prstGeom prst="rect">
          <a:avLst/>
        </a:prstGeom>
      </xdr:spPr>
    </xdr:pic>
    <xdr:clientData/>
  </xdr:twoCellAnchor>
  <xdr:twoCellAnchor editAs="oneCell">
    <xdr:from>
      <xdr:col>21</xdr:col>
      <xdr:colOff>73152</xdr:colOff>
      <xdr:row>8</xdr:row>
      <xdr:rowOff>18288</xdr:rowOff>
    </xdr:from>
    <xdr:to>
      <xdr:col>21</xdr:col>
      <xdr:colOff>304800</xdr:colOff>
      <xdr:row>9</xdr:row>
      <xdr:rowOff>336</xdr:rowOff>
    </xdr:to>
    <xdr:pic macro="[0]!wet_corrida"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5288" y="1706880"/>
          <a:ext cx="231648" cy="138258"/>
        </a:xfrm>
        <a:prstGeom prst="rect">
          <a:avLst/>
        </a:prstGeom>
      </xdr:spPr>
    </xdr:pic>
    <xdr:clientData/>
  </xdr:twoCellAnchor>
  <xdr:twoCellAnchor editAs="oneCell">
    <xdr:from>
      <xdr:col>20</xdr:col>
      <xdr:colOff>40532</xdr:colOff>
      <xdr:row>6</xdr:row>
      <xdr:rowOff>24319</xdr:rowOff>
    </xdr:from>
    <xdr:to>
      <xdr:col>20</xdr:col>
      <xdr:colOff>362310</xdr:colOff>
      <xdr:row>6</xdr:row>
      <xdr:rowOff>153273</xdr:rowOff>
    </xdr:to>
    <xdr:pic macro="[0]!sol_q1"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6830" y="1361872"/>
          <a:ext cx="306538" cy="12895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29</xdr:col>
          <xdr:colOff>430925</xdr:colOff>
          <xdr:row>11</xdr:row>
          <xdr:rowOff>3999</xdr:rowOff>
        </xdr:from>
        <xdr:to>
          <xdr:col>31</xdr:col>
          <xdr:colOff>20621</xdr:colOff>
          <xdr:row>12</xdr:row>
          <xdr:rowOff>2627</xdr:rowOff>
        </xdr:to>
        <xdr:pic>
          <xdr:nvPicPr>
            <xdr:cNvPr id="11" name="Imagem 10">
              <a:extLst>
                <a:ext uri="{FF2B5EF4-FFF2-40B4-BE49-F238E27FC236}">
                  <a16:creationId xmlns:a16="http://schemas.microsoft.com/office/drawing/2014/main" id="{00000000-0008-0000-0200-00000B000000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CLIMACORRIDA" spid="_x0000_s29502"/>
                </a:ext>
              </a:extLst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4711856" y="2216427"/>
              <a:ext cx="396628" cy="174676"/>
            </a:xfrm>
            <a:prstGeom prst="rect">
              <a:avLst/>
            </a:prstGeom>
          </xdr:spPr>
        </xdr:pic>
        <xdr:clientData/>
      </xdr:twoCellAnchor>
    </mc:Choice>
    <mc:Fallback/>
  </mc:AlternateContent>
  <xdr:twoCellAnchor>
    <xdr:from>
      <xdr:col>9</xdr:col>
      <xdr:colOff>4011</xdr:colOff>
      <xdr:row>16</xdr:row>
      <xdr:rowOff>0</xdr:rowOff>
    </xdr:from>
    <xdr:to>
      <xdr:col>9</xdr:col>
      <xdr:colOff>497305</xdr:colOff>
      <xdr:row>17</xdr:row>
      <xdr:rowOff>4011</xdr:rowOff>
    </xdr:to>
    <xdr:sp macro="[0]!Testar_setup_não" textlink="">
      <xdr:nvSpPr>
        <xdr:cNvPr id="14" name="Retângulo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4303295" y="3100137"/>
          <a:ext cx="493294" cy="180474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000" baseline="0"/>
            <a:t>NÃO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97</xdr:col>
      <xdr:colOff>691200</xdr:colOff>
      <xdr:row>3</xdr:row>
      <xdr:rowOff>133920</xdr:rowOff>
    </xdr:from>
    <xdr:to>
      <xdr:col>102</xdr:col>
      <xdr:colOff>365130</xdr:colOff>
      <xdr:row>34</xdr:row>
      <xdr:rowOff>393</xdr:rowOff>
    </xdr:to>
    <xdr:pic>
      <xdr:nvPicPr>
        <xdr:cNvPr id="2" name="Picture 2_0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370600" y="591120"/>
          <a:ext cx="3762000" cy="545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25560</xdr:colOff>
      <xdr:row>26</xdr:row>
      <xdr:rowOff>5400</xdr:rowOff>
    </xdr:from>
    <xdr:to>
      <xdr:col>22</xdr:col>
      <xdr:colOff>384417</xdr:colOff>
      <xdr:row>41</xdr:row>
      <xdr:rowOff>76680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510540</xdr:colOff>
      <xdr:row>6</xdr:row>
      <xdr:rowOff>15241</xdr:rowOff>
    </xdr:from>
    <xdr:to>
      <xdr:col>3</xdr:col>
      <xdr:colOff>784489</xdr:colOff>
      <xdr:row>7</xdr:row>
      <xdr:rowOff>93346</xdr:rowOff>
    </xdr:to>
    <xdr:pic macro="[0]!Wet">
      <xdr:nvPicPr>
        <xdr:cNvPr id="4" name="Imagem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8820" y="982981"/>
          <a:ext cx="304429" cy="266700"/>
        </a:xfrm>
        <a:prstGeom prst="rect">
          <a:avLst/>
        </a:prstGeom>
      </xdr:spPr>
    </xdr:pic>
    <xdr:clientData/>
  </xdr:twoCellAnchor>
  <xdr:twoCellAnchor editAs="oneCell">
    <xdr:from>
      <xdr:col>3</xdr:col>
      <xdr:colOff>167640</xdr:colOff>
      <xdr:row>6</xdr:row>
      <xdr:rowOff>7621</xdr:rowOff>
    </xdr:from>
    <xdr:to>
      <xdr:col>3</xdr:col>
      <xdr:colOff>457200</xdr:colOff>
      <xdr:row>7</xdr:row>
      <xdr:rowOff>129540</xdr:rowOff>
    </xdr:to>
    <xdr:pic macro="[0]!Dry">
      <xdr:nvPicPr>
        <xdr:cNvPr id="5" name="Imagem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5920" y="975361"/>
          <a:ext cx="289560" cy="289559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55041</xdr:colOff>
          <xdr:row>9</xdr:row>
          <xdr:rowOff>10001</xdr:rowOff>
        </xdr:from>
        <xdr:to>
          <xdr:col>7</xdr:col>
          <xdr:colOff>517519</xdr:colOff>
          <xdr:row>11</xdr:row>
          <xdr:rowOff>16182</xdr:rowOff>
        </xdr:to>
        <xdr:pic>
          <xdr:nvPicPr>
            <xdr:cNvPr id="6" name="Imagem 5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Clima" spid="_x0000_s2851"/>
                </a:ext>
              </a:extLst>
            </xdr:cNvPicPr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4121895" y="1833664"/>
              <a:ext cx="458668" cy="341033"/>
            </a:xfrm>
            <a:prstGeom prst="rect">
              <a:avLst/>
            </a:prstGeom>
          </xdr:spPr>
        </xdr:pic>
        <xdr:clientData/>
      </xdr:twoCellAnchor>
    </mc:Choice>
    <mc:Fallback/>
  </mc:AlternateContent>
  <xdr:twoCellAnchor editAs="oneCell">
    <xdr:from>
      <xdr:col>12</xdr:col>
      <xdr:colOff>136068</xdr:colOff>
      <xdr:row>9</xdr:row>
      <xdr:rowOff>16458</xdr:rowOff>
    </xdr:from>
    <xdr:to>
      <xdr:col>12</xdr:col>
      <xdr:colOff>475161</xdr:colOff>
      <xdr:row>11</xdr:row>
      <xdr:rowOff>20543</xdr:rowOff>
    </xdr:to>
    <xdr:pic macro="[0]!pneuchuva">
      <xdr:nvPicPr>
        <xdr:cNvPr id="7" name="Imagem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22668" y="1570938"/>
          <a:ext cx="342903" cy="345080"/>
        </a:xfrm>
        <a:prstGeom prst="rect">
          <a:avLst/>
        </a:prstGeom>
      </xdr:spPr>
    </xdr:pic>
    <xdr:clientData/>
  </xdr:twoCellAnchor>
  <xdr:twoCellAnchor editAs="oneCell">
    <xdr:from>
      <xdr:col>11</xdr:col>
      <xdr:colOff>124778</xdr:colOff>
      <xdr:row>9</xdr:row>
      <xdr:rowOff>13738</xdr:rowOff>
    </xdr:from>
    <xdr:to>
      <xdr:col>11</xdr:col>
      <xdr:colOff>476931</xdr:colOff>
      <xdr:row>11</xdr:row>
      <xdr:rowOff>17548</xdr:rowOff>
    </xdr:to>
    <xdr:pic macro="[0]!pneuduro">
      <xdr:nvPicPr>
        <xdr:cNvPr id="8" name="Imagem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09398" y="1568218"/>
          <a:ext cx="348343" cy="350520"/>
        </a:xfrm>
        <a:prstGeom prst="rect">
          <a:avLst/>
        </a:prstGeom>
      </xdr:spPr>
    </xdr:pic>
    <xdr:clientData/>
  </xdr:twoCellAnchor>
  <xdr:twoCellAnchor editAs="oneCell">
    <xdr:from>
      <xdr:col>8</xdr:col>
      <xdr:colOff>114302</xdr:colOff>
      <xdr:row>9</xdr:row>
      <xdr:rowOff>18382</xdr:rowOff>
    </xdr:from>
    <xdr:to>
      <xdr:col>8</xdr:col>
      <xdr:colOff>440327</xdr:colOff>
      <xdr:row>11</xdr:row>
      <xdr:rowOff>16714</xdr:rowOff>
    </xdr:to>
    <xdr:pic macro="[0]!pneu_xs">
      <xdr:nvPicPr>
        <xdr:cNvPr id="9" name="Imagem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92982" y="1572862"/>
          <a:ext cx="337455" cy="341232"/>
        </a:xfrm>
        <a:prstGeom prst="rect">
          <a:avLst/>
        </a:prstGeom>
      </xdr:spPr>
    </xdr:pic>
    <xdr:clientData/>
  </xdr:twoCellAnchor>
  <xdr:twoCellAnchor editAs="oneCell">
    <xdr:from>
      <xdr:col>9</xdr:col>
      <xdr:colOff>114703</xdr:colOff>
      <xdr:row>9</xdr:row>
      <xdr:rowOff>15646</xdr:rowOff>
    </xdr:from>
    <xdr:to>
      <xdr:col>9</xdr:col>
      <xdr:colOff>457604</xdr:colOff>
      <xdr:row>11</xdr:row>
      <xdr:rowOff>15639</xdr:rowOff>
    </xdr:to>
    <xdr:pic macro="[0]!pneu_soft">
      <xdr:nvPicPr>
        <xdr:cNvPr id="10" name="Imagem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5363" y="1570126"/>
          <a:ext cx="342901" cy="346703"/>
        </a:xfrm>
        <a:prstGeom prst="rect">
          <a:avLst/>
        </a:prstGeom>
      </xdr:spPr>
    </xdr:pic>
    <xdr:clientData/>
  </xdr:twoCellAnchor>
  <xdr:twoCellAnchor editAs="oneCell">
    <xdr:from>
      <xdr:col>10</xdr:col>
      <xdr:colOff>120550</xdr:colOff>
      <xdr:row>9</xdr:row>
      <xdr:rowOff>16459</xdr:rowOff>
    </xdr:from>
    <xdr:to>
      <xdr:col>10</xdr:col>
      <xdr:colOff>473262</xdr:colOff>
      <xdr:row>11</xdr:row>
      <xdr:rowOff>20541</xdr:rowOff>
    </xdr:to>
    <xdr:pic macro="[0]!pneu_medio">
      <xdr:nvPicPr>
        <xdr:cNvPr id="11" name="Imagem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6003190" y="1570939"/>
          <a:ext cx="341282" cy="345077"/>
        </a:xfrm>
        <a:prstGeom prst="rect">
          <a:avLst/>
        </a:prstGeom>
      </xdr:spPr>
    </xdr:pic>
    <xdr:clientData/>
  </xdr:twoCellAnchor>
  <xdr:twoCellAnchor>
    <xdr:from>
      <xdr:col>10</xdr:col>
      <xdr:colOff>2</xdr:colOff>
      <xdr:row>26</xdr:row>
      <xdr:rowOff>12239</xdr:rowOff>
    </xdr:from>
    <xdr:to>
      <xdr:col>10</xdr:col>
      <xdr:colOff>591128</xdr:colOff>
      <xdr:row>27</xdr:row>
      <xdr:rowOff>3232</xdr:rowOff>
    </xdr:to>
    <xdr:sp macro="[0]!testar_sim" textlink="">
      <xdr:nvSpPr>
        <xdr:cNvPr id="12" name="Retângulo: Cantos Arredondados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5882642" y="4546139"/>
          <a:ext cx="591126" cy="166253"/>
        </a:xfrm>
        <a:prstGeom prst="round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rgbClr val="C00000"/>
              </a:solidFill>
            </a:rPr>
            <a:t>Testar</a:t>
          </a:r>
        </a:p>
      </xdr:txBody>
    </xdr:sp>
    <xdr:clientData/>
  </xdr:twoCellAnchor>
  <xdr:twoCellAnchor>
    <xdr:from>
      <xdr:col>8</xdr:col>
      <xdr:colOff>595745</xdr:colOff>
      <xdr:row>26</xdr:row>
      <xdr:rowOff>1</xdr:rowOff>
    </xdr:from>
    <xdr:to>
      <xdr:col>9</xdr:col>
      <xdr:colOff>595745</xdr:colOff>
      <xdr:row>26</xdr:row>
      <xdr:rowOff>166255</xdr:rowOff>
    </xdr:to>
    <xdr:sp macro="[0]!testar_não" textlink="">
      <xdr:nvSpPr>
        <xdr:cNvPr id="13" name="Retângulo: Cantos Arredondados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5274425" y="4533901"/>
          <a:ext cx="601980" cy="16625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700" b="1">
              <a:solidFill>
                <a:schemeClr val="bg1"/>
              </a:solidFill>
            </a:rPr>
            <a:t>Não testar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30480</xdr:colOff>
          <xdr:row>21</xdr:row>
          <xdr:rowOff>30480</xdr:rowOff>
        </xdr:from>
        <xdr:to>
          <xdr:col>17</xdr:col>
          <xdr:colOff>7620</xdr:colOff>
          <xdr:row>22</xdr:row>
          <xdr:rowOff>30480</xdr:rowOff>
        </xdr:to>
        <xdr:sp macro="" textlink="">
          <xdr:nvSpPr>
            <xdr:cNvPr id="14357" name="Button 21" hidden="1">
              <a:extLst>
                <a:ext uri="{63B3BB69-23CF-44E3-9099-C40C66FF867C}">
                  <a14:compatExt spid="_x0000_s14357"/>
                </a:ext>
                <a:ext uri="{FF2B5EF4-FFF2-40B4-BE49-F238E27FC236}">
                  <a16:creationId xmlns:a16="http://schemas.microsoft.com/office/drawing/2014/main" id="{00000000-0008-0000-0600-00001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26</xdr:col>
          <xdr:colOff>30480</xdr:colOff>
          <xdr:row>21</xdr:row>
          <xdr:rowOff>30480</xdr:rowOff>
        </xdr:from>
        <xdr:to>
          <xdr:col>27</xdr:col>
          <xdr:colOff>38100</xdr:colOff>
          <xdr:row>22</xdr:row>
          <xdr:rowOff>30480</xdr:rowOff>
        </xdr:to>
        <xdr:sp macro="" textlink="">
          <xdr:nvSpPr>
            <xdr:cNvPr id="14361" name="Button 25" hidden="1">
              <a:extLst>
                <a:ext uri="{63B3BB69-23CF-44E3-9099-C40C66FF867C}">
                  <a14:compatExt spid="_x0000_s14361"/>
                </a:ext>
                <a:ext uri="{FF2B5EF4-FFF2-40B4-BE49-F238E27FC236}">
                  <a16:creationId xmlns:a16="http://schemas.microsoft.com/office/drawing/2014/main" id="{00000000-0008-0000-0600-000019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36</xdr:col>
          <xdr:colOff>30480</xdr:colOff>
          <xdr:row>21</xdr:row>
          <xdr:rowOff>30480</xdr:rowOff>
        </xdr:from>
        <xdr:to>
          <xdr:col>38</xdr:col>
          <xdr:colOff>38100</xdr:colOff>
          <xdr:row>22</xdr:row>
          <xdr:rowOff>30480</xdr:rowOff>
        </xdr:to>
        <xdr:sp macro="" textlink="">
          <xdr:nvSpPr>
            <xdr:cNvPr id="14362" name="Button 26" hidden="1">
              <a:extLst>
                <a:ext uri="{63B3BB69-23CF-44E3-9099-C40C66FF867C}">
                  <a14:compatExt spid="_x0000_s14362"/>
                </a:ext>
                <a:ext uri="{FF2B5EF4-FFF2-40B4-BE49-F238E27FC236}">
                  <a16:creationId xmlns:a16="http://schemas.microsoft.com/office/drawing/2014/main" id="{00000000-0008-0000-0600-00001A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30480</xdr:colOff>
          <xdr:row>21</xdr:row>
          <xdr:rowOff>30480</xdr:rowOff>
        </xdr:from>
        <xdr:to>
          <xdr:col>48</xdr:col>
          <xdr:colOff>38100</xdr:colOff>
          <xdr:row>22</xdr:row>
          <xdr:rowOff>30480</xdr:rowOff>
        </xdr:to>
        <xdr:sp macro="" textlink="">
          <xdr:nvSpPr>
            <xdr:cNvPr id="14363" name="Button 27" hidden="1">
              <a:extLst>
                <a:ext uri="{63B3BB69-23CF-44E3-9099-C40C66FF867C}">
                  <a14:compatExt spid="_x0000_s14363"/>
                </a:ext>
                <a:ext uri="{FF2B5EF4-FFF2-40B4-BE49-F238E27FC236}">
                  <a16:creationId xmlns:a16="http://schemas.microsoft.com/office/drawing/2014/main" id="{00000000-0008-0000-0600-00001B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56</xdr:col>
          <xdr:colOff>30480</xdr:colOff>
          <xdr:row>21</xdr:row>
          <xdr:rowOff>30480</xdr:rowOff>
        </xdr:from>
        <xdr:to>
          <xdr:col>58</xdr:col>
          <xdr:colOff>7620</xdr:colOff>
          <xdr:row>22</xdr:row>
          <xdr:rowOff>30480</xdr:rowOff>
        </xdr:to>
        <xdr:sp macro="" textlink="">
          <xdr:nvSpPr>
            <xdr:cNvPr id="14364" name="Button 28" hidden="1">
              <a:extLst>
                <a:ext uri="{63B3BB69-23CF-44E3-9099-C40C66FF867C}">
                  <a14:compatExt spid="_x0000_s14364"/>
                </a:ext>
                <a:ext uri="{FF2B5EF4-FFF2-40B4-BE49-F238E27FC236}">
                  <a16:creationId xmlns:a16="http://schemas.microsoft.com/office/drawing/2014/main" id="{00000000-0008-0000-0600-00001C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30480</xdr:colOff>
          <xdr:row>53</xdr:row>
          <xdr:rowOff>30480</xdr:rowOff>
        </xdr:from>
        <xdr:to>
          <xdr:col>7</xdr:col>
          <xdr:colOff>30480</xdr:colOff>
          <xdr:row>54</xdr:row>
          <xdr:rowOff>30480</xdr:rowOff>
        </xdr:to>
        <xdr:sp macro="" textlink="">
          <xdr:nvSpPr>
            <xdr:cNvPr id="14365" name="Button 29" hidden="1">
              <a:extLst>
                <a:ext uri="{63B3BB69-23CF-44E3-9099-C40C66FF867C}">
                  <a14:compatExt spid="_x0000_s14365"/>
                </a:ext>
                <a:ext uri="{FF2B5EF4-FFF2-40B4-BE49-F238E27FC236}">
                  <a16:creationId xmlns:a16="http://schemas.microsoft.com/office/drawing/2014/main" id="{00000000-0008-0000-0600-00001D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30480</xdr:colOff>
          <xdr:row>53</xdr:row>
          <xdr:rowOff>30480</xdr:rowOff>
        </xdr:from>
        <xdr:to>
          <xdr:col>17</xdr:col>
          <xdr:colOff>7620</xdr:colOff>
          <xdr:row>54</xdr:row>
          <xdr:rowOff>30480</xdr:rowOff>
        </xdr:to>
        <xdr:sp macro="" textlink="">
          <xdr:nvSpPr>
            <xdr:cNvPr id="14366" name="Button 30" hidden="1">
              <a:extLst>
                <a:ext uri="{63B3BB69-23CF-44E3-9099-C40C66FF867C}">
                  <a14:compatExt spid="_x0000_s14366"/>
                </a:ext>
                <a:ext uri="{FF2B5EF4-FFF2-40B4-BE49-F238E27FC236}">
                  <a16:creationId xmlns:a16="http://schemas.microsoft.com/office/drawing/2014/main" id="{00000000-0008-0000-0600-00001E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26</xdr:col>
          <xdr:colOff>30480</xdr:colOff>
          <xdr:row>53</xdr:row>
          <xdr:rowOff>30480</xdr:rowOff>
        </xdr:from>
        <xdr:to>
          <xdr:col>27</xdr:col>
          <xdr:colOff>38100</xdr:colOff>
          <xdr:row>54</xdr:row>
          <xdr:rowOff>30480</xdr:rowOff>
        </xdr:to>
        <xdr:sp macro="" textlink="">
          <xdr:nvSpPr>
            <xdr:cNvPr id="14367" name="Button 31" hidden="1">
              <a:extLst>
                <a:ext uri="{63B3BB69-23CF-44E3-9099-C40C66FF867C}">
                  <a14:compatExt spid="_x0000_s14367"/>
                </a:ext>
                <a:ext uri="{FF2B5EF4-FFF2-40B4-BE49-F238E27FC236}">
                  <a16:creationId xmlns:a16="http://schemas.microsoft.com/office/drawing/2014/main" id="{00000000-0008-0000-0600-00001F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36</xdr:col>
          <xdr:colOff>30480</xdr:colOff>
          <xdr:row>53</xdr:row>
          <xdr:rowOff>30480</xdr:rowOff>
        </xdr:from>
        <xdr:to>
          <xdr:col>38</xdr:col>
          <xdr:colOff>38100</xdr:colOff>
          <xdr:row>54</xdr:row>
          <xdr:rowOff>30480</xdr:rowOff>
        </xdr:to>
        <xdr:sp macro="" textlink="">
          <xdr:nvSpPr>
            <xdr:cNvPr id="14368" name="Button 32" hidden="1">
              <a:extLst>
                <a:ext uri="{63B3BB69-23CF-44E3-9099-C40C66FF867C}">
                  <a14:compatExt spid="_x0000_s14368"/>
                </a:ext>
                <a:ext uri="{FF2B5EF4-FFF2-40B4-BE49-F238E27FC236}">
                  <a16:creationId xmlns:a16="http://schemas.microsoft.com/office/drawing/2014/main" id="{00000000-0008-0000-0600-000020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30480</xdr:colOff>
          <xdr:row>53</xdr:row>
          <xdr:rowOff>30480</xdr:rowOff>
        </xdr:from>
        <xdr:to>
          <xdr:col>48</xdr:col>
          <xdr:colOff>38100</xdr:colOff>
          <xdr:row>54</xdr:row>
          <xdr:rowOff>30480</xdr:rowOff>
        </xdr:to>
        <xdr:sp macro="" textlink="">
          <xdr:nvSpPr>
            <xdr:cNvPr id="14369" name="Button 33" hidden="1">
              <a:extLst>
                <a:ext uri="{63B3BB69-23CF-44E3-9099-C40C66FF867C}">
                  <a14:compatExt spid="_x0000_s14369"/>
                </a:ext>
                <a:ext uri="{FF2B5EF4-FFF2-40B4-BE49-F238E27FC236}">
                  <a16:creationId xmlns:a16="http://schemas.microsoft.com/office/drawing/2014/main" id="{00000000-0008-0000-0600-00002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56</xdr:col>
          <xdr:colOff>30480</xdr:colOff>
          <xdr:row>53</xdr:row>
          <xdr:rowOff>30480</xdr:rowOff>
        </xdr:from>
        <xdr:to>
          <xdr:col>58</xdr:col>
          <xdr:colOff>7620</xdr:colOff>
          <xdr:row>54</xdr:row>
          <xdr:rowOff>30480</xdr:rowOff>
        </xdr:to>
        <xdr:sp macro="" textlink="">
          <xdr:nvSpPr>
            <xdr:cNvPr id="14370" name="Button 34" hidden="1">
              <a:extLst>
                <a:ext uri="{63B3BB69-23CF-44E3-9099-C40C66FF867C}">
                  <a14:compatExt spid="_x0000_s14370"/>
                </a:ext>
                <a:ext uri="{FF2B5EF4-FFF2-40B4-BE49-F238E27FC236}">
                  <a16:creationId xmlns:a16="http://schemas.microsoft.com/office/drawing/2014/main" id="{00000000-0008-0000-0600-00002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30480</xdr:colOff>
          <xdr:row>85</xdr:row>
          <xdr:rowOff>30480</xdr:rowOff>
        </xdr:from>
        <xdr:to>
          <xdr:col>7</xdr:col>
          <xdr:colOff>30480</xdr:colOff>
          <xdr:row>86</xdr:row>
          <xdr:rowOff>30480</xdr:rowOff>
        </xdr:to>
        <xdr:sp macro="" textlink="">
          <xdr:nvSpPr>
            <xdr:cNvPr id="14374" name="Button 38" hidden="1">
              <a:extLst>
                <a:ext uri="{63B3BB69-23CF-44E3-9099-C40C66FF867C}">
                  <a14:compatExt spid="_x0000_s14374"/>
                </a:ext>
                <a:ext uri="{FF2B5EF4-FFF2-40B4-BE49-F238E27FC236}">
                  <a16:creationId xmlns:a16="http://schemas.microsoft.com/office/drawing/2014/main" id="{00000000-0008-0000-0600-000026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30480</xdr:colOff>
          <xdr:row>85</xdr:row>
          <xdr:rowOff>30480</xdr:rowOff>
        </xdr:from>
        <xdr:to>
          <xdr:col>17</xdr:col>
          <xdr:colOff>7620</xdr:colOff>
          <xdr:row>86</xdr:row>
          <xdr:rowOff>30480</xdr:rowOff>
        </xdr:to>
        <xdr:sp macro="" textlink="">
          <xdr:nvSpPr>
            <xdr:cNvPr id="14375" name="Button 39" hidden="1">
              <a:extLst>
                <a:ext uri="{63B3BB69-23CF-44E3-9099-C40C66FF867C}">
                  <a14:compatExt spid="_x0000_s14375"/>
                </a:ext>
                <a:ext uri="{FF2B5EF4-FFF2-40B4-BE49-F238E27FC236}">
                  <a16:creationId xmlns:a16="http://schemas.microsoft.com/office/drawing/2014/main" id="{00000000-0008-0000-0600-000027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26</xdr:col>
          <xdr:colOff>30480</xdr:colOff>
          <xdr:row>85</xdr:row>
          <xdr:rowOff>30480</xdr:rowOff>
        </xdr:from>
        <xdr:to>
          <xdr:col>27</xdr:col>
          <xdr:colOff>38100</xdr:colOff>
          <xdr:row>86</xdr:row>
          <xdr:rowOff>30480</xdr:rowOff>
        </xdr:to>
        <xdr:sp macro="" textlink="">
          <xdr:nvSpPr>
            <xdr:cNvPr id="14376" name="Button 40" hidden="1">
              <a:extLst>
                <a:ext uri="{63B3BB69-23CF-44E3-9099-C40C66FF867C}">
                  <a14:compatExt spid="_x0000_s14376"/>
                </a:ext>
                <a:ext uri="{FF2B5EF4-FFF2-40B4-BE49-F238E27FC236}">
                  <a16:creationId xmlns:a16="http://schemas.microsoft.com/office/drawing/2014/main" id="{00000000-0008-0000-0600-000028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36</xdr:col>
          <xdr:colOff>30480</xdr:colOff>
          <xdr:row>85</xdr:row>
          <xdr:rowOff>30480</xdr:rowOff>
        </xdr:from>
        <xdr:to>
          <xdr:col>38</xdr:col>
          <xdr:colOff>38100</xdr:colOff>
          <xdr:row>86</xdr:row>
          <xdr:rowOff>30480</xdr:rowOff>
        </xdr:to>
        <xdr:sp macro="" textlink="">
          <xdr:nvSpPr>
            <xdr:cNvPr id="14377" name="Button 41" hidden="1">
              <a:extLst>
                <a:ext uri="{63B3BB69-23CF-44E3-9099-C40C66FF867C}">
                  <a14:compatExt spid="_x0000_s14377"/>
                </a:ext>
                <a:ext uri="{FF2B5EF4-FFF2-40B4-BE49-F238E27FC236}">
                  <a16:creationId xmlns:a16="http://schemas.microsoft.com/office/drawing/2014/main" id="{00000000-0008-0000-0600-000029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30480</xdr:colOff>
          <xdr:row>85</xdr:row>
          <xdr:rowOff>30480</xdr:rowOff>
        </xdr:from>
        <xdr:to>
          <xdr:col>48</xdr:col>
          <xdr:colOff>38100</xdr:colOff>
          <xdr:row>86</xdr:row>
          <xdr:rowOff>30480</xdr:rowOff>
        </xdr:to>
        <xdr:sp macro="" textlink="">
          <xdr:nvSpPr>
            <xdr:cNvPr id="14378" name="Button 42" hidden="1">
              <a:extLst>
                <a:ext uri="{63B3BB69-23CF-44E3-9099-C40C66FF867C}">
                  <a14:compatExt spid="_x0000_s14378"/>
                </a:ext>
                <a:ext uri="{FF2B5EF4-FFF2-40B4-BE49-F238E27FC236}">
                  <a16:creationId xmlns:a16="http://schemas.microsoft.com/office/drawing/2014/main" id="{00000000-0008-0000-0600-00002A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700" b="1" i="0" u="none" strike="noStrike" baseline="0">
                  <a:solidFill>
                    <a:srgbClr val="FF4E00"/>
                  </a:solidFill>
                  <a:latin typeface="Arial"/>
                  <a:cs typeface="Arial"/>
                </a:rPr>
                <a:t>Limpar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190500</xdr:colOff>
          <xdr:row>24</xdr:row>
          <xdr:rowOff>182880</xdr:rowOff>
        </xdr:from>
        <xdr:to>
          <xdr:col>9</xdr:col>
          <xdr:colOff>304800</xdr:colOff>
          <xdr:row>26</xdr:row>
          <xdr:rowOff>160020</xdr:rowOff>
        </xdr:to>
        <xdr:sp macro="" textlink="">
          <xdr:nvSpPr>
            <xdr:cNvPr id="14380" name="Button 44" descr="REFAZER" hidden="1">
              <a:extLst>
                <a:ext uri="{63B3BB69-23CF-44E3-9099-C40C66FF867C}">
                  <a14:compatExt spid="_x0000_s14380"/>
                </a:ext>
                <a:ext uri="{FF2B5EF4-FFF2-40B4-BE49-F238E27FC236}">
                  <a16:creationId xmlns:a16="http://schemas.microsoft.com/office/drawing/2014/main" id="{00000000-0008-0000-0600-00002C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182880</xdr:colOff>
          <xdr:row>24</xdr:row>
          <xdr:rowOff>144780</xdr:rowOff>
        </xdr:from>
        <xdr:to>
          <xdr:col>19</xdr:col>
          <xdr:colOff>259080</xdr:colOff>
          <xdr:row>26</xdr:row>
          <xdr:rowOff>144780</xdr:rowOff>
        </xdr:to>
        <xdr:sp macro="" textlink="">
          <xdr:nvSpPr>
            <xdr:cNvPr id="14385" name="Button 49" hidden="1">
              <a:extLst>
                <a:ext uri="{63B3BB69-23CF-44E3-9099-C40C66FF867C}">
                  <a14:compatExt spid="_x0000_s14385"/>
                </a:ext>
                <a:ext uri="{FF2B5EF4-FFF2-40B4-BE49-F238E27FC236}">
                  <a16:creationId xmlns:a16="http://schemas.microsoft.com/office/drawing/2014/main" id="{00000000-0008-0000-0600-00003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26</xdr:col>
          <xdr:colOff>144780</xdr:colOff>
          <xdr:row>24</xdr:row>
          <xdr:rowOff>144780</xdr:rowOff>
        </xdr:from>
        <xdr:to>
          <xdr:col>29</xdr:col>
          <xdr:colOff>297180</xdr:colOff>
          <xdr:row>26</xdr:row>
          <xdr:rowOff>144780</xdr:rowOff>
        </xdr:to>
        <xdr:sp macro="" textlink="">
          <xdr:nvSpPr>
            <xdr:cNvPr id="14386" name="Button 50" hidden="1">
              <a:extLst>
                <a:ext uri="{63B3BB69-23CF-44E3-9099-C40C66FF867C}">
                  <a14:compatExt spid="_x0000_s14386"/>
                </a:ext>
                <a:ext uri="{FF2B5EF4-FFF2-40B4-BE49-F238E27FC236}">
                  <a16:creationId xmlns:a16="http://schemas.microsoft.com/office/drawing/2014/main" id="{00000000-0008-0000-0600-00003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36</xdr:col>
          <xdr:colOff>106680</xdr:colOff>
          <xdr:row>25</xdr:row>
          <xdr:rowOff>30480</xdr:rowOff>
        </xdr:from>
        <xdr:to>
          <xdr:col>39</xdr:col>
          <xdr:colOff>220980</xdr:colOff>
          <xdr:row>27</xdr:row>
          <xdr:rowOff>0</xdr:rowOff>
        </xdr:to>
        <xdr:sp macro="" textlink="">
          <xdr:nvSpPr>
            <xdr:cNvPr id="14388" name="Button 52" hidden="1">
              <a:extLst>
                <a:ext uri="{63B3BB69-23CF-44E3-9099-C40C66FF867C}">
                  <a14:compatExt spid="_x0000_s14388"/>
                </a:ext>
                <a:ext uri="{FF2B5EF4-FFF2-40B4-BE49-F238E27FC236}">
                  <a16:creationId xmlns:a16="http://schemas.microsoft.com/office/drawing/2014/main" id="{00000000-0008-0000-0600-000034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297180</xdr:colOff>
          <xdr:row>25</xdr:row>
          <xdr:rowOff>30480</xdr:rowOff>
        </xdr:from>
        <xdr:to>
          <xdr:col>49</xdr:col>
          <xdr:colOff>259080</xdr:colOff>
          <xdr:row>27</xdr:row>
          <xdr:rowOff>0</xdr:rowOff>
        </xdr:to>
        <xdr:sp macro="" textlink="">
          <xdr:nvSpPr>
            <xdr:cNvPr id="14389" name="Button 53" hidden="1">
              <a:extLst>
                <a:ext uri="{63B3BB69-23CF-44E3-9099-C40C66FF867C}">
                  <a14:compatExt spid="_x0000_s14389"/>
                </a:ext>
                <a:ext uri="{FF2B5EF4-FFF2-40B4-BE49-F238E27FC236}">
                  <a16:creationId xmlns:a16="http://schemas.microsoft.com/office/drawing/2014/main" id="{00000000-0008-0000-0600-00003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56</xdr:col>
          <xdr:colOff>297180</xdr:colOff>
          <xdr:row>25</xdr:row>
          <xdr:rowOff>7620</xdr:rowOff>
        </xdr:from>
        <xdr:to>
          <xdr:col>59</xdr:col>
          <xdr:colOff>220980</xdr:colOff>
          <xdr:row>26</xdr:row>
          <xdr:rowOff>182880</xdr:rowOff>
        </xdr:to>
        <xdr:sp macro="" textlink="">
          <xdr:nvSpPr>
            <xdr:cNvPr id="14390" name="Button 54" hidden="1">
              <a:extLst>
                <a:ext uri="{63B3BB69-23CF-44E3-9099-C40C66FF867C}">
                  <a14:compatExt spid="_x0000_s14390"/>
                </a:ext>
                <a:ext uri="{FF2B5EF4-FFF2-40B4-BE49-F238E27FC236}">
                  <a16:creationId xmlns:a16="http://schemas.microsoft.com/office/drawing/2014/main" id="{00000000-0008-0000-0600-000036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198120</xdr:colOff>
          <xdr:row>56</xdr:row>
          <xdr:rowOff>152400</xdr:rowOff>
        </xdr:from>
        <xdr:to>
          <xdr:col>9</xdr:col>
          <xdr:colOff>312420</xdr:colOff>
          <xdr:row>58</xdr:row>
          <xdr:rowOff>144780</xdr:rowOff>
        </xdr:to>
        <xdr:sp macro="" textlink="">
          <xdr:nvSpPr>
            <xdr:cNvPr id="14393" name="Button 57" hidden="1">
              <a:extLst>
                <a:ext uri="{63B3BB69-23CF-44E3-9099-C40C66FF867C}">
                  <a14:compatExt spid="_x0000_s14393"/>
                </a:ext>
                <a:ext uri="{FF2B5EF4-FFF2-40B4-BE49-F238E27FC236}">
                  <a16:creationId xmlns:a16="http://schemas.microsoft.com/office/drawing/2014/main" id="{00000000-0008-0000-0600-000039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190500</xdr:colOff>
          <xdr:row>56</xdr:row>
          <xdr:rowOff>182880</xdr:rowOff>
        </xdr:from>
        <xdr:to>
          <xdr:col>19</xdr:col>
          <xdr:colOff>274320</xdr:colOff>
          <xdr:row>58</xdr:row>
          <xdr:rowOff>160020</xdr:rowOff>
        </xdr:to>
        <xdr:sp macro="" textlink="">
          <xdr:nvSpPr>
            <xdr:cNvPr id="14394" name="Button 58" hidden="1">
              <a:extLst>
                <a:ext uri="{63B3BB69-23CF-44E3-9099-C40C66FF867C}">
                  <a14:compatExt spid="_x0000_s14394"/>
                </a:ext>
                <a:ext uri="{FF2B5EF4-FFF2-40B4-BE49-F238E27FC236}">
                  <a16:creationId xmlns:a16="http://schemas.microsoft.com/office/drawing/2014/main" id="{00000000-0008-0000-0600-00003A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26</xdr:col>
          <xdr:colOff>190500</xdr:colOff>
          <xdr:row>56</xdr:row>
          <xdr:rowOff>182880</xdr:rowOff>
        </xdr:from>
        <xdr:to>
          <xdr:col>29</xdr:col>
          <xdr:colOff>335280</xdr:colOff>
          <xdr:row>58</xdr:row>
          <xdr:rowOff>160020</xdr:rowOff>
        </xdr:to>
        <xdr:sp macro="" textlink="">
          <xdr:nvSpPr>
            <xdr:cNvPr id="14395" name="Button 59" hidden="1">
              <a:extLst>
                <a:ext uri="{63B3BB69-23CF-44E3-9099-C40C66FF867C}">
                  <a14:compatExt spid="_x0000_s14395"/>
                </a:ext>
                <a:ext uri="{FF2B5EF4-FFF2-40B4-BE49-F238E27FC236}">
                  <a16:creationId xmlns:a16="http://schemas.microsoft.com/office/drawing/2014/main" id="{00000000-0008-0000-0600-00003B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36</xdr:col>
          <xdr:colOff>190500</xdr:colOff>
          <xdr:row>56</xdr:row>
          <xdr:rowOff>182880</xdr:rowOff>
        </xdr:from>
        <xdr:to>
          <xdr:col>39</xdr:col>
          <xdr:colOff>312420</xdr:colOff>
          <xdr:row>58</xdr:row>
          <xdr:rowOff>160020</xdr:rowOff>
        </xdr:to>
        <xdr:sp macro="" textlink="">
          <xdr:nvSpPr>
            <xdr:cNvPr id="14396" name="Button 60" hidden="1">
              <a:extLst>
                <a:ext uri="{63B3BB69-23CF-44E3-9099-C40C66FF867C}">
                  <a14:compatExt spid="_x0000_s14396"/>
                </a:ext>
                <a:ext uri="{FF2B5EF4-FFF2-40B4-BE49-F238E27FC236}">
                  <a16:creationId xmlns:a16="http://schemas.microsoft.com/office/drawing/2014/main" id="{00000000-0008-0000-0600-00003C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190500</xdr:colOff>
          <xdr:row>56</xdr:row>
          <xdr:rowOff>182880</xdr:rowOff>
        </xdr:from>
        <xdr:to>
          <xdr:col>49</xdr:col>
          <xdr:colOff>304800</xdr:colOff>
          <xdr:row>58</xdr:row>
          <xdr:rowOff>160020</xdr:rowOff>
        </xdr:to>
        <xdr:sp macro="" textlink="">
          <xdr:nvSpPr>
            <xdr:cNvPr id="14397" name="Button 61" hidden="1">
              <a:extLst>
                <a:ext uri="{63B3BB69-23CF-44E3-9099-C40C66FF867C}">
                  <a14:compatExt spid="_x0000_s14397"/>
                </a:ext>
                <a:ext uri="{FF2B5EF4-FFF2-40B4-BE49-F238E27FC236}">
                  <a16:creationId xmlns:a16="http://schemas.microsoft.com/office/drawing/2014/main" id="{00000000-0008-0000-0600-00003D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56</xdr:col>
          <xdr:colOff>190500</xdr:colOff>
          <xdr:row>56</xdr:row>
          <xdr:rowOff>182880</xdr:rowOff>
        </xdr:from>
        <xdr:to>
          <xdr:col>59</xdr:col>
          <xdr:colOff>220980</xdr:colOff>
          <xdr:row>58</xdr:row>
          <xdr:rowOff>160020</xdr:rowOff>
        </xdr:to>
        <xdr:sp macro="" textlink="">
          <xdr:nvSpPr>
            <xdr:cNvPr id="14398" name="Button 62" hidden="1">
              <a:extLst>
                <a:ext uri="{63B3BB69-23CF-44E3-9099-C40C66FF867C}">
                  <a14:compatExt spid="_x0000_s14398"/>
                </a:ext>
                <a:ext uri="{FF2B5EF4-FFF2-40B4-BE49-F238E27FC236}">
                  <a16:creationId xmlns:a16="http://schemas.microsoft.com/office/drawing/2014/main" id="{00000000-0008-0000-0600-00003E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198120</xdr:colOff>
          <xdr:row>88</xdr:row>
          <xdr:rowOff>152400</xdr:rowOff>
        </xdr:from>
        <xdr:to>
          <xdr:col>9</xdr:col>
          <xdr:colOff>312420</xdr:colOff>
          <xdr:row>90</xdr:row>
          <xdr:rowOff>144780</xdr:rowOff>
        </xdr:to>
        <xdr:sp macro="" textlink="">
          <xdr:nvSpPr>
            <xdr:cNvPr id="14401" name="Button 65" hidden="1">
              <a:extLst>
                <a:ext uri="{63B3BB69-23CF-44E3-9099-C40C66FF867C}">
                  <a14:compatExt spid="_x0000_s14401"/>
                </a:ext>
                <a:ext uri="{FF2B5EF4-FFF2-40B4-BE49-F238E27FC236}">
                  <a16:creationId xmlns:a16="http://schemas.microsoft.com/office/drawing/2014/main" id="{00000000-0008-0000-0600-00004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198120</xdr:colOff>
          <xdr:row>88</xdr:row>
          <xdr:rowOff>152400</xdr:rowOff>
        </xdr:from>
        <xdr:to>
          <xdr:col>19</xdr:col>
          <xdr:colOff>297180</xdr:colOff>
          <xdr:row>90</xdr:row>
          <xdr:rowOff>144780</xdr:rowOff>
        </xdr:to>
        <xdr:sp macro="" textlink="">
          <xdr:nvSpPr>
            <xdr:cNvPr id="14402" name="Button 66" hidden="1">
              <a:extLst>
                <a:ext uri="{63B3BB69-23CF-44E3-9099-C40C66FF867C}">
                  <a14:compatExt spid="_x0000_s14402"/>
                </a:ext>
                <a:ext uri="{FF2B5EF4-FFF2-40B4-BE49-F238E27FC236}">
                  <a16:creationId xmlns:a16="http://schemas.microsoft.com/office/drawing/2014/main" id="{00000000-0008-0000-0600-00004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26</xdr:col>
          <xdr:colOff>198120</xdr:colOff>
          <xdr:row>88</xdr:row>
          <xdr:rowOff>152400</xdr:rowOff>
        </xdr:from>
        <xdr:to>
          <xdr:col>29</xdr:col>
          <xdr:colOff>342900</xdr:colOff>
          <xdr:row>90</xdr:row>
          <xdr:rowOff>144780</xdr:rowOff>
        </xdr:to>
        <xdr:sp macro="" textlink="">
          <xdr:nvSpPr>
            <xdr:cNvPr id="14403" name="Button 67" hidden="1">
              <a:extLst>
                <a:ext uri="{63B3BB69-23CF-44E3-9099-C40C66FF867C}">
                  <a14:compatExt spid="_x0000_s14403"/>
                </a:ext>
                <a:ext uri="{FF2B5EF4-FFF2-40B4-BE49-F238E27FC236}">
                  <a16:creationId xmlns:a16="http://schemas.microsoft.com/office/drawing/2014/main" id="{00000000-0008-0000-0600-000043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36</xdr:col>
          <xdr:colOff>198120</xdr:colOff>
          <xdr:row>88</xdr:row>
          <xdr:rowOff>152400</xdr:rowOff>
        </xdr:from>
        <xdr:to>
          <xdr:col>39</xdr:col>
          <xdr:colOff>335280</xdr:colOff>
          <xdr:row>90</xdr:row>
          <xdr:rowOff>144780</xdr:rowOff>
        </xdr:to>
        <xdr:sp macro="" textlink="">
          <xdr:nvSpPr>
            <xdr:cNvPr id="14404" name="Button 68" hidden="1">
              <a:extLst>
                <a:ext uri="{63B3BB69-23CF-44E3-9099-C40C66FF867C}">
                  <a14:compatExt spid="_x0000_s14404"/>
                </a:ext>
                <a:ext uri="{FF2B5EF4-FFF2-40B4-BE49-F238E27FC236}">
                  <a16:creationId xmlns:a16="http://schemas.microsoft.com/office/drawing/2014/main" id="{00000000-0008-0000-0600-000044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46</xdr:col>
          <xdr:colOff>198120</xdr:colOff>
          <xdr:row>88</xdr:row>
          <xdr:rowOff>152400</xdr:rowOff>
        </xdr:from>
        <xdr:to>
          <xdr:col>49</xdr:col>
          <xdr:colOff>312420</xdr:colOff>
          <xdr:row>90</xdr:row>
          <xdr:rowOff>144780</xdr:rowOff>
        </xdr:to>
        <xdr:sp macro="" textlink="">
          <xdr:nvSpPr>
            <xdr:cNvPr id="14405" name="Button 69" hidden="1">
              <a:extLst>
                <a:ext uri="{63B3BB69-23CF-44E3-9099-C40C66FF867C}">
                  <a14:compatExt spid="_x0000_s14405"/>
                </a:ext>
                <a:ext uri="{FF2B5EF4-FFF2-40B4-BE49-F238E27FC236}">
                  <a16:creationId xmlns:a16="http://schemas.microsoft.com/office/drawing/2014/main" id="{00000000-0008-0000-0600-00004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000" b="1" i="0" u="none" strike="noStrike" baseline="0">
                  <a:solidFill>
                    <a:srgbClr val="FF4E00"/>
                  </a:solidFill>
                  <a:latin typeface="Footlight MT Light"/>
                </a:rPr>
                <a:t>LIMPAR REFAZER</a:t>
              </a:r>
            </a:p>
          </xdr:txBody>
        </xdr:sp>
        <xdr:clientData fPrintsWithSheet="0"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97AC9D-9060-476D-B582-EF49F15CE88B}" name="Tabela2" displayName="Tabela2" ref="S166:S171" totalsRowShown="0" headerRowDxfId="408" dataDxfId="406" headerRowBorderDxfId="407" tableBorderDxfId="405" totalsRowBorderDxfId="404" headerRowCellStyle="Normal 2" dataCellStyle="Normal 2">
  <autoFilter ref="S166:S171" xr:uid="{B697AC9D-9060-476D-B582-EF49F15CE88B}"/>
  <tableColumns count="1">
    <tableColumn id="1" xr3:uid="{E58EE591-7470-4B04-AFAF-B28514DF93DC}" name="Coluna1" dataDxfId="403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3.v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36" Type="http://schemas.openxmlformats.org/officeDocument/2006/relationships/ctrlProp" Target="../ctrlProps/ctrlProp33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35" Type="http://schemas.openxmlformats.org/officeDocument/2006/relationships/ctrlProp" Target="../ctrlProps/ctrlProp32.xml"/><Relationship Id="rId8" Type="http://schemas.openxmlformats.org/officeDocument/2006/relationships/ctrlProp" Target="../ctrlProps/ctrlProp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00B050"/>
  </sheetPr>
  <dimension ref="A1:AMJ55"/>
  <sheetViews>
    <sheetView showGridLines="0" topLeftCell="B2" zoomScale="90" zoomScaleNormal="90" workbookViewId="0">
      <selection activeCell="I9" sqref="I9"/>
    </sheetView>
  </sheetViews>
  <sheetFormatPr defaultColWidth="7.44140625" defaultRowHeight="14.4" x14ac:dyDescent="0.3"/>
  <cols>
    <col min="1" max="1" width="1.44140625" style="2" customWidth="1"/>
    <col min="2" max="2" width="7.44140625" style="2"/>
    <col min="3" max="4" width="7.44140625" style="3"/>
    <col min="5" max="6" width="7.44140625" style="2"/>
    <col min="7" max="8" width="7.44140625" style="3"/>
    <col min="9" max="9" width="10.44140625" style="3" customWidth="1"/>
    <col min="10" max="10" width="7.44140625" style="3"/>
    <col min="11" max="11" width="7.44140625" style="2"/>
    <col min="12" max="13" width="7.44140625" style="3"/>
    <col min="14" max="14" width="7.44140625" style="3" customWidth="1"/>
    <col min="15" max="17" width="7.44140625" style="2"/>
    <col min="18" max="20" width="7.44140625" style="2" customWidth="1"/>
    <col min="21" max="21" width="6" style="2" customWidth="1"/>
    <col min="22" max="22" width="5.5546875" style="2" customWidth="1"/>
    <col min="23" max="23" width="7.44140625" style="2"/>
    <col min="24" max="24" width="11" style="2" customWidth="1"/>
    <col min="25" max="28" width="7.44140625" style="2"/>
    <col min="29" max="30" width="6.44140625" style="2" customWidth="1"/>
    <col min="31" max="31" width="5.5546875" style="2" customWidth="1"/>
    <col min="32" max="32" width="8.5546875" style="2" customWidth="1"/>
    <col min="33" max="33" width="7.44140625" style="2" customWidth="1"/>
    <col min="34" max="34" width="7.5546875" style="2" customWidth="1"/>
    <col min="35" max="1024" width="7.44140625" style="2"/>
  </cols>
  <sheetData>
    <row r="1" spans="1:37" ht="39" customHeight="1" thickBot="1" x14ac:dyDescent="0.35">
      <c r="A1" s="699"/>
      <c r="B1" s="699"/>
      <c r="C1" s="700"/>
      <c r="D1" s="952"/>
      <c r="E1" s="953"/>
      <c r="F1" s="954"/>
      <c r="G1" s="700"/>
      <c r="H1" s="955"/>
      <c r="I1" s="955"/>
      <c r="J1" s="955"/>
      <c r="K1" s="699"/>
      <c r="L1" s="956"/>
      <c r="M1" s="956"/>
      <c r="N1" s="956"/>
      <c r="O1" s="699"/>
      <c r="P1" s="957"/>
      <c r="Q1" s="957"/>
      <c r="R1" s="957"/>
      <c r="S1" s="958"/>
      <c r="T1" s="699"/>
      <c r="U1" s="699"/>
      <c r="V1" s="699"/>
      <c r="W1" s="699"/>
      <c r="X1" s="699"/>
      <c r="Y1" s="699"/>
      <c r="Z1" s="699"/>
      <c r="AA1" s="699"/>
      <c r="AB1" s="699"/>
      <c r="AC1" s="699"/>
      <c r="AD1" s="699"/>
      <c r="AE1" s="699"/>
      <c r="AF1" s="2" t="s">
        <v>912</v>
      </c>
    </row>
    <row r="2" spans="1:37" ht="21" customHeight="1" thickBot="1" x14ac:dyDescent="0.35">
      <c r="B2" s="926" t="s">
        <v>31</v>
      </c>
      <c r="C2" s="926"/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926"/>
      <c r="U2" s="926"/>
      <c r="V2" s="926"/>
      <c r="W2" s="926"/>
      <c r="X2" s="926"/>
      <c r="Y2" s="926"/>
      <c r="Z2" s="926"/>
      <c r="AA2" s="926"/>
      <c r="AB2" s="926"/>
      <c r="AC2" s="926"/>
      <c r="AD2" s="926"/>
      <c r="AE2" s="926"/>
      <c r="AF2" s="4"/>
      <c r="AH2" s="4"/>
      <c r="AI2" s="4"/>
      <c r="AJ2" s="4"/>
      <c r="AK2" s="4"/>
    </row>
    <row r="3" spans="1:37" ht="3" customHeight="1" thickBot="1" x14ac:dyDescent="0.35">
      <c r="B3" s="5"/>
      <c r="C3" s="6"/>
      <c r="D3" s="6"/>
      <c r="E3" s="7"/>
      <c r="F3" s="7"/>
      <c r="G3" s="6"/>
      <c r="H3" s="6"/>
      <c r="I3" s="6"/>
      <c r="J3" s="6"/>
      <c r="K3" s="7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4"/>
      <c r="AG3" s="4"/>
      <c r="AH3" s="4"/>
      <c r="AI3" s="4"/>
      <c r="AJ3" s="4"/>
      <c r="AK3" s="4"/>
    </row>
    <row r="4" spans="1:37" ht="14.25" customHeight="1" thickBot="1" x14ac:dyDescent="0.35">
      <c r="B4" s="911" t="s">
        <v>32</v>
      </c>
      <c r="C4" s="911"/>
      <c r="D4" s="911"/>
      <c r="E4" s="911"/>
      <c r="F4" s="9"/>
      <c r="G4" s="941" t="s">
        <v>33</v>
      </c>
      <c r="H4" s="941"/>
      <c r="I4" s="941"/>
      <c r="J4" s="941"/>
      <c r="K4" s="941"/>
      <c r="L4" s="942" t="s">
        <v>822</v>
      </c>
      <c r="M4" s="943"/>
      <c r="N4" s="944"/>
      <c r="O4" s="945" t="s">
        <v>823</v>
      </c>
      <c r="P4" s="944"/>
      <c r="Q4" s="911" t="s">
        <v>34</v>
      </c>
      <c r="R4" s="911"/>
      <c r="S4" s="911"/>
      <c r="T4" s="911"/>
      <c r="U4" s="7"/>
      <c r="V4" s="738"/>
      <c r="W4" s="739"/>
      <c r="X4" s="739"/>
      <c r="Y4" s="739"/>
      <c r="Z4" s="10"/>
      <c r="AA4" s="10"/>
      <c r="AB4" s="911" t="s">
        <v>35</v>
      </c>
      <c r="AC4" s="911"/>
      <c r="AD4" s="911"/>
      <c r="AE4" s="940"/>
      <c r="AF4" s="695" t="str">
        <f>VLOOKUP(T9,Tables!AF2:AH3,3,0)</f>
        <v>Dry</v>
      </c>
      <c r="AG4" s="960"/>
      <c r="AH4" s="960"/>
      <c r="AI4" s="4"/>
      <c r="AJ4" s="4"/>
      <c r="AK4" s="4"/>
    </row>
    <row r="5" spans="1:37" ht="14.25" customHeight="1" thickBot="1" x14ac:dyDescent="0.35">
      <c r="B5" s="946" t="s">
        <v>36</v>
      </c>
      <c r="C5" s="946"/>
      <c r="D5" s="946"/>
      <c r="E5" s="11">
        <f>SUM(Tables!C35:C43)</f>
        <v>98.428899999999985</v>
      </c>
      <c r="F5" s="9"/>
      <c r="G5" s="947" t="s">
        <v>37</v>
      </c>
      <c r="H5" s="947"/>
      <c r="I5" s="504" t="s">
        <v>38</v>
      </c>
      <c r="J5" s="504" t="s">
        <v>39</v>
      </c>
      <c r="K5" s="503" t="s">
        <v>2</v>
      </c>
      <c r="L5" s="499"/>
      <c r="M5" s="14" t="s">
        <v>40</v>
      </c>
      <c r="N5" s="15" t="s">
        <v>824</v>
      </c>
      <c r="O5" s="580" t="s">
        <v>33</v>
      </c>
      <c r="P5" s="581" t="s">
        <v>3</v>
      </c>
      <c r="Q5" s="579" t="s">
        <v>3</v>
      </c>
      <c r="R5" s="948" t="s">
        <v>957</v>
      </c>
      <c r="S5" s="948"/>
      <c r="T5" s="949"/>
      <c r="U5" s="7"/>
      <c r="V5" s="740"/>
      <c r="W5" s="740"/>
      <c r="X5" s="741"/>
      <c r="Y5" s="740"/>
      <c r="Z5" s="10"/>
      <c r="AA5" s="10"/>
      <c r="AB5" s="12" t="s">
        <v>37</v>
      </c>
      <c r="AC5" s="14" t="s">
        <v>43</v>
      </c>
      <c r="AD5" s="14" t="s">
        <v>44</v>
      </c>
      <c r="AE5" s="819" t="s">
        <v>909</v>
      </c>
      <c r="AF5" s="690"/>
      <c r="AG5" s="691"/>
      <c r="AH5" s="692"/>
      <c r="AI5" s="4"/>
      <c r="AJ5" s="4"/>
      <c r="AK5" s="4"/>
    </row>
    <row r="6" spans="1:37" ht="14.25" customHeight="1" thickBot="1" x14ac:dyDescent="0.35">
      <c r="B6" s="950" t="s">
        <v>5</v>
      </c>
      <c r="C6" s="950"/>
      <c r="D6" s="950"/>
      <c r="E6" s="17">
        <v>91</v>
      </c>
      <c r="F6" s="9"/>
      <c r="G6" s="932" t="s">
        <v>4</v>
      </c>
      <c r="H6" s="932"/>
      <c r="I6" s="505">
        <v>5</v>
      </c>
      <c r="J6" s="506">
        <v>87</v>
      </c>
      <c r="K6" s="675">
        <f>'Tyre&amp;Fuel'!M29</f>
        <v>106.82352077713406</v>
      </c>
      <c r="L6" s="500" t="s">
        <v>45</v>
      </c>
      <c r="M6" s="19">
        <f>VLOOKUP(I6,Tables!$A$119:$H$127,6,1)+VLOOKUP(I7,Tables!$K$119:$R$127,6,1)+VLOOKUP(I8,Tables!$U$119:$AB$127,6,1)+VLOOKUP(I9,Tables!$AE$119:$AL$127,6,1)+VLOOKUP(I10,Tables!$A$131:$H$139,6,1)+VLOOKUP(I11,Tables!$K$131:$R$139,6,1)+VLOOKUP(I12,Tables!$U$131:$AB$139,6,1)+VLOOKUP(I13,Tables!$AE$131:$AL$139,6,1)+VLOOKUP(I14,Tables!$A$143:$H$151,6,1)+VLOOKUP(I15,Tables!$K$143:$R$151,6,1)+VLOOKUP(I16,Tables!$U$143:$AB$151,6,1)</f>
        <v>67</v>
      </c>
      <c r="N6" s="20">
        <v>10</v>
      </c>
      <c r="O6" s="576">
        <f>SUM(M6+N6)</f>
        <v>77</v>
      </c>
      <c r="P6" s="624">
        <f>VLOOKUP(R5,Tracks!A4:Q67,10,0)*6.93</f>
        <v>62.37</v>
      </c>
      <c r="Q6" s="499" t="s">
        <v>46</v>
      </c>
      <c r="R6" s="951" t="s">
        <v>47</v>
      </c>
      <c r="S6" s="951"/>
      <c r="T6" s="905" t="s">
        <v>23</v>
      </c>
      <c r="U6" s="906"/>
      <c r="V6" s="907"/>
      <c r="W6" s="740"/>
      <c r="X6" s="741"/>
      <c r="Y6" s="740"/>
      <c r="Z6" s="10"/>
      <c r="AA6" s="10"/>
      <c r="AB6" s="18" t="s">
        <v>48</v>
      </c>
      <c r="AC6" s="23">
        <f t="shared" ref="AC6:AC11" si="0">D24</f>
        <v>585</v>
      </c>
      <c r="AD6" s="23">
        <f t="shared" ref="AD6:AD11" si="1">D31</f>
        <v>387</v>
      </c>
      <c r="AE6" s="634">
        <f t="shared" ref="AE6:AE11" si="2">D38</f>
        <v>588</v>
      </c>
      <c r="AF6" s="693"/>
      <c r="AG6" s="694"/>
      <c r="AH6" s="693"/>
      <c r="AI6" s="4"/>
      <c r="AJ6" s="4"/>
      <c r="AK6" s="4"/>
    </row>
    <row r="7" spans="1:37" ht="14.25" customHeight="1" x14ac:dyDescent="0.3">
      <c r="B7" s="931" t="s">
        <v>7</v>
      </c>
      <c r="C7" s="931"/>
      <c r="D7" s="931"/>
      <c r="E7" s="25">
        <v>207</v>
      </c>
      <c r="F7" s="9"/>
      <c r="G7" s="932" t="s">
        <v>6</v>
      </c>
      <c r="H7" s="932"/>
      <c r="I7" s="505">
        <v>5</v>
      </c>
      <c r="J7" s="506">
        <v>64</v>
      </c>
      <c r="K7" s="675">
        <f>'Tyre&amp;Fuel'!M30</f>
        <v>102.94249412730376</v>
      </c>
      <c r="L7" s="501" t="s">
        <v>49</v>
      </c>
      <c r="M7" s="26">
        <f>VLOOKUP(I6,Tables!$A$119:$H$127,7,1)+VLOOKUP(I7,Tables!$K$119:$R$127,7,1)+VLOOKUP(I8,Tables!$U$119:$AB$127,7,1)+VLOOKUP(I9,Tables!$AE$119:$AL$127,7,1)+VLOOKUP(I10,Tables!$A$131:$H$139,7,1)+VLOOKUP(I11,Tables!$K$131:$R$139,7,1)+VLOOKUP(I12,Tables!$U$131:$AB$139,7,1)+VLOOKUP(I13,Tables!$AE$131:$AL$139,7,1)+VLOOKUP(I14,Tables!$A$143:$H$151,7,1)+VLOOKUP(I15,Tables!$K$143:$R$151,7,1)+VLOOKUP(I16,Tables!$U$143:$AB$151,7,1)</f>
        <v>68</v>
      </c>
      <c r="N7" s="27">
        <v>4</v>
      </c>
      <c r="O7" s="577">
        <f>SUM(M7+N7)</f>
        <v>72</v>
      </c>
      <c r="P7" s="625">
        <f>VLOOKUP(R5,Tracks!A4:Q67,11,0)*6.93</f>
        <v>76.22999999999999</v>
      </c>
      <c r="Q7" s="500" t="s">
        <v>43</v>
      </c>
      <c r="R7" s="961">
        <v>2</v>
      </c>
      <c r="S7" s="961"/>
      <c r="T7" s="100" t="s">
        <v>56</v>
      </c>
      <c r="U7" s="747"/>
      <c r="V7" s="748"/>
      <c r="W7" s="740"/>
      <c r="X7" s="741"/>
      <c r="Y7" s="740"/>
      <c r="Z7" s="10"/>
      <c r="AA7" s="10"/>
      <c r="AB7" s="24" t="s">
        <v>51</v>
      </c>
      <c r="AC7" s="29">
        <f t="shared" si="0"/>
        <v>409</v>
      </c>
      <c r="AD7" s="29">
        <f t="shared" si="1"/>
        <v>260</v>
      </c>
      <c r="AE7" s="635">
        <f t="shared" si="2"/>
        <v>410</v>
      </c>
      <c r="AF7" s="693"/>
      <c r="AG7" s="694"/>
      <c r="AH7" s="693"/>
      <c r="AI7" s="4"/>
      <c r="AJ7" s="4"/>
      <c r="AK7" s="4"/>
    </row>
    <row r="8" spans="1:37" ht="14.25" customHeight="1" thickBot="1" x14ac:dyDescent="0.35">
      <c r="B8" s="931" t="s">
        <v>8</v>
      </c>
      <c r="C8" s="931"/>
      <c r="D8" s="931"/>
      <c r="E8" s="25">
        <v>38</v>
      </c>
      <c r="F8" s="9"/>
      <c r="G8" s="934" t="s">
        <v>52</v>
      </c>
      <c r="H8" s="934"/>
      <c r="I8" s="505">
        <v>5</v>
      </c>
      <c r="J8" s="506">
        <v>71</v>
      </c>
      <c r="K8" s="675">
        <f>'Tyre&amp;Fuel'!M31</f>
        <v>90.823520777134064</v>
      </c>
      <c r="L8" s="502" t="s">
        <v>53</v>
      </c>
      <c r="M8" s="32">
        <f>VLOOKUP(I6,Tables!$A$119:$H$127,8,1)+VLOOKUP(I7,Tables!$K$119:$R$127,8,1)+VLOOKUP(I8,Tables!$U$119:$AB$127,8,1)+VLOOKUP(I9,Tables!$AE$119:$AL$127,8,1)+VLOOKUP(I10,Tables!$A$131:$H$139,8,1)+VLOOKUP(I11,Tables!$K$131:$R$139,8,1)+VLOOKUP(I12,Tables!$U$131:$AB$139,8,1)+VLOOKUP(I13,Tables!$AE$131:$AL$139,8,1)+VLOOKUP(I14,Tables!$A$143:$H$151,8,1)+VLOOKUP(I15,Tables!$K$143:$R$151,8,1)+VLOOKUP(I16,Tables!$U$143:$AB$151,8,1)</f>
        <v>68</v>
      </c>
      <c r="N8" s="33">
        <v>10</v>
      </c>
      <c r="O8" s="578">
        <f>SUM(M8+N8)</f>
        <v>78</v>
      </c>
      <c r="P8" s="624">
        <f>VLOOKUP(R5,Tracks!A4:Q67,12,0)*6.93</f>
        <v>55.44</v>
      </c>
      <c r="Q8" s="501" t="s">
        <v>44</v>
      </c>
      <c r="R8" s="962">
        <v>5</v>
      </c>
      <c r="S8" s="962"/>
      <c r="T8" s="108" t="s">
        <v>50</v>
      </c>
      <c r="U8" s="743"/>
      <c r="V8" s="745"/>
      <c r="W8" s="740"/>
      <c r="X8" s="741"/>
      <c r="Y8" s="740"/>
      <c r="Z8" s="10"/>
      <c r="AA8" s="10"/>
      <c r="AB8" s="24" t="s">
        <v>6</v>
      </c>
      <c r="AC8" s="29">
        <f t="shared" si="0"/>
        <v>682</v>
      </c>
      <c r="AD8" s="29">
        <f t="shared" si="1"/>
        <v>869</v>
      </c>
      <c r="AE8" s="635">
        <f t="shared" si="2"/>
        <v>684</v>
      </c>
      <c r="AF8" s="693"/>
      <c r="AG8" s="694"/>
      <c r="AH8" s="693"/>
      <c r="AI8" s="4"/>
      <c r="AJ8" s="4"/>
      <c r="AK8" s="4"/>
    </row>
    <row r="9" spans="1:37" ht="14.25" customHeight="1" thickBot="1" x14ac:dyDescent="0.35">
      <c r="B9" s="931" t="s">
        <v>9</v>
      </c>
      <c r="C9" s="931"/>
      <c r="D9" s="931"/>
      <c r="E9" s="25">
        <v>48</v>
      </c>
      <c r="F9" s="9"/>
      <c r="G9" s="963" t="s">
        <v>54</v>
      </c>
      <c r="H9" s="963"/>
      <c r="I9" s="737">
        <v>5</v>
      </c>
      <c r="J9" s="506">
        <v>72</v>
      </c>
      <c r="K9" s="675">
        <f>'Tyre&amp;Fuel'!M32</f>
        <v>97.023132784251203</v>
      </c>
      <c r="L9" s="6"/>
      <c r="M9" s="6"/>
      <c r="N9" s="6"/>
      <c r="O9" s="7"/>
      <c r="P9" s="7"/>
      <c r="Q9" s="31" t="s">
        <v>55</v>
      </c>
      <c r="R9" s="964">
        <v>4.25</v>
      </c>
      <c r="S9" s="964"/>
      <c r="T9" s="115" t="s">
        <v>56</v>
      </c>
      <c r="U9" s="743"/>
      <c r="V9" s="744"/>
      <c r="W9" s="740"/>
      <c r="X9" s="741"/>
      <c r="Y9" s="740"/>
      <c r="Z9" s="10"/>
      <c r="AA9" s="10"/>
      <c r="AB9" s="24" t="s">
        <v>19</v>
      </c>
      <c r="AC9" s="29">
        <f t="shared" si="0"/>
        <v>247</v>
      </c>
      <c r="AD9" s="29">
        <f t="shared" si="1"/>
        <v>163</v>
      </c>
      <c r="AE9" s="635">
        <f t="shared" si="2"/>
        <v>256</v>
      </c>
      <c r="AF9" s="693"/>
      <c r="AG9" s="694"/>
      <c r="AH9" s="693"/>
      <c r="AI9" s="4"/>
      <c r="AJ9" s="4"/>
      <c r="AK9" s="4"/>
    </row>
    <row r="10" spans="1:37" ht="14.25" customHeight="1" thickBot="1" x14ac:dyDescent="0.35">
      <c r="B10" s="931" t="s">
        <v>57</v>
      </c>
      <c r="C10" s="931"/>
      <c r="D10" s="931"/>
      <c r="E10" s="25">
        <v>98</v>
      </c>
      <c r="F10" s="9"/>
      <c r="G10" s="965" t="s">
        <v>10</v>
      </c>
      <c r="H10" s="965"/>
      <c r="I10" s="505">
        <v>5</v>
      </c>
      <c r="J10" s="506">
        <v>20</v>
      </c>
      <c r="K10" s="675">
        <f>'Tyre&amp;Fuel'!M33</f>
        <v>41.006432508753214</v>
      </c>
      <c r="L10" s="935" t="s">
        <v>58</v>
      </c>
      <c r="M10" s="911"/>
      <c r="N10" s="911"/>
      <c r="O10" s="911"/>
      <c r="P10" s="7"/>
      <c r="Q10" s="34"/>
      <c r="R10" s="9"/>
      <c r="S10" s="7"/>
      <c r="T10" s="7"/>
      <c r="U10" s="7"/>
      <c r="V10" s="742"/>
      <c r="W10" s="740"/>
      <c r="X10" s="741"/>
      <c r="Y10" s="740"/>
      <c r="Z10" s="10"/>
      <c r="AA10" s="10"/>
      <c r="AB10" s="24" t="s">
        <v>59</v>
      </c>
      <c r="AC10" s="23">
        <f t="shared" si="0"/>
        <v>690</v>
      </c>
      <c r="AD10" s="23">
        <f t="shared" si="1"/>
        <v>691</v>
      </c>
      <c r="AE10" s="634">
        <f t="shared" si="2"/>
        <v>672</v>
      </c>
      <c r="AF10" s="693"/>
      <c r="AG10" s="694"/>
      <c r="AH10" s="693"/>
      <c r="AI10" s="4"/>
      <c r="AJ10" s="4"/>
      <c r="AK10" s="4"/>
    </row>
    <row r="11" spans="1:37" ht="14.25" customHeight="1" thickBot="1" x14ac:dyDescent="0.35">
      <c r="B11" s="931" t="s">
        <v>13</v>
      </c>
      <c r="C11" s="931"/>
      <c r="D11" s="931"/>
      <c r="E11" s="25">
        <v>82</v>
      </c>
      <c r="F11" s="9"/>
      <c r="G11" s="932" t="s">
        <v>12</v>
      </c>
      <c r="H11" s="932"/>
      <c r="I11" s="505">
        <v>5</v>
      </c>
      <c r="J11" s="506">
        <v>64</v>
      </c>
      <c r="K11" s="675">
        <f>'Tyre&amp;Fuel'!M34</f>
        <v>77.648981518682476</v>
      </c>
      <c r="L11" s="918" t="s">
        <v>60</v>
      </c>
      <c r="M11" s="919"/>
      <c r="N11" s="919"/>
      <c r="O11" s="35"/>
      <c r="P11" s="7"/>
      <c r="Q11" s="937" t="s">
        <v>61</v>
      </c>
      <c r="R11" s="937"/>
      <c r="S11" s="937"/>
      <c r="T11" s="937"/>
      <c r="U11" s="7"/>
      <c r="V11" s="740"/>
      <c r="W11" s="740"/>
      <c r="X11" s="741"/>
      <c r="Y11" s="740"/>
      <c r="Z11" s="10"/>
      <c r="AA11" s="10"/>
      <c r="AB11" s="628" t="s">
        <v>62</v>
      </c>
      <c r="AC11" s="631">
        <f t="shared" si="0"/>
        <v>498</v>
      </c>
      <c r="AD11" s="631">
        <f t="shared" si="1"/>
        <v>727</v>
      </c>
      <c r="AE11" s="636">
        <f t="shared" si="2"/>
        <v>495</v>
      </c>
      <c r="AF11" s="693"/>
      <c r="AG11" s="694"/>
      <c r="AH11" s="693"/>
      <c r="AI11" s="4"/>
      <c r="AJ11" s="4"/>
      <c r="AK11" s="4"/>
    </row>
    <row r="12" spans="1:37" ht="14.25" customHeight="1" thickBot="1" x14ac:dyDescent="0.35">
      <c r="B12" s="931" t="s">
        <v>16</v>
      </c>
      <c r="C12" s="931"/>
      <c r="D12" s="931"/>
      <c r="E12" s="25">
        <v>35</v>
      </c>
      <c r="F12" s="9"/>
      <c r="G12" s="932" t="s">
        <v>15</v>
      </c>
      <c r="H12" s="932"/>
      <c r="I12" s="505">
        <v>5</v>
      </c>
      <c r="J12" s="506">
        <v>66</v>
      </c>
      <c r="K12" s="675">
        <f>'Tyre&amp;Fuel'!M35</f>
        <v>79.518991218504539</v>
      </c>
      <c r="L12" s="936" t="s">
        <v>63</v>
      </c>
      <c r="M12" s="931"/>
      <c r="N12" s="931"/>
      <c r="O12" s="38"/>
      <c r="P12" s="7"/>
      <c r="Q12" s="919" t="s">
        <v>64</v>
      </c>
      <c r="R12" s="919"/>
      <c r="S12" s="39">
        <v>5</v>
      </c>
      <c r="T12" s="40">
        <v>9</v>
      </c>
      <c r="U12" s="7"/>
      <c r="V12" s="738"/>
      <c r="W12" s="739"/>
      <c r="X12" s="739"/>
      <c r="Y12" s="739"/>
      <c r="Z12" s="10"/>
      <c r="AA12" s="10"/>
      <c r="AB12" s="632" t="s">
        <v>23</v>
      </c>
      <c r="AC12" s="696" t="str">
        <f>VLOOKUP(T7,Tables!AF2:AG3,2,0)</f>
        <v>Chuva</v>
      </c>
      <c r="AD12" s="696" t="str">
        <f>VLOOKUP(T8,Tables!AF2:AG3,2,0)</f>
        <v>Seco</v>
      </c>
      <c r="AE12" s="696" t="str">
        <f>VLOOKUP(T9,Tables!AF2:AG3,2,0)</f>
        <v>Chuva</v>
      </c>
      <c r="AF12" s="633"/>
      <c r="AG12" s="959"/>
      <c r="AH12" s="959"/>
      <c r="AI12" s="4"/>
      <c r="AJ12" s="4"/>
      <c r="AK12" s="4"/>
    </row>
    <row r="13" spans="1:37" ht="14.25" customHeight="1" thickBot="1" x14ac:dyDescent="0.35">
      <c r="B13" s="931" t="s">
        <v>18</v>
      </c>
      <c r="C13" s="931"/>
      <c r="D13" s="931"/>
      <c r="E13" s="25">
        <v>0</v>
      </c>
      <c r="F13" s="9"/>
      <c r="G13" s="932" t="s">
        <v>17</v>
      </c>
      <c r="H13" s="932"/>
      <c r="I13" s="505">
        <v>5</v>
      </c>
      <c r="J13" s="506">
        <v>43</v>
      </c>
      <c r="K13" s="675">
        <f>'Tyre&amp;Fuel'!M36</f>
        <v>63.088051037996152</v>
      </c>
      <c r="L13" s="936" t="s">
        <v>65</v>
      </c>
      <c r="M13" s="931"/>
      <c r="N13" s="931"/>
      <c r="O13" s="38"/>
      <c r="P13" s="7"/>
      <c r="Q13" s="931" t="s">
        <v>66</v>
      </c>
      <c r="R13" s="931"/>
      <c r="S13" s="40">
        <v>3</v>
      </c>
      <c r="T13" s="40">
        <v>7</v>
      </c>
      <c r="U13" s="7"/>
      <c r="V13" s="7"/>
      <c r="W13" s="7"/>
      <c r="X13" s="7"/>
      <c r="Y13" s="7"/>
      <c r="Z13" s="7"/>
      <c r="AA13" s="7"/>
      <c r="AB13" s="7"/>
      <c r="AC13" s="697" t="s">
        <v>48</v>
      </c>
      <c r="AD13" s="928" t="str">
        <f>HLOOKUP(AB15,Tables!AM2:AO9,8,0)</f>
        <v>Você irá correr com setup 75% chuva.</v>
      </c>
      <c r="AE13" s="698">
        <f>IF(AB15="75% Dry",Tables!AO3,IF(AB15="75% Wet",Tables!AN3,Tables!AM3))</f>
        <v>543.25</v>
      </c>
      <c r="AF13" s="4"/>
      <c r="AG13" s="4"/>
      <c r="AH13" s="4"/>
      <c r="AI13" s="4"/>
      <c r="AJ13" s="4"/>
      <c r="AK13" s="4"/>
    </row>
    <row r="14" spans="1:37" ht="14.25" customHeight="1" x14ac:dyDescent="0.3">
      <c r="B14" s="931" t="s">
        <v>20</v>
      </c>
      <c r="C14" s="931"/>
      <c r="D14" s="931"/>
      <c r="E14" s="25">
        <v>0</v>
      </c>
      <c r="F14" s="9"/>
      <c r="G14" s="932" t="s">
        <v>19</v>
      </c>
      <c r="H14" s="932"/>
      <c r="I14" s="505">
        <v>5</v>
      </c>
      <c r="J14" s="506">
        <v>51</v>
      </c>
      <c r="K14" s="675">
        <f>'Tyre&amp;Fuel'!M37</f>
        <v>83.727007924296117</v>
      </c>
      <c r="L14" s="936" t="s">
        <v>9</v>
      </c>
      <c r="M14" s="931"/>
      <c r="N14" s="931"/>
      <c r="O14" s="38"/>
      <c r="P14" s="7"/>
      <c r="Q14" s="931" t="s">
        <v>67</v>
      </c>
      <c r="R14" s="931"/>
      <c r="S14" s="540">
        <v>2</v>
      </c>
      <c r="T14" s="540">
        <v>4</v>
      </c>
      <c r="U14" s="7"/>
      <c r="V14" s="7"/>
      <c r="W14" s="7"/>
      <c r="X14" s="7"/>
      <c r="Y14" s="7"/>
      <c r="Z14" s="7"/>
      <c r="AA14" s="7"/>
      <c r="AB14" s="681" t="s">
        <v>828</v>
      </c>
      <c r="AC14" s="682" t="s">
        <v>51</v>
      </c>
      <c r="AD14" s="929"/>
      <c r="AE14" s="683">
        <f>IF(AB15="75% Dry",Tables!AO4,IF(AB15="75% Wet",Tables!AN4,Tables!AM4))</f>
        <v>365.25</v>
      </c>
      <c r="AF14" s="4"/>
      <c r="AG14" s="4"/>
      <c r="AH14" s="4"/>
      <c r="AI14" s="4"/>
      <c r="AJ14" s="4"/>
      <c r="AK14" s="4"/>
    </row>
    <row r="15" spans="1:37" ht="14.25" customHeight="1" thickBot="1" x14ac:dyDescent="0.35">
      <c r="B15" s="931" t="s">
        <v>68</v>
      </c>
      <c r="C15" s="931"/>
      <c r="D15" s="931"/>
      <c r="E15" s="25">
        <v>60</v>
      </c>
      <c r="F15" s="9"/>
      <c r="G15" s="932" t="s">
        <v>21</v>
      </c>
      <c r="H15" s="932"/>
      <c r="I15" s="505">
        <v>5</v>
      </c>
      <c r="J15" s="506">
        <v>97</v>
      </c>
      <c r="K15" s="675">
        <f>'Tyre&amp;Fuel'!M38</f>
        <v>117.14849652757889</v>
      </c>
      <c r="L15" s="920" t="s">
        <v>69</v>
      </c>
      <c r="M15" s="921"/>
      <c r="N15" s="921"/>
      <c r="O15" s="41"/>
      <c r="P15" s="7"/>
      <c r="Q15" s="921" t="s">
        <v>70</v>
      </c>
      <c r="R15" s="921"/>
      <c r="S15" s="541">
        <v>1</v>
      </c>
      <c r="T15" s="541">
        <v>3</v>
      </c>
      <c r="U15" s="7"/>
      <c r="V15" s="7"/>
      <c r="W15" s="7"/>
      <c r="X15" s="7"/>
      <c r="Y15" s="7"/>
      <c r="Z15" s="7"/>
      <c r="AA15" s="7"/>
      <c r="AB15" s="684" t="s">
        <v>848</v>
      </c>
      <c r="AC15" s="682" t="s">
        <v>6</v>
      </c>
      <c r="AD15" s="929"/>
      <c r="AE15" s="683">
        <f>IF(AB15="75% Dry",Tables!AO5,IF(AB15="75% Wet",Tables!AN5,Tables!AM5))</f>
        <v>731</v>
      </c>
      <c r="AF15" s="4"/>
      <c r="AG15" s="4"/>
      <c r="AH15" s="4"/>
      <c r="AI15" s="4"/>
      <c r="AJ15" s="4"/>
      <c r="AK15" s="4"/>
    </row>
    <row r="16" spans="1:37" ht="14.25" customHeight="1" thickBot="1" x14ac:dyDescent="0.35">
      <c r="B16" s="933" t="s">
        <v>71</v>
      </c>
      <c r="C16" s="933"/>
      <c r="D16" s="933"/>
      <c r="E16" s="42">
        <v>22</v>
      </c>
      <c r="F16" s="9"/>
      <c r="G16" s="934" t="s">
        <v>22</v>
      </c>
      <c r="H16" s="934"/>
      <c r="I16" s="536">
        <v>5</v>
      </c>
      <c r="J16" s="506">
        <v>44</v>
      </c>
      <c r="K16" s="675">
        <f>'Tyre&amp;Fuel'!M39</f>
        <v>55.699127016013549</v>
      </c>
      <c r="L16" s="935" t="s">
        <v>72</v>
      </c>
      <c r="M16" s="911"/>
      <c r="N16" s="911"/>
      <c r="O16" s="911"/>
      <c r="P16" s="7" t="s">
        <v>73</v>
      </c>
      <c r="Q16" s="34"/>
      <c r="R16" s="7"/>
      <c r="S16" s="7"/>
      <c r="T16" s="7"/>
      <c r="U16" s="7" t="s">
        <v>74</v>
      </c>
      <c r="V16" s="7"/>
      <c r="W16" s="7"/>
      <c r="X16" s="7"/>
      <c r="Y16" s="7"/>
      <c r="Z16" s="7"/>
      <c r="AA16" s="43"/>
      <c r="AB16" s="7"/>
      <c r="AC16" s="682" t="s">
        <v>19</v>
      </c>
      <c r="AD16" s="929"/>
      <c r="AE16" s="683">
        <f>IF(AB15="75% Dry",Tables!AO6,IF(AB15="75% Wet",Tables!AN6,Tables!AM6))</f>
        <v>231.75</v>
      </c>
      <c r="AF16" s="4"/>
      <c r="AG16" s="4"/>
      <c r="AH16" s="4"/>
      <c r="AI16" s="4"/>
      <c r="AJ16" s="4"/>
      <c r="AK16" s="4"/>
    </row>
    <row r="17" spans="1:48" ht="14.25" customHeight="1" thickBot="1" x14ac:dyDescent="0.35">
      <c r="B17" s="915" t="s">
        <v>75</v>
      </c>
      <c r="C17" s="915"/>
      <c r="D17" s="915"/>
      <c r="E17" s="542">
        <v>100</v>
      </c>
      <c r="F17" s="9"/>
      <c r="G17" s="916" t="s">
        <v>894</v>
      </c>
      <c r="H17" s="917"/>
      <c r="I17" s="736"/>
      <c r="J17" s="736"/>
      <c r="K17" s="746" t="str">
        <f>'Tyre&amp;Fuel'!K27</f>
        <v>No</v>
      </c>
      <c r="L17" s="918" t="s">
        <v>76</v>
      </c>
      <c r="M17" s="919"/>
      <c r="N17" s="919"/>
      <c r="O17" s="35">
        <v>10</v>
      </c>
      <c r="P17" s="7"/>
      <c r="Q17" s="3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682" t="s">
        <v>59</v>
      </c>
      <c r="AD17" s="929"/>
      <c r="AE17" s="683">
        <f>IF(AB15="75% Dry",Tables!AO7,IF(AB15="75% Wet",Tables!AN7,Tables!AM7))</f>
        <v>677.5</v>
      </c>
      <c r="AF17" s="44"/>
      <c r="AG17" s="4"/>
      <c r="AH17" s="4"/>
      <c r="AI17" s="4"/>
      <c r="AJ17" s="4"/>
      <c r="AK17" s="4"/>
    </row>
    <row r="18" spans="1:48" ht="14.25" customHeight="1" thickBot="1" x14ac:dyDescent="0.35">
      <c r="A18" s="538"/>
      <c r="B18" s="543"/>
      <c r="C18" s="537"/>
      <c r="D18" s="537"/>
      <c r="E18" s="539"/>
      <c r="F18" s="9"/>
      <c r="G18" s="927" t="s">
        <v>820</v>
      </c>
      <c r="H18" s="927"/>
      <c r="I18" s="582">
        <v>0</v>
      </c>
      <c r="J18" s="587">
        <f>VLOOKUP(I18,Tables!AC10:AD13,2,0)*'Tyre&amp;Fuel'!I30+'Tyre&amp;Fuel'!I30</f>
        <v>38.94249412730376</v>
      </c>
      <c r="K18" s="586">
        <f>IF(K17="Yes",'Tyre&amp;Fuel'!L30,'Tyre&amp;Fuel'!H30)+J18-IF(R5="Rafaela Oval xx",'Tyre&amp;Fuel'!I30*0.11,0)</f>
        <v>102.94249412730376</v>
      </c>
      <c r="L18" s="920" t="s">
        <v>5</v>
      </c>
      <c r="M18" s="921"/>
      <c r="N18" s="921"/>
      <c r="O18" s="41">
        <v>10</v>
      </c>
      <c r="P18" s="45"/>
      <c r="Q18" s="46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685" t="s">
        <v>62</v>
      </c>
      <c r="AD18" s="930"/>
      <c r="AE18" s="686">
        <f>IF(AB15="75% Dry",Tables!AO8,IF(AB15="75% Wet",Tables!AN8,Tables!AM8))</f>
        <v>554</v>
      </c>
      <c r="AF18" s="48"/>
      <c r="AG18" s="49"/>
      <c r="AH18" s="49"/>
      <c r="AI18" s="49"/>
      <c r="AJ18" s="49"/>
      <c r="AK18" s="49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</row>
    <row r="19" spans="1:48" ht="14.25" customHeight="1" thickBot="1" x14ac:dyDescent="0.35">
      <c r="F19" s="9"/>
      <c r="K19" s="9"/>
      <c r="Q19" s="51"/>
      <c r="R19" s="9"/>
      <c r="AF19" s="4"/>
      <c r="AG19" s="4"/>
      <c r="AH19" s="4"/>
      <c r="AJ19" s="4"/>
      <c r="AK19" s="4"/>
    </row>
    <row r="20" spans="1:48" ht="21" customHeight="1" thickBot="1" x14ac:dyDescent="0.35">
      <c r="B20" s="926" t="s">
        <v>77</v>
      </c>
      <c r="C20" s="926"/>
      <c r="D20" s="926"/>
      <c r="E20" s="926"/>
      <c r="F20" s="926"/>
      <c r="G20" s="926"/>
      <c r="H20" s="926"/>
      <c r="I20" s="926"/>
      <c r="J20" s="926"/>
      <c r="K20" s="926"/>
      <c r="L20" s="926"/>
      <c r="M20" s="926"/>
      <c r="N20" s="926"/>
      <c r="O20" s="926"/>
      <c r="P20" s="926"/>
      <c r="Q20" s="926"/>
      <c r="R20" s="926"/>
      <c r="S20" s="926"/>
      <c r="T20" s="926"/>
      <c r="U20" s="926"/>
      <c r="V20" s="926"/>
      <c r="W20" s="926"/>
      <c r="X20" s="926"/>
      <c r="Y20" s="926"/>
      <c r="Z20" s="926"/>
      <c r="AA20" s="926"/>
      <c r="AB20" s="926"/>
      <c r="AC20" s="926"/>
      <c r="AD20" s="926"/>
      <c r="AE20" s="926"/>
    </row>
    <row r="21" spans="1:48" ht="3" customHeight="1" thickBot="1" x14ac:dyDescent="0.35">
      <c r="B21" s="5"/>
      <c r="C21" s="6"/>
      <c r="D21" s="6"/>
      <c r="E21" s="7"/>
      <c r="F21" s="9"/>
      <c r="G21" s="34"/>
      <c r="H21" s="34"/>
      <c r="I21" s="34"/>
      <c r="J21" s="34"/>
      <c r="K21" s="9"/>
      <c r="L21" s="6"/>
      <c r="M21" s="6"/>
      <c r="N21" s="6"/>
      <c r="O21" s="7"/>
      <c r="P21" s="7"/>
      <c r="Q21" s="34"/>
      <c r="R21" s="9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</row>
    <row r="22" spans="1:48" ht="14.25" customHeight="1" thickBot="1" x14ac:dyDescent="0.35">
      <c r="B22" s="911" t="s">
        <v>35</v>
      </c>
      <c r="C22" s="911"/>
      <c r="D22" s="911"/>
      <c r="E22" s="911"/>
      <c r="F22" s="911"/>
      <c r="G22" s="6"/>
      <c r="H22" s="911" t="s">
        <v>78</v>
      </c>
      <c r="I22" s="911"/>
      <c r="J22" s="911"/>
      <c r="K22" s="911"/>
      <c r="L22" s="911"/>
      <c r="M22" s="911"/>
      <c r="N22" s="911"/>
      <c r="O22" s="911"/>
      <c r="P22" s="911"/>
      <c r="Q22" s="911"/>
      <c r="R22" s="911"/>
      <c r="S22" s="911"/>
      <c r="T22" s="7"/>
      <c r="U22" s="911" t="s">
        <v>79</v>
      </c>
      <c r="V22" s="911"/>
      <c r="W22" s="911"/>
      <c r="X22" s="7"/>
      <c r="Y22" s="911" t="s">
        <v>80</v>
      </c>
      <c r="Z22" s="911"/>
      <c r="AA22" s="911"/>
      <c r="AB22" s="7"/>
      <c r="AC22" s="7"/>
      <c r="AD22" s="7"/>
      <c r="AE22" s="8"/>
    </row>
    <row r="23" spans="1:48" ht="14.25" customHeight="1" thickBot="1" x14ac:dyDescent="0.35">
      <c r="B23" s="12" t="s">
        <v>37</v>
      </c>
      <c r="C23" s="14" t="s">
        <v>28</v>
      </c>
      <c r="D23" s="14" t="s">
        <v>81</v>
      </c>
      <c r="E23" s="52" t="s">
        <v>29</v>
      </c>
      <c r="F23" s="12" t="s">
        <v>82</v>
      </c>
      <c r="G23" s="6"/>
      <c r="H23" s="923" t="s">
        <v>37</v>
      </c>
      <c r="I23" s="924" t="s">
        <v>83</v>
      </c>
      <c r="J23" s="913" t="s">
        <v>23</v>
      </c>
      <c r="K23" s="913"/>
      <c r="L23" s="913"/>
      <c r="M23" s="913" t="s">
        <v>32</v>
      </c>
      <c r="N23" s="913"/>
      <c r="O23" s="913"/>
      <c r="P23" s="925" t="s">
        <v>33</v>
      </c>
      <c r="Q23" s="913" t="s">
        <v>84</v>
      </c>
      <c r="R23" s="913"/>
      <c r="S23" s="913"/>
      <c r="T23" s="7"/>
      <c r="U23" s="13" t="s">
        <v>37</v>
      </c>
      <c r="V23" s="53" t="s">
        <v>85</v>
      </c>
      <c r="W23" s="22" t="s">
        <v>86</v>
      </c>
      <c r="X23" s="7"/>
      <c r="Y23" s="21" t="s">
        <v>43</v>
      </c>
      <c r="Z23" s="53" t="s">
        <v>44</v>
      </c>
      <c r="AA23" s="22" t="s">
        <v>1</v>
      </c>
      <c r="AB23" s="7"/>
      <c r="AC23" s="7"/>
      <c r="AD23" s="7"/>
      <c r="AE23" s="8"/>
    </row>
    <row r="24" spans="1:48" ht="14.25" customHeight="1" thickBot="1" x14ac:dyDescent="0.35">
      <c r="B24" s="18" t="s">
        <v>48</v>
      </c>
      <c r="C24" s="54">
        <f>ROUND($Q$25,0)-IF($O$14=0,$V24/2,$W24/2)</f>
        <v>446</v>
      </c>
      <c r="D24" s="55">
        <f>ROUND(Q25+Y24,0)</f>
        <v>585</v>
      </c>
      <c r="E24" s="56">
        <f>ROUND($Q$25,0)+IF($O$14=0,$V24/2,$W24/2)</f>
        <v>548</v>
      </c>
      <c r="F24" s="909" t="s">
        <v>43</v>
      </c>
      <c r="G24" s="6"/>
      <c r="H24" s="923"/>
      <c r="I24" s="924"/>
      <c r="J24" s="57" t="s">
        <v>43</v>
      </c>
      <c r="K24" s="58" t="s">
        <v>44</v>
      </c>
      <c r="L24" s="59" t="s">
        <v>1</v>
      </c>
      <c r="M24" s="57" t="s">
        <v>43</v>
      </c>
      <c r="N24" s="58" t="s">
        <v>44</v>
      </c>
      <c r="O24" s="59" t="s">
        <v>1</v>
      </c>
      <c r="P24" s="925"/>
      <c r="Q24" s="21" t="s">
        <v>43</v>
      </c>
      <c r="R24" s="53" t="s">
        <v>44</v>
      </c>
      <c r="S24" s="22" t="s">
        <v>1</v>
      </c>
      <c r="T24" s="7"/>
      <c r="U24" s="60" t="s">
        <v>87</v>
      </c>
      <c r="V24" s="61">
        <f>ROUND($E$9*-0.051+$E$10*-0.153+67.594,0)*2+2</f>
        <v>102</v>
      </c>
      <c r="W24" s="62">
        <f>MAX(2,ROUND($E$9*-0.051+$E$10*-0.153+69.592+$O$14*-0.031+$O$13*-0.203,0)*2)</f>
        <v>104</v>
      </c>
      <c r="X24" s="7"/>
      <c r="Y24" s="63">
        <f>VLOOKUP($R$5,Tracks!$A$4:$Y$886,25,0)+$E$7*-0.246534498671854+3.69107049712848*($I$8+$I$9)/2+$Q$25*-0.189968386659174+$R$7*0.376337780506523+IF($T$7="Wet",58.8818967363256,0)</f>
        <v>88.103078839719387</v>
      </c>
      <c r="Z24" s="64">
        <f>VLOOKUP($R$5,Tracks!$A$4:$Y$886,25,0)+$E$7*-0.246534498671854+3.69107049712848*($I$8+$I$9)/2+$R$25*-0.189968386659174+$R$8*0.376337780506523+IF($T$8="Wet",58.8818967363256,0)</f>
        <v>63.415877139269639</v>
      </c>
      <c r="AA24" s="65">
        <f>VLOOKUP($R$5,Tracks!$A$4:$Y$886,25,0)+$E$7*-0.246534498671854+3.69107049712848*($I$8+$I$9)/2+$S$25*-0.189968386659174+$R$9*0.376337780506523+IF($T$9="Wet",58.8818967363256,0)</f>
        <v>88.628510875949061</v>
      </c>
      <c r="AB24" s="7"/>
      <c r="AC24" s="7"/>
      <c r="AD24" s="7"/>
      <c r="AE24" s="8"/>
      <c r="AG24" s="66"/>
    </row>
    <row r="25" spans="1:48" ht="14.25" customHeight="1" thickBot="1" x14ac:dyDescent="0.35">
      <c r="B25" s="24" t="s">
        <v>51</v>
      </c>
      <c r="C25" s="67">
        <f>ROUND($Q$25,0)-IF($O$14=0,$V24/2,$W24/2)</f>
        <v>446</v>
      </c>
      <c r="D25" s="68">
        <f>ROUND(Q25-Y24,0)</f>
        <v>409</v>
      </c>
      <c r="E25" s="69">
        <f>ROUND($Q$25,0)+IF($O$14=0,$V24/2,$W24/2)</f>
        <v>548</v>
      </c>
      <c r="F25" s="909"/>
      <c r="G25" s="6"/>
      <c r="H25" s="60" t="s">
        <v>87</v>
      </c>
      <c r="I25" s="70">
        <f>VLOOKUP($R$5,Tracks!$A$4:$W$886,19,0)*2</f>
        <v>712</v>
      </c>
      <c r="J25" s="71">
        <f>IF($T$7="Dry",Tables!D4*$R$7,Tables!B4*$R$7+Tables!C4)*2</f>
        <v>544</v>
      </c>
      <c r="K25" s="72">
        <f>IF($T$8="Dry",Tables!D4*$R$8,Tables!B4*$R$8+Tables!C4)*2</f>
        <v>61</v>
      </c>
      <c r="L25" s="73">
        <f>IF($T$9="Dry",Tables!D4*$R$9,Tables!B4*$R$9+Tables!C4)*2</f>
        <v>548.5</v>
      </c>
      <c r="M25" s="71">
        <f>($E$7*FLOOR(($I$25+J25),1)*(-0.001349079032746))*IF($R$5&lt;&gt;"Indianapolis Oval",1,0.39)</f>
        <v>-350.74975588169804</v>
      </c>
      <c r="N25" s="72">
        <f>($E$7*FLOOR(($I$25+K25),1)*(-0.001349079032746))*IF($R$5&lt;&gt;"Indianapolis Oval",1,0.39)</f>
        <v>-215.86748510872019</v>
      </c>
      <c r="O25" s="73">
        <f>($E$7*FLOOR(($I$25+L25),1)*(-0.001349079032746))*IF($R$5&lt;&gt;"Indianapolis Oval",1,0.39)</f>
        <v>-351.86679332081172</v>
      </c>
      <c r="P25" s="74">
        <f>Tables!N13+Tables!N19</f>
        <v>89.17000000000003</v>
      </c>
      <c r="Q25" s="75">
        <f>(I25+J25+M25+P25)/2</f>
        <v>497.21012205915099</v>
      </c>
      <c r="R25" s="76">
        <f>(I25+K25+N25+P25)/2</f>
        <v>323.15125744563994</v>
      </c>
      <c r="S25" s="77">
        <f>(I25+L25+O25+P25)/2</f>
        <v>498.9016033395942</v>
      </c>
      <c r="T25" s="7"/>
      <c r="U25" s="60" t="s">
        <v>6</v>
      </c>
      <c r="V25" s="61">
        <f>ROUND($E$9*-0.051+$E$10*-0.153+67.594,0)*2</f>
        <v>100</v>
      </c>
      <c r="W25" s="78">
        <f>MAX(2,ROUND($E$9*-0.051+$E$10*-0.153+69.592+$O$14*-0.031+$O$11*-0.076+$O$12*-0.123,0)*2)</f>
        <v>104</v>
      </c>
      <c r="X25" s="7"/>
      <c r="Y25" s="7"/>
      <c r="Z25" s="7"/>
      <c r="AA25" s="7"/>
      <c r="AB25" s="7"/>
      <c r="AC25" s="7"/>
      <c r="AD25" s="7"/>
      <c r="AE25" s="8"/>
    </row>
    <row r="26" spans="1:48" ht="14.25" customHeight="1" thickBot="1" x14ac:dyDescent="0.35">
      <c r="B26" s="24" t="s">
        <v>6</v>
      </c>
      <c r="C26" s="67">
        <f>D26-IF($O$14=0,$V25/2,$W25/2)</f>
        <v>632</v>
      </c>
      <c r="D26" s="68">
        <f>ROUND(Q26,0)</f>
        <v>682</v>
      </c>
      <c r="E26" s="69">
        <f>D26+IF($O$14=0,$V25/2,$W25/2)</f>
        <v>732</v>
      </c>
      <c r="F26" s="909"/>
      <c r="G26" s="6"/>
      <c r="H26" s="60" t="s">
        <v>6</v>
      </c>
      <c r="I26" s="70">
        <f>VLOOKUP($R$5,Tracks!$A$4:$W$886,20,0)</f>
        <v>732.68499999999995</v>
      </c>
      <c r="J26" s="75">
        <f>IF($T$7="Dry",Tables!D5*$R$7,Tables!B5*$R$7+Tables!C5)</f>
        <v>-188.6</v>
      </c>
      <c r="K26" s="76">
        <f>IF($T$8="Dry",Tables!D5*$R$8,Tables!B5*$R$8+Tables!C5)</f>
        <v>-15</v>
      </c>
      <c r="L26" s="77">
        <f>IF($T$9="Dry",Tables!D5*$R$9,Tables!B5*$R$9+Tables!C5)</f>
        <v>-187.02500000000001</v>
      </c>
      <c r="M26" s="75">
        <f>Tables!$G$28+($E$9*(($I$26+J26)*0.001655723+0.0469416263186552))*IF($R$5&lt;&gt;"Indianapolis Oval",1,0.39)</f>
        <v>56.712478214818461</v>
      </c>
      <c r="N26" s="76">
        <f>(Tables!$G$28+$E$9*(($I$26+K26)*0.001655723+0.0469416263186552))*IF($R$5&lt;&gt;"Indianapolis Oval",1,0.39)</f>
        <v>70.509286829218468</v>
      </c>
      <c r="O26" s="77">
        <f>(Tables!$G$28+$E$9*(($I$26+L26)*0.001655723+0.0469416263186552))*IF($R$5&lt;&gt;"Indianapolis Oval",1,0.39)</f>
        <v>56.837650873618465</v>
      </c>
      <c r="P26" s="74">
        <f>Tables!N14+Tables!N20</f>
        <v>81.06</v>
      </c>
      <c r="Q26" s="75">
        <f>I26+J26+M26+P26</f>
        <v>681.85747821481846</v>
      </c>
      <c r="R26" s="76">
        <f>I26+K26+N26+P26</f>
        <v>869.25428682921847</v>
      </c>
      <c r="S26" s="77">
        <f>I26+L26+O26+P26</f>
        <v>683.55765087361851</v>
      </c>
      <c r="T26" s="7"/>
      <c r="U26" s="60" t="s">
        <v>19</v>
      </c>
      <c r="V26" s="79">
        <f>ROUND($E$9*-0.051+$E$10*-0.153+67.594,0)*2</f>
        <v>100</v>
      </c>
      <c r="W26" s="78">
        <f>MAX(2,ROUND($E$9*-0.051+$E$10*-0.153+69.592+$O$14*-0.031+$O$11*-0.12+$O$12*-0.075,0)*2)</f>
        <v>104</v>
      </c>
      <c r="X26" s="7"/>
      <c r="Y26" s="7"/>
      <c r="Z26" s="7"/>
      <c r="AA26" s="7"/>
      <c r="AB26" s="7"/>
      <c r="AC26" s="7"/>
      <c r="AD26" s="7"/>
      <c r="AE26" s="8"/>
    </row>
    <row r="27" spans="1:48" ht="14.25" customHeight="1" thickBot="1" x14ac:dyDescent="0.35">
      <c r="B27" s="24" t="s">
        <v>19</v>
      </c>
      <c r="C27" s="67">
        <f>D27-IF($O$14=0,$V26/2,$W26/2)</f>
        <v>197</v>
      </c>
      <c r="D27" s="68">
        <f>ROUND(Q27,0)</f>
        <v>247</v>
      </c>
      <c r="E27" s="69">
        <f>D27+IF($O$14=0,$V26/2,$W26/2)</f>
        <v>297</v>
      </c>
      <c r="F27" s="909"/>
      <c r="G27" s="6"/>
      <c r="H27" s="60" t="s">
        <v>19</v>
      </c>
      <c r="I27" s="70">
        <f>VLOOKUP($R$5,Tracks!$A$4:$W$886,21,0)</f>
        <v>301.29199999999997</v>
      </c>
      <c r="J27" s="75">
        <f>IF($T$7="Dry",Tables!D6*$R$7,Tables!B6*$R$7+Tables!C6)</f>
        <v>113.50934331515241</v>
      </c>
      <c r="K27" s="76">
        <f>IF($T$8="Dry",Tables!D6*$R$8,Tables!B6*$R$8+Tables!C6)</f>
        <v>30</v>
      </c>
      <c r="L27" s="77">
        <f>IF($T$9="Dry",Tables!D6*$R$9,Tables!B6*$R$9+Tables!C6)</f>
        <v>122.48318805830849</v>
      </c>
      <c r="M27" s="75">
        <f>Tables!G29</f>
        <v>-103.086</v>
      </c>
      <c r="N27" s="76">
        <f>Tables!G29</f>
        <v>-103.086</v>
      </c>
      <c r="O27" s="77">
        <f>Tables!G29</f>
        <v>-103.086</v>
      </c>
      <c r="P27" s="74">
        <f>Tables!N15+Tables!N21</f>
        <v>-64.88</v>
      </c>
      <c r="Q27" s="75">
        <f>I27+J27+M27+P27</f>
        <v>246.83534331515239</v>
      </c>
      <c r="R27" s="76">
        <f>I27+K27+N27+P27</f>
        <v>163.32599999999996</v>
      </c>
      <c r="S27" s="77">
        <f>I27+L27+O27+P27</f>
        <v>255.80918805830845</v>
      </c>
      <c r="T27" s="7"/>
      <c r="U27" s="60" t="s">
        <v>17</v>
      </c>
      <c r="V27" s="79">
        <f>ROUND($E$9*-0.051+$E$10*-0.153+67.594,0)*2</f>
        <v>100</v>
      </c>
      <c r="W27" s="78">
        <f>MAX(2,ROUND($E$9*-0.051+$E$10*-0.153+69.594+$O$14*-0.031+$O$11*-0.0418+$O$12*-0.157,0)*2)</f>
        <v>104</v>
      </c>
      <c r="X27" s="7"/>
      <c r="Y27" s="7"/>
      <c r="Z27" s="7"/>
      <c r="AA27" s="7"/>
      <c r="AB27" s="7"/>
      <c r="AC27" s="7"/>
      <c r="AD27" s="7"/>
      <c r="AE27" s="8"/>
    </row>
    <row r="28" spans="1:48" ht="14.25" customHeight="1" thickBot="1" x14ac:dyDescent="0.35">
      <c r="B28" s="24" t="s">
        <v>59</v>
      </c>
      <c r="C28" s="67">
        <f>D28-IF($O$14=0,$V27/2,$W27/2)</f>
        <v>640</v>
      </c>
      <c r="D28" s="68">
        <f>ROUND(Q28,0)</f>
        <v>690</v>
      </c>
      <c r="E28" s="69">
        <f>D28+IF($O$14=0,$V27/2,$W27/2)</f>
        <v>740</v>
      </c>
      <c r="F28" s="909"/>
      <c r="G28" s="6"/>
      <c r="H28" s="60" t="s">
        <v>17</v>
      </c>
      <c r="I28" s="70">
        <f>VLOOKUP($R$5,Tracks!$A$4:$W$886,22,0)</f>
        <v>784.49400000000003</v>
      </c>
      <c r="J28" s="75">
        <f>IF($T$7="Dry",Tables!D7*$R$7,Tables!B7*$R$7+Tables!C7)</f>
        <v>-20.78264006657616</v>
      </c>
      <c r="K28" s="76">
        <f>IF($T$8="Dry",Tables!D7*$R$8,Tables!B7*$R$8+Tables!C7)</f>
        <v>-20</v>
      </c>
      <c r="L28" s="77">
        <f>IF($T$9="Dry",Tables!D7*$R$9,Tables!B7*$R$9+Tables!C7)</f>
        <v>-38.827559474988448</v>
      </c>
      <c r="M28" s="75">
        <f>Tables!G30</f>
        <v>45.5</v>
      </c>
      <c r="N28" s="76">
        <f>Tables!G30</f>
        <v>45.5</v>
      </c>
      <c r="O28" s="77">
        <f>Tables!G30</f>
        <v>45.5</v>
      </c>
      <c r="P28" s="74">
        <f>Tables!N16+Tables!N22</f>
        <v>-119.28999999999999</v>
      </c>
      <c r="Q28" s="75">
        <f>I28+J28+M28+P28</f>
        <v>689.9213599334239</v>
      </c>
      <c r="R28" s="76">
        <f>I28+K28+N28+P28</f>
        <v>690.70400000000006</v>
      </c>
      <c r="S28" s="77">
        <f>I28+L28+O28+P28</f>
        <v>671.87644052501162</v>
      </c>
      <c r="T28" s="7"/>
      <c r="U28" s="80" t="s">
        <v>62</v>
      </c>
      <c r="V28" s="81">
        <f>ROUND($E$9*-0.051+$E$10*-0.153+67.594,0)*2</f>
        <v>100</v>
      </c>
      <c r="W28" s="82">
        <f>MAX(2,ROUND($E$9*-0.051+$E$10*-0.153+69.594+$O$14*-0.031+$O$11*-0.134+$O$13*-0.061,0)*2)</f>
        <v>104</v>
      </c>
      <c r="X28" s="7"/>
      <c r="Y28" s="7"/>
      <c r="Z28" s="7"/>
      <c r="AA28" s="7"/>
      <c r="AB28" s="7"/>
      <c r="AC28" s="7"/>
      <c r="AD28" s="7"/>
      <c r="AE28" s="8"/>
    </row>
    <row r="29" spans="1:48" ht="14.25" customHeight="1" thickBot="1" x14ac:dyDescent="0.35">
      <c r="B29" s="31" t="s">
        <v>62</v>
      </c>
      <c r="C29" s="83">
        <f>D29-IF($O$14=0,$V28/2,$W28/2)</f>
        <v>448</v>
      </c>
      <c r="D29" s="84">
        <f>ROUND(Q29,0)</f>
        <v>498</v>
      </c>
      <c r="E29" s="85">
        <f>D29+IF($O$14=0,$V28/2,$W28/2)</f>
        <v>548</v>
      </c>
      <c r="F29" s="909"/>
      <c r="G29" s="6"/>
      <c r="H29" s="80" t="s">
        <v>62</v>
      </c>
      <c r="I29" s="86">
        <f>VLOOKUP($R$5,Tracks!$A$4:$W$886,23,0)</f>
        <v>576.08399999999995</v>
      </c>
      <c r="J29" s="87">
        <f>IF($T$7="Dry",Tables!D8*$R$7,Tables!B8*$R$7+Tables!C8)</f>
        <v>-259</v>
      </c>
      <c r="K29" s="64">
        <f>IF($T$8="Dry",Tables!D8*$R$8,Tables!B8*$R$8+Tables!C8)</f>
        <v>-30</v>
      </c>
      <c r="L29" s="65">
        <f>IF($T$9="Dry",Tables!D8*$R$9,Tables!B8*$R$9+Tables!C8)</f>
        <v>-261.25</v>
      </c>
      <c r="M29" s="87">
        <f>Tables!G31</f>
        <v>166.78</v>
      </c>
      <c r="N29" s="64">
        <f>Tables!G31</f>
        <v>166.78</v>
      </c>
      <c r="O29" s="65">
        <f>Tables!G31</f>
        <v>166.78</v>
      </c>
      <c r="P29" s="88">
        <f>Tables!N17+Tables!N23</f>
        <v>13.800000000000026</v>
      </c>
      <c r="Q29" s="87">
        <f>I29+J29+M29+P29</f>
        <v>497.66399999999993</v>
      </c>
      <c r="R29" s="64">
        <f>I29+K29+N29+P29</f>
        <v>726.66399999999999</v>
      </c>
      <c r="S29" s="65">
        <f>I29+L29+O29+P29</f>
        <v>495.41399999999993</v>
      </c>
      <c r="T29" s="7"/>
      <c r="U29" s="7"/>
      <c r="V29" s="7"/>
      <c r="W29" s="7"/>
      <c r="X29" s="7"/>
      <c r="Y29" s="34"/>
      <c r="Z29" s="7"/>
      <c r="AA29" s="7"/>
      <c r="AB29" s="7"/>
      <c r="AC29" s="7"/>
      <c r="AD29" s="7"/>
      <c r="AE29" s="8"/>
    </row>
    <row r="30" spans="1:48" ht="14.25" customHeight="1" thickBot="1" x14ac:dyDescent="0.35">
      <c r="B30" s="89"/>
      <c r="C30" s="34"/>
      <c r="D30" s="34"/>
      <c r="E30" s="34"/>
      <c r="F30" s="34"/>
      <c r="G30" s="6"/>
      <c r="H30" s="6"/>
      <c r="I30" s="6"/>
      <c r="J30" s="6"/>
      <c r="K30" s="9"/>
      <c r="L30" s="6"/>
      <c r="M30" s="6"/>
      <c r="N30" s="6"/>
      <c r="O30" s="7"/>
      <c r="P30" s="7"/>
      <c r="Q30" s="7"/>
      <c r="R30" s="34"/>
      <c r="S30" s="7"/>
      <c r="T30" s="7"/>
      <c r="U30" s="7"/>
      <c r="V30" s="7"/>
      <c r="W30" s="7"/>
      <c r="X30" s="7"/>
      <c r="Y30" s="34"/>
      <c r="Z30" s="7"/>
      <c r="AA30" s="7"/>
      <c r="AB30" s="7"/>
      <c r="AC30" s="7"/>
      <c r="AD30" s="7"/>
      <c r="AE30" s="8"/>
    </row>
    <row r="31" spans="1:48" ht="14.25" customHeight="1" thickBot="1" x14ac:dyDescent="0.35">
      <c r="B31" s="18" t="s">
        <v>48</v>
      </c>
      <c r="C31" s="90">
        <f>ROUND($R$25,0)-IF($O$14=0,$V24/2,$W24/2)</f>
        <v>272</v>
      </c>
      <c r="D31" s="91">
        <f>ROUND(R25+Z24,0)</f>
        <v>387</v>
      </c>
      <c r="E31" s="92">
        <f>ROUND($R$25,0)+IF($O$14=0,$V24/2,$W24/2)</f>
        <v>374</v>
      </c>
      <c r="F31" s="909" t="s">
        <v>44</v>
      </c>
      <c r="G31" s="6"/>
      <c r="H31" s="914" t="s">
        <v>88</v>
      </c>
      <c r="I31" s="914"/>
      <c r="J31" s="914"/>
      <c r="K31" s="914"/>
      <c r="L31" s="6"/>
      <c r="M31" s="911" t="s">
        <v>89</v>
      </c>
      <c r="N31" s="911"/>
      <c r="O31" s="911"/>
      <c r="P31" s="911"/>
      <c r="Q31" s="911"/>
      <c r="R31" s="911"/>
      <c r="S31" s="911"/>
      <c r="T31" s="911"/>
      <c r="U31" s="7"/>
      <c r="V31" s="911" t="s">
        <v>90</v>
      </c>
      <c r="W31" s="911"/>
      <c r="X31" s="7"/>
      <c r="Y31" s="911" t="s">
        <v>91</v>
      </c>
      <c r="Z31" s="911"/>
      <c r="AA31" s="911"/>
      <c r="AB31" s="911"/>
      <c r="AC31" s="7"/>
      <c r="AD31" s="7"/>
      <c r="AE31" s="8"/>
    </row>
    <row r="32" spans="1:48" ht="14.25" customHeight="1" thickBot="1" x14ac:dyDescent="0.35">
      <c r="B32" s="24" t="s">
        <v>51</v>
      </c>
      <c r="C32" s="67">
        <f>ROUND($R$25,0)-IF($O$14=0,$V24/2,$W24/2)</f>
        <v>272</v>
      </c>
      <c r="D32" s="68">
        <f>ROUND(R25-Z24,0)</f>
        <v>260</v>
      </c>
      <c r="E32" s="69">
        <f>ROUND($R$25,0)+IF($O$14=0,$V24/2,$W24/2)</f>
        <v>374</v>
      </c>
      <c r="F32" s="909"/>
      <c r="G32" s="6"/>
      <c r="H32" s="93" t="s">
        <v>40</v>
      </c>
      <c r="I32" s="94" t="s">
        <v>92</v>
      </c>
      <c r="J32" s="95" t="s">
        <v>93</v>
      </c>
      <c r="K32" s="93" t="s">
        <v>94</v>
      </c>
      <c r="L32" s="6"/>
      <c r="M32" s="96" t="s">
        <v>95</v>
      </c>
      <c r="N32" s="53" t="s">
        <v>96</v>
      </c>
      <c r="O32" s="53" t="s">
        <v>97</v>
      </c>
      <c r="P32" s="53" t="s">
        <v>98</v>
      </c>
      <c r="Q32" s="53" t="s">
        <v>99</v>
      </c>
      <c r="R32" s="53" t="s">
        <v>100</v>
      </c>
      <c r="S32" s="53" t="s">
        <v>101</v>
      </c>
      <c r="T32" s="22" t="s">
        <v>1</v>
      </c>
      <c r="U32" s="7"/>
      <c r="V32" s="18" t="s">
        <v>48</v>
      </c>
      <c r="W32" s="97"/>
      <c r="X32" s="922"/>
      <c r="Y32" s="98" t="s">
        <v>102</v>
      </c>
      <c r="Z32" s="98" t="s">
        <v>37</v>
      </c>
      <c r="AA32" s="99" t="s">
        <v>103</v>
      </c>
      <c r="AB32" s="98" t="s">
        <v>104</v>
      </c>
      <c r="AC32" s="7"/>
      <c r="AD32" s="7"/>
      <c r="AE32" s="8"/>
      <c r="AI32" s="51"/>
    </row>
    <row r="33" spans="1:112" ht="14.25" customHeight="1" thickBot="1" x14ac:dyDescent="0.35">
      <c r="B33" s="24" t="s">
        <v>6</v>
      </c>
      <c r="C33" s="67">
        <f>D33-IF($O$14=0,$V25/2,$W25/2)</f>
        <v>819</v>
      </c>
      <c r="D33" s="68">
        <f>ROUND(R26,0)</f>
        <v>869</v>
      </c>
      <c r="E33" s="69">
        <f>D33+IF($O$14=0,$V25/2,$W25/2)</f>
        <v>919</v>
      </c>
      <c r="F33" s="909"/>
      <c r="G33" s="6"/>
      <c r="H33" s="18" t="s">
        <v>48</v>
      </c>
      <c r="I33" s="20">
        <v>644</v>
      </c>
      <c r="J33" s="100">
        <v>645</v>
      </c>
      <c r="K33" s="101">
        <f>IF(AND(I34="",J34=""),C25,IF(J34="",I34+4,IF(I34="",J34-4,FLOOR((I34+J34)/2,1))))</f>
        <v>644</v>
      </c>
      <c r="L33" s="102" t="s">
        <v>105</v>
      </c>
      <c r="M33" s="18" t="s">
        <v>48</v>
      </c>
      <c r="N33" s="103">
        <v>644</v>
      </c>
      <c r="O33" s="104">
        <f>IF($O$14=0,V24/2,W24/2)</f>
        <v>51</v>
      </c>
      <c r="P33" s="29">
        <f>IF(W32="",IF(AND(N33&lt;&gt;"",N34&lt;&gt;""),IF($O$39="No",ROUND((N33+O33+$Y$24),0),IF($O$39="Yes",ROUND(U43,0),0)),IF($O$39="No",ROUND((C24+O33+$Y$24),0),IF($O$39="Yes",ROUND(U43,0),0))),W32)</f>
        <v>783</v>
      </c>
      <c r="Q33" s="104">
        <f t="shared" ref="Q33:Q38" si="3">D31-D24</f>
        <v>-198</v>
      </c>
      <c r="R33" s="29">
        <f t="shared" ref="R33:R38" si="4">P33+Q33</f>
        <v>585</v>
      </c>
      <c r="S33" s="104">
        <f t="shared" ref="S33:S38" si="5">D38-D31</f>
        <v>201</v>
      </c>
      <c r="T33" s="30">
        <f t="shared" ref="T33:T38" si="6">R33+S33</f>
        <v>786</v>
      </c>
      <c r="U33" s="7"/>
      <c r="V33" s="24" t="s">
        <v>51</v>
      </c>
      <c r="W33" s="97"/>
      <c r="X33" s="922"/>
      <c r="Y33" s="105">
        <f>IF(OR(AND(N33&lt;&gt;"",N34&lt;&gt;""),AND(W32&lt;&gt;"",W33&lt;&gt;"",)),AVERAGE(P33:P34),"-")</f>
        <v>694.5</v>
      </c>
      <c r="Z33" s="18" t="s">
        <v>106</v>
      </c>
      <c r="AA33" s="106">
        <f>IF(Y33="-","-",((2*Y33-P25-J25*(1-IF($R$5&lt;&gt;"Indianapolis Oval",1,0.39)*E7*0.001349079032746))/(1-IF($R$5&lt;&gt;"Indianapolis Oval",1,0.39)*E7*0.001349079032746))/2)</f>
        <v>629.73214014988241</v>
      </c>
      <c r="AB33" s="107" t="str">
        <f>IF(Y33="-","-",IF(AA33-I25/2&lt;0,ROUND(AA33-I25/2,2),"+"&amp;ROUND(AA33-I25/2,2)))</f>
        <v>+273,73</v>
      </c>
      <c r="AC33" s="7"/>
      <c r="AD33" s="7"/>
      <c r="AE33" s="8"/>
    </row>
    <row r="34" spans="1:112" ht="14.25" customHeight="1" thickBot="1" x14ac:dyDescent="0.35">
      <c r="B34" s="24" t="s">
        <v>19</v>
      </c>
      <c r="C34" s="67">
        <f>D34-IF($O$14=0,$V26/2,$W26/2)</f>
        <v>113</v>
      </c>
      <c r="D34" s="68">
        <f>ROUND(R27,0)</f>
        <v>163</v>
      </c>
      <c r="E34" s="69">
        <f>D34+IF($O$14=0,$V26/2,$W26/2)</f>
        <v>213</v>
      </c>
      <c r="F34" s="909"/>
      <c r="G34" s="6"/>
      <c r="H34" s="24" t="s">
        <v>51</v>
      </c>
      <c r="I34" s="27">
        <v>644</v>
      </c>
      <c r="J34" s="108">
        <v>645</v>
      </c>
      <c r="K34" s="109">
        <f>IF(AND(I34="",J34=""),C25,IF(J34="",I34+4,IF(I34="",J34-4,FLOOR((I34+J34)/2,1))))</f>
        <v>644</v>
      </c>
      <c r="L34" s="6"/>
      <c r="M34" s="24" t="s">
        <v>51</v>
      </c>
      <c r="N34" s="103">
        <v>643</v>
      </c>
      <c r="O34" s="104">
        <f>IF($O$14=0,V24/2,W24/2)</f>
        <v>51</v>
      </c>
      <c r="P34" s="29">
        <f>IF(W33="",IF(AND(N33&lt;&gt;"",N34&lt;&gt;""),IF($O$39="No",ROUND((N34+O34-$Y$24),0),IF($O$39="Yes",ROUND(U44,0),0)),IF($O$39="No",ROUND((C25+O34-$Y$24),0),IF($O$39="Yes",ROUND(U44,0),0))),W33)</f>
        <v>606</v>
      </c>
      <c r="Q34" s="104">
        <f t="shared" si="3"/>
        <v>-149</v>
      </c>
      <c r="R34" s="29">
        <f t="shared" si="4"/>
        <v>457</v>
      </c>
      <c r="S34" s="104">
        <f t="shared" si="5"/>
        <v>150</v>
      </c>
      <c r="T34" s="30">
        <f t="shared" si="6"/>
        <v>607</v>
      </c>
      <c r="U34" s="7"/>
      <c r="V34" s="24" t="s">
        <v>6</v>
      </c>
      <c r="W34" s="97"/>
      <c r="X34" s="7"/>
      <c r="Y34" s="110">
        <f>IF(OR(N35&lt;&gt;"",W34&lt;&gt;""),P35,"-")</f>
        <v>966</v>
      </c>
      <c r="Z34" s="24" t="s">
        <v>6</v>
      </c>
      <c r="AA34" s="111">
        <f>IF(Y34="-","-",(Y34-J26-P26-IF($R$5&lt;&gt;"Indianapolis Oval",1,0.39)*E8*0.29521804804429-IF($R$5&lt;&gt;"Indianapolis Oval",1,0.39)*E9*J26*0.001655723-IF($R$5&lt;&gt;"Indianapolis Oval",1,0.39)*E9*0.0469416263186552)/(1+IF($R$5&lt;&gt;"Indianapolis Oval",1,0.39)*E9*0.001655723))</f>
        <v>995.90795532474237</v>
      </c>
      <c r="AB34" s="112" t="str">
        <f>IF(Y34="-","-",IF(AA34-I26&lt;0,ROUND(AA34-I26,2),"+"&amp;ROUND(AA34-I26,2)))</f>
        <v>+263,22</v>
      </c>
      <c r="AC34" s="7"/>
      <c r="AD34" s="7"/>
      <c r="AE34" s="8"/>
    </row>
    <row r="35" spans="1:112" ht="14.25" customHeight="1" thickBot="1" x14ac:dyDescent="0.35">
      <c r="B35" s="24" t="s">
        <v>59</v>
      </c>
      <c r="C35" s="67">
        <f>D35-IF($O$14=0,$V27/2,$W27/2)</f>
        <v>641</v>
      </c>
      <c r="D35" s="68">
        <f>ROUND(R28,0)</f>
        <v>691</v>
      </c>
      <c r="E35" s="69">
        <f>D35+IF($O$14=0,$V27/2,$W27/2)</f>
        <v>741</v>
      </c>
      <c r="F35" s="909"/>
      <c r="G35" s="6"/>
      <c r="H35" s="24" t="s">
        <v>6</v>
      </c>
      <c r="I35" s="27">
        <v>914</v>
      </c>
      <c r="J35" s="108">
        <v>918</v>
      </c>
      <c r="K35" s="109">
        <f>IF(AND(I35="",J35=""),C26,IF(J35="",I35+8,IF(I35="",(J35-8),ROUND((I35+J35)/2,0))))</f>
        <v>916</v>
      </c>
      <c r="L35" s="6"/>
      <c r="M35" s="24" t="s">
        <v>6</v>
      </c>
      <c r="N35" s="103">
        <v>916</v>
      </c>
      <c r="O35" s="104">
        <f>IF($O$14=0,V25/2,W25/2)</f>
        <v>50</v>
      </c>
      <c r="P35" s="29">
        <f>IF(W34="",IF(N35&lt;&gt;"",N35+O35,D26),W34)</f>
        <v>966</v>
      </c>
      <c r="Q35" s="104">
        <f t="shared" si="3"/>
        <v>187</v>
      </c>
      <c r="R35" s="29">
        <f t="shared" si="4"/>
        <v>1153</v>
      </c>
      <c r="S35" s="104">
        <f t="shared" si="5"/>
        <v>-185</v>
      </c>
      <c r="T35" s="30">
        <f t="shared" si="6"/>
        <v>968</v>
      </c>
      <c r="U35" s="7"/>
      <c r="V35" s="24" t="s">
        <v>19</v>
      </c>
      <c r="W35" s="97"/>
      <c r="X35" s="7"/>
      <c r="Y35" s="110">
        <f>IF(OR(N36&lt;&gt;"",W35&lt;&gt;""),P36,"-")</f>
        <v>983</v>
      </c>
      <c r="Z35" s="24" t="s">
        <v>19</v>
      </c>
      <c r="AA35" s="111">
        <f>IF(Y35="-","-",Y35-J27-M27-P27)</f>
        <v>1037.4566566848475</v>
      </c>
      <c r="AB35" s="112" t="str">
        <f>IF(Y35="-","-",IF(AA35-I27&lt;0,ROUND(AA35-I27,2),"+"&amp;ROUND(AA35-I27,2)))</f>
        <v>+736,16</v>
      </c>
      <c r="AC35" s="34"/>
      <c r="AD35" s="34"/>
      <c r="AE35" s="8"/>
    </row>
    <row r="36" spans="1:112" ht="14.25" customHeight="1" thickBot="1" x14ac:dyDescent="0.35">
      <c r="B36" s="31" t="s">
        <v>62</v>
      </c>
      <c r="C36" s="83">
        <f>D36-IF($O$14=0,$V28/2,$W28/2)</f>
        <v>677</v>
      </c>
      <c r="D36" s="84">
        <f>ROUND(R29,0)</f>
        <v>727</v>
      </c>
      <c r="E36" s="85">
        <f>D36+IF($O$14=0,$V28/2,$W28/2)</f>
        <v>777</v>
      </c>
      <c r="F36" s="909"/>
      <c r="G36" s="6"/>
      <c r="H36" s="24" t="s">
        <v>19</v>
      </c>
      <c r="I36" s="27">
        <v>931</v>
      </c>
      <c r="J36" s="108">
        <v>934</v>
      </c>
      <c r="K36" s="109">
        <f>IF(AND(I36="",J36=""),C27,IF(J36="",I36+8,IF(I36="",(J36-8),ROUND((I36+J36)/2,0))))</f>
        <v>933</v>
      </c>
      <c r="L36" s="6"/>
      <c r="M36" s="24" t="s">
        <v>19</v>
      </c>
      <c r="N36" s="103">
        <v>933</v>
      </c>
      <c r="O36" s="104">
        <f>IF($O$14=0,V26/2,W26/2)</f>
        <v>50</v>
      </c>
      <c r="P36" s="29">
        <f>IF(W35="",IF(N36&lt;&gt;"",N36+O36,D27),W35)</f>
        <v>983</v>
      </c>
      <c r="Q36" s="104">
        <f t="shared" si="3"/>
        <v>-84</v>
      </c>
      <c r="R36" s="29">
        <f t="shared" si="4"/>
        <v>899</v>
      </c>
      <c r="S36" s="104">
        <f t="shared" si="5"/>
        <v>93</v>
      </c>
      <c r="T36" s="30">
        <f t="shared" si="6"/>
        <v>992</v>
      </c>
      <c r="U36" s="7"/>
      <c r="V36" s="24" t="s">
        <v>59</v>
      </c>
      <c r="W36" s="97"/>
      <c r="X36" s="7"/>
      <c r="Y36" s="110">
        <f>IF(OR(N37&lt;&gt;"",W36&lt;&gt;""),P37,"-")</f>
        <v>654</v>
      </c>
      <c r="Z36" s="24" t="s">
        <v>17</v>
      </c>
      <c r="AA36" s="111">
        <f>IF(Y36="-","-",Y36-J28-M28-P28)</f>
        <v>748.57264006657613</v>
      </c>
      <c r="AB36" s="112">
        <f>IF(Y36="-","-",IF(AA36-I28&lt;0,ROUND(AA36-I28,2),"+"&amp;ROUND(AA36-I28,2)))</f>
        <v>-35.92</v>
      </c>
      <c r="AC36" s="34"/>
      <c r="AD36" s="34"/>
      <c r="AE36" s="8"/>
    </row>
    <row r="37" spans="1:112" s="114" customFormat="1" ht="14.25" customHeight="1" thickBot="1" x14ac:dyDescent="0.35">
      <c r="A37" s="9"/>
      <c r="B37" s="89"/>
      <c r="C37" s="34"/>
      <c r="D37" s="34"/>
      <c r="E37" s="34"/>
      <c r="F37" s="34"/>
      <c r="G37" s="9"/>
      <c r="H37" s="24" t="s">
        <v>59</v>
      </c>
      <c r="I37" s="27">
        <v>603</v>
      </c>
      <c r="J37" s="108">
        <v>604</v>
      </c>
      <c r="K37" s="109">
        <f>IF(AND(I37="",J37=""),C28,IF(J37="",I37+8,IF(I37="",(J37-8),ROUND((I37+J37)/2,0))))</f>
        <v>604</v>
      </c>
      <c r="L37" s="34"/>
      <c r="M37" s="24" t="s">
        <v>59</v>
      </c>
      <c r="N37" s="103">
        <v>604</v>
      </c>
      <c r="O37" s="104">
        <f>IF($O$14=0,V27/2,W27/2)</f>
        <v>50</v>
      </c>
      <c r="P37" s="29">
        <f>IF(W36="",IF(N37&lt;&gt;"",N37+O37,D28),W36)</f>
        <v>654</v>
      </c>
      <c r="Q37" s="104">
        <f t="shared" si="3"/>
        <v>1</v>
      </c>
      <c r="R37" s="29">
        <f t="shared" si="4"/>
        <v>655</v>
      </c>
      <c r="S37" s="104">
        <f t="shared" si="5"/>
        <v>-19</v>
      </c>
      <c r="T37" s="30">
        <f t="shared" si="6"/>
        <v>636</v>
      </c>
      <c r="U37" s="7"/>
      <c r="V37" s="31" t="s">
        <v>62</v>
      </c>
      <c r="W37" s="113"/>
      <c r="X37" s="7"/>
      <c r="Y37" s="110">
        <f>IF(OR(N38&lt;&gt;"",W37&lt;&gt;""),P38,"-")</f>
        <v>676</v>
      </c>
      <c r="Z37" s="24" t="s">
        <v>62</v>
      </c>
      <c r="AA37" s="111">
        <f>IF(Y37="-","-",Y37-J29-M29-P29)</f>
        <v>754.42</v>
      </c>
      <c r="AB37" s="112" t="str">
        <f>IF(Y37="-","-",IF(AA37-I29&lt;0,ROUND(AA37-I29,2),"+"&amp;ROUND(AA37-I29,2)))</f>
        <v>+178,34</v>
      </c>
      <c r="AC37" s="34"/>
      <c r="AD37" s="34"/>
      <c r="AE37" s="8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</row>
    <row r="38" spans="1:112" ht="14.25" customHeight="1" thickBot="1" x14ac:dyDescent="0.35">
      <c r="B38" s="18" t="s">
        <v>48</v>
      </c>
      <c r="C38" s="90">
        <f>ROUND($S$25,0)-IF($O$14=0,$V24/2,$W24/2)</f>
        <v>448</v>
      </c>
      <c r="D38" s="91">
        <f>ROUND(S25+AA24,0)</f>
        <v>588</v>
      </c>
      <c r="E38" s="92">
        <f>ROUND($S$25,0)+IF($O$14=0,$V24/2,$W24/2)</f>
        <v>550</v>
      </c>
      <c r="F38" s="909">
        <v>0.3</v>
      </c>
      <c r="G38" s="6"/>
      <c r="H38" s="31" t="s">
        <v>62</v>
      </c>
      <c r="I38" s="33">
        <v>625</v>
      </c>
      <c r="J38" s="115">
        <v>626</v>
      </c>
      <c r="K38" s="116">
        <f>IF(AND(I38="",J38=""),C29,IF(J38="",I38+8,IF(I38="",(J38-8),ROUND((I38+J38)/2,0))))</f>
        <v>626</v>
      </c>
      <c r="L38" s="6"/>
      <c r="M38" s="31" t="s">
        <v>62</v>
      </c>
      <c r="N38" s="117">
        <v>626</v>
      </c>
      <c r="O38" s="118">
        <f>IF($O$14=0,V28/2,W28/2)</f>
        <v>50</v>
      </c>
      <c r="P38" s="36">
        <f>IF(W37="",IF(N38&lt;&gt;"",N38+O38,D29),W37)</f>
        <v>676</v>
      </c>
      <c r="Q38" s="118">
        <f t="shared" si="3"/>
        <v>229</v>
      </c>
      <c r="R38" s="36">
        <f t="shared" si="4"/>
        <v>905</v>
      </c>
      <c r="S38" s="118">
        <f t="shared" si="5"/>
        <v>-232</v>
      </c>
      <c r="T38" s="37">
        <f t="shared" si="6"/>
        <v>673</v>
      </c>
      <c r="U38" s="7"/>
      <c r="V38" s="7"/>
      <c r="W38" s="7"/>
      <c r="X38" s="7"/>
      <c r="Y38" s="119" t="str">
        <f>IF(AA38="-","-",(P33-P34)/2)</f>
        <v>-</v>
      </c>
      <c r="Z38" s="31" t="s">
        <v>107</v>
      </c>
      <c r="AA38" s="86" t="str">
        <f>IF(OR(AND(O39="Yes",OR(G44,G46)),AND(W32&lt;&gt;"",W33&lt;&gt;"")),(P33-P34)/2+0.246534498671854*E7-3.69107049712848*(I8+I9)/2+0.189968386659174*(P33+P34)/2-0.376337780506523*R7-IF(T7="Wet",58.8818967363256,0),"-")</f>
        <v>-</v>
      </c>
      <c r="AB38" s="120" t="str">
        <f>IF(AA38="-","-",IF(AA38-VLOOKUP($R$5,Tracks!$A$4:$Y$886,25,0)&lt;0,ROUND(AA38-VLOOKUP($R$5,Tracks!$A$4:$Y$886,25,0),2),"+"&amp;ROUND(AA38-VLOOKUP($R$5,Tracks!$A$4:$Y$886,25,0),2)))</f>
        <v>-</v>
      </c>
      <c r="AC38" s="7"/>
      <c r="AD38" s="7"/>
      <c r="AE38" s="8"/>
    </row>
    <row r="39" spans="1:112" ht="14.25" customHeight="1" thickBot="1" x14ac:dyDescent="0.35">
      <c r="B39" s="24" t="s">
        <v>51</v>
      </c>
      <c r="C39" s="67">
        <f>ROUND($S$25,0)-IF($O$14=0,$V24/2,$W24/2)</f>
        <v>448</v>
      </c>
      <c r="D39" s="68">
        <f>ROUND(S25-AA24,0)</f>
        <v>410</v>
      </c>
      <c r="E39" s="69">
        <f>ROUND($S$25,0)+IF($O$14=0,$V24/2,$W24/2)</f>
        <v>550</v>
      </c>
      <c r="F39" s="909"/>
      <c r="G39" s="6"/>
      <c r="H39" s="6"/>
      <c r="I39" s="6"/>
      <c r="J39" s="6"/>
      <c r="K39" s="34"/>
      <c r="L39" s="6"/>
      <c r="M39" s="910" t="s">
        <v>108</v>
      </c>
      <c r="N39" s="910"/>
      <c r="O39" s="121" t="s">
        <v>109</v>
      </c>
      <c r="P39" s="122" t="s">
        <v>110</v>
      </c>
      <c r="Q39" s="9"/>
      <c r="R39" s="9"/>
      <c r="S39" s="123" t="s">
        <v>111</v>
      </c>
      <c r="T39" s="124">
        <f>IF(OR(G44,G46),1,0)</f>
        <v>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</row>
    <row r="40" spans="1:112" ht="14.25" customHeight="1" thickBot="1" x14ac:dyDescent="0.35">
      <c r="B40" s="24" t="s">
        <v>6</v>
      </c>
      <c r="C40" s="67">
        <f>D40-IF($O$14=0,$V25/2,$W25/2)</f>
        <v>634</v>
      </c>
      <c r="D40" s="68">
        <f>ROUND(S26,0)</f>
        <v>684</v>
      </c>
      <c r="E40" s="69">
        <f>D40+IF($O$14=0,$V25/2,$W25/2)</f>
        <v>734</v>
      </c>
      <c r="F40" s="909"/>
      <c r="G40" s="6"/>
      <c r="H40" s="6"/>
      <c r="I40" s="6"/>
      <c r="J40" s="6"/>
      <c r="K40" s="7"/>
      <c r="L40" s="6"/>
      <c r="M40" s="6"/>
      <c r="N40" s="6"/>
      <c r="O40" s="7"/>
      <c r="P40" s="7"/>
      <c r="Q40" s="7"/>
      <c r="R40" s="125"/>
      <c r="S40" s="123" t="s">
        <v>112</v>
      </c>
      <c r="T40" s="124">
        <f>IF(T39,IF(S44&gt;0,1,0),1)</f>
        <v>1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</row>
    <row r="41" spans="1:112" ht="14.25" customHeight="1" thickBot="1" x14ac:dyDescent="0.35">
      <c r="B41" s="24" t="s">
        <v>19</v>
      </c>
      <c r="C41" s="67">
        <f>D41-IF($O$14=0,$V26/2,$W26/2)</f>
        <v>206</v>
      </c>
      <c r="D41" s="68">
        <f>ROUND(S27,0)</f>
        <v>256</v>
      </c>
      <c r="E41" s="69">
        <f>D41+IF($O$14=0,$V26/2,$W26/2)</f>
        <v>306</v>
      </c>
      <c r="F41" s="909"/>
      <c r="G41" s="6"/>
      <c r="H41" s="911" t="s">
        <v>113</v>
      </c>
      <c r="I41" s="911"/>
      <c r="J41" s="911"/>
      <c r="K41" s="911"/>
      <c r="L41" s="911"/>
      <c r="M41" s="911"/>
      <c r="N41" s="911"/>
      <c r="O41" s="911"/>
      <c r="P41" s="911"/>
      <c r="Q41" s="911"/>
      <c r="R41" s="911"/>
      <c r="S41" s="911"/>
      <c r="T41" s="911"/>
      <c r="U41" s="911"/>
      <c r="V41" s="7"/>
      <c r="W41" s="7"/>
      <c r="X41" s="7"/>
      <c r="Y41" s="7"/>
      <c r="Z41" s="7"/>
      <c r="AA41" s="9"/>
      <c r="AB41" s="7"/>
      <c r="AC41" s="7"/>
      <c r="AD41" s="7"/>
      <c r="AE41" s="8"/>
    </row>
    <row r="42" spans="1:112" ht="14.25" customHeight="1" thickBot="1" x14ac:dyDescent="0.35">
      <c r="B42" s="24" t="s">
        <v>59</v>
      </c>
      <c r="C42" s="67">
        <f>D42-IF($O$14=0,$V27/2,$W27/2)</f>
        <v>622</v>
      </c>
      <c r="D42" s="68">
        <f>ROUND(S28,0)</f>
        <v>672</v>
      </c>
      <c r="E42" s="69">
        <f>D42+IF($O$14=0,$V27/2,$W27/2)</f>
        <v>722</v>
      </c>
      <c r="F42" s="909"/>
      <c r="G42" s="6"/>
      <c r="H42" s="126" t="s">
        <v>114</v>
      </c>
      <c r="I42" s="127">
        <f>IF(AND(N33&lt;&gt;"",N34&lt;&gt;""),N33+O33+O34+N34,D24+D25)</f>
        <v>1389</v>
      </c>
      <c r="J42" s="128"/>
      <c r="K42" s="7"/>
      <c r="L42" s="7"/>
      <c r="M42" s="7"/>
      <c r="N42" s="7"/>
      <c r="O42" s="7"/>
      <c r="P42" s="7"/>
      <c r="Q42" s="7"/>
      <c r="R42" s="129" t="s">
        <v>115</v>
      </c>
      <c r="S42" s="912" t="str">
        <f>IF(T40,"Proposed Wings","Error")</f>
        <v>Proposed Wings</v>
      </c>
      <c r="T42" s="912"/>
      <c r="U42" s="912"/>
      <c r="V42" s="7"/>
      <c r="W42" s="7"/>
      <c r="X42" s="7"/>
      <c r="Y42" s="7"/>
      <c r="Z42" s="7"/>
      <c r="AA42" s="7"/>
      <c r="AB42" s="7"/>
      <c r="AC42" s="7"/>
      <c r="AD42" s="7"/>
      <c r="AE42" s="8"/>
    </row>
    <row r="43" spans="1:112" ht="14.25" customHeight="1" thickBot="1" x14ac:dyDescent="0.35">
      <c r="B43" s="31" t="s">
        <v>62</v>
      </c>
      <c r="C43" s="83">
        <f>D43-IF($O$14=0,$V28/2,$W28/2)</f>
        <v>445</v>
      </c>
      <c r="D43" s="84">
        <f>ROUND(S29,0)</f>
        <v>495</v>
      </c>
      <c r="E43" s="85">
        <f>D43+IF($O$14=0,$V28/2,$W28/2)</f>
        <v>545</v>
      </c>
      <c r="F43" s="909"/>
      <c r="G43" s="6"/>
      <c r="H43" s="130"/>
      <c r="I43" s="131"/>
      <c r="J43" s="132"/>
      <c r="K43" s="7"/>
      <c r="L43" s="7"/>
      <c r="M43" s="7"/>
      <c r="N43" s="7"/>
      <c r="O43" s="7"/>
      <c r="P43" s="7"/>
      <c r="Q43" s="7"/>
      <c r="R43" s="133" t="s">
        <v>116</v>
      </c>
      <c r="S43" s="134" t="str">
        <f>IF(B46="-","-",(B46-B47)*(B46-B48)*(B47-B48))</f>
        <v>-</v>
      </c>
      <c r="T43" s="135" t="s">
        <v>117</v>
      </c>
      <c r="U43" s="136" t="str">
        <f>IF(B46="-","-",(D46+E46)/2+S47/2)</f>
        <v>-</v>
      </c>
      <c r="V43" s="7"/>
      <c r="W43" s="7"/>
      <c r="X43" s="7"/>
      <c r="Y43" s="7"/>
      <c r="Z43" s="7"/>
      <c r="AA43" s="34"/>
      <c r="AB43" s="7"/>
      <c r="AC43" s="7"/>
      <c r="AD43" s="7"/>
      <c r="AE43" s="8"/>
    </row>
    <row r="44" spans="1:112" ht="14.25" customHeight="1" thickBot="1" x14ac:dyDescent="0.35">
      <c r="B44" s="137" t="s">
        <v>118</v>
      </c>
      <c r="C44" s="124">
        <v>20</v>
      </c>
      <c r="D44" s="102"/>
      <c r="E44" s="124"/>
      <c r="F44" s="124" t="s">
        <v>119</v>
      </c>
      <c r="G44" s="102">
        <f>IF(AND(I46&lt;&gt;"",I47&lt;&gt;"",I48&lt;&gt;""),1,0)</f>
        <v>0</v>
      </c>
      <c r="H44" s="913" t="s">
        <v>120</v>
      </c>
      <c r="I44" s="913"/>
      <c r="J44" s="913"/>
      <c r="K44" s="913"/>
      <c r="L44" s="7"/>
      <c r="M44" s="913" t="str">
        <f>IF(G45,"FW+RW not the same","Custom Study Laps")</f>
        <v>Custom Study Laps</v>
      </c>
      <c r="N44" s="913"/>
      <c r="O44" s="913"/>
      <c r="P44" s="913"/>
      <c r="Q44" s="7"/>
      <c r="R44" s="138" t="s">
        <v>121</v>
      </c>
      <c r="S44" s="139" t="str">
        <f>IF(B46="-","-",(B48*(C47-C46)+B47*(C46-C48)+B46*(C48-C47))/S43)</f>
        <v>-</v>
      </c>
      <c r="T44" s="60" t="s">
        <v>122</v>
      </c>
      <c r="U44" s="62" t="str">
        <f>IF(B46="-","-",D46+E46-U43)</f>
        <v>-</v>
      </c>
      <c r="V44" s="7"/>
      <c r="W44" s="7"/>
      <c r="X44" s="7"/>
      <c r="Y44" s="7"/>
      <c r="Z44" s="7"/>
      <c r="AA44" s="7"/>
      <c r="AB44" s="7"/>
      <c r="AC44" s="7"/>
      <c r="AD44" s="7"/>
      <c r="AE44" s="8"/>
    </row>
    <row r="45" spans="1:112" ht="14.25" customHeight="1" thickBot="1" x14ac:dyDescent="0.35">
      <c r="B45" s="908" t="s">
        <v>123</v>
      </c>
      <c r="C45" s="908"/>
      <c r="D45" s="908"/>
      <c r="E45" s="908"/>
      <c r="F45" s="124" t="s">
        <v>124</v>
      </c>
      <c r="G45" s="124">
        <f>IF(AND(G48,G47=0),1,0)</f>
        <v>0</v>
      </c>
      <c r="H45" s="21" t="s">
        <v>125</v>
      </c>
      <c r="I45" s="140" t="s">
        <v>126</v>
      </c>
      <c r="J45" s="141" t="s">
        <v>127</v>
      </c>
      <c r="K45" s="142" t="s">
        <v>128</v>
      </c>
      <c r="L45" s="7"/>
      <c r="M45" s="143" t="s">
        <v>125</v>
      </c>
      <c r="N45" s="141" t="s">
        <v>126</v>
      </c>
      <c r="O45" s="144" t="s">
        <v>127</v>
      </c>
      <c r="P45" s="142" t="s">
        <v>128</v>
      </c>
      <c r="Q45" s="7"/>
      <c r="R45" s="138" t="s">
        <v>129</v>
      </c>
      <c r="S45" s="139" t="str">
        <f>IF(B46="-","-",(B48*B48*(C46-C47)+B47*B47*(C48-C46)+B46*B46*(C47-C48))/S43)</f>
        <v>-</v>
      </c>
      <c r="T45" s="80" t="s">
        <v>130</v>
      </c>
      <c r="U45" s="145" t="str">
        <f>IF(B46="-","-",ROUND(U43-U44,2))</f>
        <v>-</v>
      </c>
      <c r="V45" s="7"/>
      <c r="W45" s="7"/>
      <c r="X45" s="7"/>
      <c r="Y45" s="7"/>
      <c r="Z45" s="7"/>
      <c r="AA45" s="7"/>
      <c r="AB45" s="7"/>
      <c r="AC45" s="7"/>
      <c r="AD45" s="7"/>
      <c r="AE45" s="8"/>
    </row>
    <row r="46" spans="1:112" ht="14.25" customHeight="1" thickBot="1" x14ac:dyDescent="0.35">
      <c r="B46" s="146" t="str">
        <f t="shared" ref="B46:E48" si="7">IF($G$46,M46,IF($G$44,H46,"-"))</f>
        <v>-</v>
      </c>
      <c r="C46" s="147" t="str">
        <f t="shared" si="7"/>
        <v>-</v>
      </c>
      <c r="D46" s="148" t="str">
        <f t="shared" si="7"/>
        <v>-</v>
      </c>
      <c r="E46" s="148" t="str">
        <f t="shared" si="7"/>
        <v>-</v>
      </c>
      <c r="F46" s="124" t="s">
        <v>131</v>
      </c>
      <c r="G46" s="149">
        <f>IF(G47+G48=2,1,0)</f>
        <v>0</v>
      </c>
      <c r="H46" s="150">
        <f>H47-2*$C$44</f>
        <v>137</v>
      </c>
      <c r="I46" s="151"/>
      <c r="J46" s="91">
        <f>J47-$C$44</f>
        <v>763</v>
      </c>
      <c r="K46" s="152">
        <f>K47+$C$44</f>
        <v>626</v>
      </c>
      <c r="L46" s="6"/>
      <c r="M46" s="153">
        <f>O46-P46</f>
        <v>0</v>
      </c>
      <c r="N46" s="154"/>
      <c r="O46" s="155"/>
      <c r="P46" s="156"/>
      <c r="Q46" s="7"/>
      <c r="R46" s="138" t="s">
        <v>132</v>
      </c>
      <c r="S46" s="157" t="str">
        <f>IF(B46="-","-",(B47*B48*(B47-B48)*C46+B48*B46*(B48-B46)*C47+B46*B47*(B46-B47)*C48)/S43)</f>
        <v>-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</row>
    <row r="47" spans="1:112" ht="14.25" customHeight="1" thickBot="1" x14ac:dyDescent="0.35">
      <c r="B47" s="146" t="str">
        <f t="shared" si="7"/>
        <v>-</v>
      </c>
      <c r="C47" s="147" t="str">
        <f t="shared" si="7"/>
        <v>-</v>
      </c>
      <c r="D47" s="148" t="str">
        <f t="shared" si="7"/>
        <v>-</v>
      </c>
      <c r="E47" s="148" t="str">
        <f t="shared" si="7"/>
        <v>-</v>
      </c>
      <c r="F47" s="124" t="s">
        <v>133</v>
      </c>
      <c r="G47" s="149">
        <f>IF(AND(O46+P46=O47+P47,O47+P47=O48+P48),1,0)</f>
        <v>1</v>
      </c>
      <c r="H47" s="158">
        <f>J47-K47</f>
        <v>177</v>
      </c>
      <c r="I47" s="159"/>
      <c r="J47" s="68">
        <f>IF(AND(N33&lt;&gt;"",N34&lt;&gt;""),ROUND(N33+O33+Y24,0),D24)</f>
        <v>783</v>
      </c>
      <c r="K47" s="28">
        <f>IF(AND(N33&lt;&gt;"",N34&lt;&gt;""),ROUND(N34+O34-Y24,0),D25)</f>
        <v>606</v>
      </c>
      <c r="L47" s="160"/>
      <c r="M47" s="161">
        <f>O47-P47</f>
        <v>0</v>
      </c>
      <c r="N47" s="162"/>
      <c r="O47" s="163"/>
      <c r="P47" s="164"/>
      <c r="Q47" s="7"/>
      <c r="R47" s="138" t="s">
        <v>134</v>
      </c>
      <c r="S47" s="157" t="str">
        <f>IF(B46="-","-",-S45/(2*S44))</f>
        <v>-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</row>
    <row r="48" spans="1:112" ht="14.25" customHeight="1" thickBot="1" x14ac:dyDescent="0.35">
      <c r="B48" s="165" t="str">
        <f t="shared" si="7"/>
        <v>-</v>
      </c>
      <c r="C48" s="166" t="str">
        <f t="shared" si="7"/>
        <v>-</v>
      </c>
      <c r="D48" s="167" t="str">
        <f t="shared" si="7"/>
        <v>-</v>
      </c>
      <c r="E48" s="167" t="str">
        <f t="shared" si="7"/>
        <v>-</v>
      </c>
      <c r="F48" s="168" t="s">
        <v>135</v>
      </c>
      <c r="G48" s="169">
        <f>IF(AND(N46&lt;&gt;"",N47&lt;&gt;"",N48&lt;&gt;"",O46&lt;&gt;"",O47&lt;&gt;"",O48&lt;&gt;"",P46&lt;&gt;"",P47&lt;&gt;"",P48&lt;&gt;""),1,0)</f>
        <v>0</v>
      </c>
      <c r="H48" s="170">
        <f>H47+2*$C$44</f>
        <v>217</v>
      </c>
      <c r="I48" s="171"/>
      <c r="J48" s="84">
        <f>J47+$C$44</f>
        <v>803</v>
      </c>
      <c r="K48" s="642">
        <f>K47-$C$44</f>
        <v>586</v>
      </c>
      <c r="L48" s="6"/>
      <c r="M48" s="643">
        <f>O48-P48</f>
        <v>0</v>
      </c>
      <c r="N48" s="644"/>
      <c r="O48" s="645"/>
      <c r="P48" s="646"/>
      <c r="Q48" s="7"/>
      <c r="R48" s="647" t="s">
        <v>136</v>
      </c>
      <c r="S48" s="666" t="str">
        <f>IF(B46="-","-",S46-S45*S45/(4*S44))</f>
        <v>-</v>
      </c>
      <c r="T48" s="667"/>
      <c r="U48" s="173"/>
      <c r="V48" s="45"/>
      <c r="W48" s="45"/>
      <c r="X48" s="45"/>
      <c r="Y48" s="45"/>
      <c r="Z48" s="45"/>
      <c r="AA48" s="45"/>
      <c r="AB48" s="45"/>
      <c r="AC48" s="45"/>
      <c r="AD48" s="45"/>
      <c r="AE48" s="47"/>
    </row>
    <row r="49" spans="10:20" x14ac:dyDescent="0.3">
      <c r="K49" s="938" t="s">
        <v>835</v>
      </c>
      <c r="L49" s="939"/>
      <c r="M49" s="939"/>
      <c r="N49" s="939"/>
      <c r="O49" s="939"/>
      <c r="P49" s="668">
        <v>0.5</v>
      </c>
      <c r="Q49" s="669" t="s">
        <v>50</v>
      </c>
      <c r="R49" s="669" t="s">
        <v>56</v>
      </c>
      <c r="S49" s="670" t="s">
        <v>848</v>
      </c>
      <c r="T49" s="671" t="s">
        <v>833</v>
      </c>
    </row>
    <row r="50" spans="10:20" x14ac:dyDescent="0.3">
      <c r="K50" s="648">
        <f>ROUND(N50+AA24,0)</f>
        <v>409</v>
      </c>
      <c r="L50" s="638">
        <f>IF($AF$4="Dry",Tables!D4*$R$9,Tables!B4*$R$9+Tables!C4)*2</f>
        <v>51.849999999999994</v>
      </c>
      <c r="M50" s="638">
        <f>($E$7*FLOOR(($I$25+L50),1)*(-0.001349079032746))*IF($R$5&lt;&gt;"Indianapolis Oval",1,0.39)</f>
        <v>-213.07489151093597</v>
      </c>
      <c r="N50" s="638">
        <f>(I25+L50+M50+P25)/2</f>
        <v>319.97255424453203</v>
      </c>
      <c r="O50" s="638">
        <f t="shared" ref="O50:O55" si="8">(AE6-K50)/2</f>
        <v>89.5</v>
      </c>
      <c r="P50" s="638">
        <f t="shared" ref="P50:P55" si="9">K50+O50</f>
        <v>498.5</v>
      </c>
      <c r="Q50" s="638">
        <f>IF(AB15="75% Dry",O50*50%,O50)</f>
        <v>89.5</v>
      </c>
      <c r="R50" s="665">
        <f>IF(AB15="75% Wet",O50*50%,O50)</f>
        <v>44.75</v>
      </c>
      <c r="S50" s="664">
        <f>IF(AB15="75% Wet",P50+R50,P50+Q50)</f>
        <v>543.25</v>
      </c>
      <c r="T50" s="672">
        <f>IF(AB15="75% Dry",P50-Q50,P50-R50)</f>
        <v>453.75</v>
      </c>
    </row>
    <row r="51" spans="10:20" ht="14.25" customHeight="1" x14ac:dyDescent="0.3">
      <c r="J51" s="174"/>
      <c r="K51" s="648">
        <f>ROUND(N50-AA24,0)</f>
        <v>231</v>
      </c>
      <c r="L51" s="638">
        <f>IF($AF$4="Dry",Tables!D5*$R$9,Tables!B5*$R$9+Tables!C5)</f>
        <v>-12.75</v>
      </c>
      <c r="M51" s="639">
        <f>(Tables!$G$28+$E$9*(($I$26+L51)*0.001655723+0.0469416263186552))*IF($R$5&lt;&gt;"Indianapolis Oval",1,0.39)</f>
        <v>70.688104913218481</v>
      </c>
      <c r="N51" s="639">
        <f>I26+L51+M51+P26</f>
        <v>871.68310491321836</v>
      </c>
      <c r="O51" s="638">
        <f t="shared" si="8"/>
        <v>89.5</v>
      </c>
      <c r="P51" s="638">
        <f t="shared" si="9"/>
        <v>320.5</v>
      </c>
      <c r="Q51" s="638">
        <f>IF(AB15="75% Dry",O51*50%,O51)</f>
        <v>89.5</v>
      </c>
      <c r="R51" s="665">
        <f>IF(AB15="75% Wet",O51*50%,O51)</f>
        <v>44.75</v>
      </c>
      <c r="S51" s="664">
        <f>IF(AB15="75% Wet",P51+R51,P51+Q51)</f>
        <v>365.25</v>
      </c>
      <c r="T51" s="672">
        <f>IF(AB15="75% Dry",P51-Q51,P51-R51)</f>
        <v>275.75</v>
      </c>
    </row>
    <row r="52" spans="10:20" ht="14.25" customHeight="1" x14ac:dyDescent="0.3">
      <c r="J52" s="175"/>
      <c r="K52" s="648">
        <f>ROUND(N51,0)</f>
        <v>872</v>
      </c>
      <c r="L52" s="638">
        <f>IF($AF$4="Dry",Tables!D6*$R$9,Tables!B6*$R$9+Tables!C6)</f>
        <v>25.5</v>
      </c>
      <c r="M52" s="640"/>
      <c r="N52" s="638">
        <f>I27+L52+O27+P27</f>
        <v>158.82599999999996</v>
      </c>
      <c r="O52" s="638">
        <f t="shared" si="8"/>
        <v>-94</v>
      </c>
      <c r="P52" s="638">
        <f t="shared" si="9"/>
        <v>778</v>
      </c>
      <c r="Q52" s="638">
        <f>IF(AB15="75% Dry",O52*50%,O52)</f>
        <v>-94</v>
      </c>
      <c r="R52" s="665">
        <f>IF(AB15="75% Wet",O52*50%,O52)</f>
        <v>-47</v>
      </c>
      <c r="S52" s="664">
        <f>IF(AB15="75% Wet",P52+R52,P52+Q52)</f>
        <v>731</v>
      </c>
      <c r="T52" s="672">
        <f>IF(AB15="75% Dry",P52-Q52,P52-R52)</f>
        <v>825</v>
      </c>
    </row>
    <row r="53" spans="10:20" x14ac:dyDescent="0.3">
      <c r="K53" s="648">
        <f>ROUND(N52,0)</f>
        <v>159</v>
      </c>
      <c r="L53" s="638">
        <f>IF($AF$4="Dry",Tables!D7*$R$9,Tables!B7*$R$9+Tables!C7)</f>
        <v>-17</v>
      </c>
      <c r="M53" s="641"/>
      <c r="N53" s="638">
        <f>I28+L53+O28+P28</f>
        <v>693.70400000000006</v>
      </c>
      <c r="O53" s="638">
        <f t="shared" si="8"/>
        <v>48.5</v>
      </c>
      <c r="P53" s="638">
        <f t="shared" si="9"/>
        <v>207.5</v>
      </c>
      <c r="Q53" s="638">
        <f>IF(AB15="75% Dry",O53*50%,O53)</f>
        <v>48.5</v>
      </c>
      <c r="R53" s="665">
        <f>IF(AB15="75% Wet",O53*50%,O53)</f>
        <v>24.25</v>
      </c>
      <c r="S53" s="664">
        <f>IF(AB15="75% Wet",P53+R53,P53+Q53)</f>
        <v>231.75</v>
      </c>
      <c r="T53" s="672">
        <f>IF(AB15="75% Dry",P53-Q53,P53-R53)</f>
        <v>183.25</v>
      </c>
    </row>
    <row r="54" spans="10:20" x14ac:dyDescent="0.3">
      <c r="K54" s="648">
        <f>ROUND(N53,0)</f>
        <v>694</v>
      </c>
      <c r="L54" s="638">
        <f>IF($AF$4="Dry",Tables!D8*$R$9,Tables!B8*$R$9+Tables!C8)</f>
        <v>-25.5</v>
      </c>
      <c r="M54" s="641"/>
      <c r="N54" s="638">
        <f>I29+L54+O29+P29</f>
        <v>731.16399999999999</v>
      </c>
      <c r="O54" s="638">
        <f t="shared" si="8"/>
        <v>-11</v>
      </c>
      <c r="P54" s="638">
        <f t="shared" si="9"/>
        <v>683</v>
      </c>
      <c r="Q54" s="638">
        <f>IF(AB15="75% Dry",O54*50%,O54)</f>
        <v>-11</v>
      </c>
      <c r="R54" s="665">
        <f>IF(AB15="75% Wet",O54*50%,O54)</f>
        <v>-5.5</v>
      </c>
      <c r="S54" s="664">
        <f>IF(AB15="75% Wet",P54+R54,P54+Q54)</f>
        <v>677.5</v>
      </c>
      <c r="T54" s="672">
        <f>IF(AB15="75% Dry",P54-Q54,P54-R54)</f>
        <v>688.5</v>
      </c>
    </row>
    <row r="55" spans="10:20" ht="15" thickBot="1" x14ac:dyDescent="0.35">
      <c r="K55" s="649">
        <f>ROUND(N54,0)</f>
        <v>731</v>
      </c>
      <c r="L55" s="650"/>
      <c r="M55" s="651"/>
      <c r="N55" s="651"/>
      <c r="O55" s="650">
        <f t="shared" si="8"/>
        <v>-118</v>
      </c>
      <c r="P55" s="650">
        <f t="shared" si="9"/>
        <v>613</v>
      </c>
      <c r="Q55" s="638">
        <f>IF(AB15="75% Dry",O55*50%,O55)</f>
        <v>-118</v>
      </c>
      <c r="R55" s="665">
        <f>IF(AB15="75% Wet",O55*50%,O55)</f>
        <v>-59</v>
      </c>
      <c r="S55" s="664">
        <f>IF(AB15="75% Wet",P55+R55,P55+Q55)</f>
        <v>554</v>
      </c>
      <c r="T55" s="672">
        <f>IF(AB15="75% Dry",P55-Q55,P55-R55)</f>
        <v>672</v>
      </c>
    </row>
  </sheetData>
  <mergeCells count="87">
    <mergeCell ref="D1:F1"/>
    <mergeCell ref="H1:J1"/>
    <mergeCell ref="L1:N1"/>
    <mergeCell ref="P1:S1"/>
    <mergeCell ref="AG12:AH12"/>
    <mergeCell ref="AG4:AH4"/>
    <mergeCell ref="R7:S7"/>
    <mergeCell ref="B8:D8"/>
    <mergeCell ref="G8:H8"/>
    <mergeCell ref="R8:S8"/>
    <mergeCell ref="B9:D9"/>
    <mergeCell ref="G9:H9"/>
    <mergeCell ref="R9:S9"/>
    <mergeCell ref="B10:D10"/>
    <mergeCell ref="G10:H10"/>
    <mergeCell ref="L10:O10"/>
    <mergeCell ref="K49:O49"/>
    <mergeCell ref="B2:AE2"/>
    <mergeCell ref="B4:E4"/>
    <mergeCell ref="Q4:T4"/>
    <mergeCell ref="AB4:AE4"/>
    <mergeCell ref="G4:K4"/>
    <mergeCell ref="L4:N4"/>
    <mergeCell ref="O4:P4"/>
    <mergeCell ref="B5:D5"/>
    <mergeCell ref="G5:H5"/>
    <mergeCell ref="R5:T5"/>
    <mergeCell ref="B6:D6"/>
    <mergeCell ref="G6:H6"/>
    <mergeCell ref="R6:S6"/>
    <mergeCell ref="B7:D7"/>
    <mergeCell ref="G7:H7"/>
    <mergeCell ref="L14:N14"/>
    <mergeCell ref="Q14:R14"/>
    <mergeCell ref="B11:D11"/>
    <mergeCell ref="G11:H11"/>
    <mergeCell ref="L11:N11"/>
    <mergeCell ref="Q11:T11"/>
    <mergeCell ref="B12:D12"/>
    <mergeCell ref="G12:H12"/>
    <mergeCell ref="L12:N12"/>
    <mergeCell ref="Q12:R12"/>
    <mergeCell ref="B20:AE20"/>
    <mergeCell ref="G18:H18"/>
    <mergeCell ref="AD13:AD18"/>
    <mergeCell ref="B15:D15"/>
    <mergeCell ref="G15:H15"/>
    <mergeCell ref="L15:N15"/>
    <mergeCell ref="Q15:R15"/>
    <mergeCell ref="B16:D16"/>
    <mergeCell ref="G16:H16"/>
    <mergeCell ref="L16:O16"/>
    <mergeCell ref="B13:D13"/>
    <mergeCell ref="G13:H13"/>
    <mergeCell ref="L13:N13"/>
    <mergeCell ref="Q13:R13"/>
    <mergeCell ref="B14:D14"/>
    <mergeCell ref="G14:H14"/>
    <mergeCell ref="Y31:AB31"/>
    <mergeCell ref="X32:X33"/>
    <mergeCell ref="B22:F22"/>
    <mergeCell ref="H22:S22"/>
    <mergeCell ref="U22:W22"/>
    <mergeCell ref="Y22:AA22"/>
    <mergeCell ref="H23:H24"/>
    <mergeCell ref="I23:I24"/>
    <mergeCell ref="J23:L23"/>
    <mergeCell ref="M23:O23"/>
    <mergeCell ref="P23:P24"/>
    <mergeCell ref="Q23:S23"/>
    <mergeCell ref="F24:F29"/>
    <mergeCell ref="T6:V6"/>
    <mergeCell ref="B45:E45"/>
    <mergeCell ref="F38:F43"/>
    <mergeCell ref="M39:N39"/>
    <mergeCell ref="H41:U41"/>
    <mergeCell ref="S42:U42"/>
    <mergeCell ref="H44:K44"/>
    <mergeCell ref="M44:P44"/>
    <mergeCell ref="F31:F36"/>
    <mergeCell ref="H31:K31"/>
    <mergeCell ref="M31:T31"/>
    <mergeCell ref="V31:W31"/>
    <mergeCell ref="B17:D17"/>
    <mergeCell ref="G17:H17"/>
    <mergeCell ref="L17:N17"/>
    <mergeCell ref="L18:N18"/>
  </mergeCells>
  <conditionalFormatting sqref="H44:K44">
    <cfRule type="expression" dxfId="402" priority="151">
      <formula>$G$46=0</formula>
    </cfRule>
  </conditionalFormatting>
  <conditionalFormatting sqref="J6:K6">
    <cfRule type="expression" dxfId="401" priority="40">
      <formula>$K$6&lt;95</formula>
    </cfRule>
    <cfRule type="expression" dxfId="400" priority="39">
      <formula>$K$6&lt;90</formula>
    </cfRule>
    <cfRule type="expression" dxfId="399" priority="41">
      <formula>$K$6&gt;95</formula>
    </cfRule>
  </conditionalFormatting>
  <conditionalFormatting sqref="J7:K7">
    <cfRule type="expression" dxfId="398" priority="38">
      <formula>$K$7&gt;95</formula>
    </cfRule>
    <cfRule type="expression" dxfId="397" priority="37">
      <formula>$K$7&lt;95</formula>
    </cfRule>
    <cfRule type="expression" dxfId="396" priority="36">
      <formula>$K$7&lt;90</formula>
    </cfRule>
  </conditionalFormatting>
  <conditionalFormatting sqref="J8:K8">
    <cfRule type="expression" dxfId="395" priority="33">
      <formula>$K$8&lt;90</formula>
    </cfRule>
    <cfRule type="expression" dxfId="394" priority="34">
      <formula>$K$8&lt;95</formula>
    </cfRule>
    <cfRule type="expression" dxfId="393" priority="35">
      <formula>$K$8&gt;95</formula>
    </cfRule>
  </conditionalFormatting>
  <conditionalFormatting sqref="J9:K9">
    <cfRule type="expression" dxfId="392" priority="30">
      <formula>$K$9&lt;90</formula>
    </cfRule>
    <cfRule type="expression" dxfId="391" priority="31">
      <formula>$K$9&lt;95</formula>
    </cfRule>
    <cfRule type="expression" dxfId="390" priority="32">
      <formula>$K$9&gt;95</formula>
    </cfRule>
  </conditionalFormatting>
  <conditionalFormatting sqref="J10:K10">
    <cfRule type="expression" dxfId="389" priority="28">
      <formula>$K$10&lt;95</formula>
    </cfRule>
    <cfRule type="expression" dxfId="388" priority="27">
      <formula>$K$10&lt;90</formula>
    </cfRule>
    <cfRule type="expression" dxfId="387" priority="29">
      <formula>$K$10&gt;95</formula>
    </cfRule>
  </conditionalFormatting>
  <conditionalFormatting sqref="J11:K11">
    <cfRule type="expression" dxfId="386" priority="24">
      <formula>$K$11&lt;90</formula>
    </cfRule>
    <cfRule type="expression" dxfId="385" priority="25">
      <formula>$K$11&lt;95</formula>
    </cfRule>
    <cfRule type="expression" dxfId="384" priority="26">
      <formula>$K$11&gt;95</formula>
    </cfRule>
  </conditionalFormatting>
  <conditionalFormatting sqref="J12:K12">
    <cfRule type="expression" dxfId="383" priority="21">
      <formula>$K$12&lt;90</formula>
    </cfRule>
    <cfRule type="expression" dxfId="382" priority="22">
      <formula>$K$12&lt;95</formula>
    </cfRule>
    <cfRule type="expression" dxfId="381" priority="23">
      <formula>$K$12&gt;95</formula>
    </cfRule>
  </conditionalFormatting>
  <conditionalFormatting sqref="J13:K13">
    <cfRule type="expression" dxfId="380" priority="18">
      <formula>$K$13&lt;90</formula>
    </cfRule>
    <cfRule type="expression" dxfId="379" priority="19">
      <formula>$K$13&lt;95</formula>
    </cfRule>
    <cfRule type="expression" dxfId="378" priority="20">
      <formula>$K$13&gt;95</formula>
    </cfRule>
  </conditionalFormatting>
  <conditionalFormatting sqref="J14:K14">
    <cfRule type="expression" dxfId="377" priority="15">
      <formula>$K$14&lt;90</formula>
    </cfRule>
    <cfRule type="expression" dxfId="376" priority="16">
      <formula>$K$14&lt;95</formula>
    </cfRule>
    <cfRule type="expression" dxfId="375" priority="17">
      <formula>$K$14&gt;95</formula>
    </cfRule>
  </conditionalFormatting>
  <conditionalFormatting sqref="J15:K15">
    <cfRule type="expression" dxfId="374" priority="12">
      <formula>$K$15&lt;90</formula>
    </cfRule>
    <cfRule type="expression" dxfId="373" priority="13">
      <formula>$K$15&lt;95</formula>
    </cfRule>
    <cfRule type="expression" dxfId="372" priority="14">
      <formula>$K$15&gt;95</formula>
    </cfRule>
  </conditionalFormatting>
  <conditionalFormatting sqref="J16:K16">
    <cfRule type="expression" dxfId="371" priority="11">
      <formula>$K$16&gt;95</formula>
    </cfRule>
    <cfRule type="expression" dxfId="370" priority="9">
      <formula>$K$16&lt;90</formula>
    </cfRule>
    <cfRule type="expression" dxfId="369" priority="10">
      <formula>$K$16&lt;95</formula>
    </cfRule>
  </conditionalFormatting>
  <conditionalFormatting sqref="K17">
    <cfRule type="containsText" dxfId="368" priority="142" operator="containsText" text="No">
      <formula>NOT(ISERROR(SEARCH("No",K17)))</formula>
    </cfRule>
    <cfRule type="cellIs" dxfId="367" priority="143" operator="equal">
      <formula>"Yes"</formula>
    </cfRule>
  </conditionalFormatting>
  <conditionalFormatting sqref="K18">
    <cfRule type="colorScale" priority="141">
      <colorScale>
        <cfvo type="num" val="50"/>
        <cfvo type="num" val="80"/>
        <cfvo type="num" val="110"/>
        <color rgb="FF92D050"/>
        <color rgb="FFFFEB84"/>
        <color rgb="FFFF0000"/>
      </colorScale>
    </cfRule>
  </conditionalFormatting>
  <conditionalFormatting sqref="K33:K38">
    <cfRule type="expression" dxfId="366" priority="147">
      <formula>J33=K33</formula>
    </cfRule>
  </conditionalFormatting>
  <conditionalFormatting sqref="M44:P44">
    <cfRule type="expression" dxfId="365" priority="152">
      <formula>$G$45=1</formula>
    </cfRule>
    <cfRule type="expression" dxfId="364" priority="153">
      <formula>$G$46=1</formula>
    </cfRule>
  </conditionalFormatting>
  <conditionalFormatting sqref="O6:O8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8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3:P34">
    <cfRule type="expression" dxfId="363" priority="149">
      <formula>$O$39="Yes"</formula>
    </cfRule>
  </conditionalFormatting>
  <conditionalFormatting sqref="P33:P38">
    <cfRule type="expression" dxfId="362" priority="150">
      <formula>W32&lt;&gt;""</formula>
    </cfRule>
  </conditionalFormatting>
  <conditionalFormatting sqref="S42:U42">
    <cfRule type="expression" dxfId="361" priority="155">
      <formula>$T$40=0</formula>
    </cfRule>
  </conditionalFormatting>
  <conditionalFormatting sqref="T7">
    <cfRule type="cellIs" dxfId="360" priority="102" operator="equal">
      <formula>"Wet"</formula>
    </cfRule>
  </conditionalFormatting>
  <conditionalFormatting sqref="T7:T9">
    <cfRule type="cellIs" dxfId="359" priority="94" operator="equal">
      <formula>"Dry"</formula>
    </cfRule>
    <cfRule type="expression" dxfId="358" priority="156">
      <formula>T7="Wet"</formula>
    </cfRule>
  </conditionalFormatting>
  <conditionalFormatting sqref="T43:T44">
    <cfRule type="expression" dxfId="357" priority="154">
      <formula>$B$46&lt;&gt;"-"</formula>
    </cfRule>
  </conditionalFormatting>
  <conditionalFormatting sqref="AB15">
    <cfRule type="cellIs" dxfId="356" priority="7" operator="equal">
      <formula>"Dry"</formula>
    </cfRule>
    <cfRule type="expression" dxfId="355" priority="8">
      <formula>AB15="Wet"</formula>
    </cfRule>
  </conditionalFormatting>
  <conditionalFormatting sqref="AC6:AC11">
    <cfRule type="expression" dxfId="354" priority="98">
      <formula>$AC$12="Chuva"</formula>
    </cfRule>
  </conditionalFormatting>
  <conditionalFormatting sqref="AC12:AE12">
    <cfRule type="cellIs" dxfId="353" priority="99" operator="equal">
      <formula>"Seco"</formula>
    </cfRule>
    <cfRule type="cellIs" dxfId="352" priority="101" operator="equal">
      <formula>"Chuva"</formula>
    </cfRule>
  </conditionalFormatting>
  <conditionalFormatting sqref="AD6:AD11">
    <cfRule type="expression" dxfId="351" priority="97">
      <formula>$AD$12="Chuva"</formula>
    </cfRule>
  </conditionalFormatting>
  <conditionalFormatting sqref="AD13:AE18">
    <cfRule type="expression" dxfId="350" priority="3">
      <formula>$AB$15="75% Wet"</formula>
    </cfRule>
    <cfRule type="expression" dxfId="349" priority="2">
      <formula>$AB$15="75% Dry"</formula>
    </cfRule>
    <cfRule type="expression" dxfId="348" priority="1">
      <formula>$AB$15="Misto 50%"</formula>
    </cfRule>
  </conditionalFormatting>
  <conditionalFormatting sqref="AE6:AE11">
    <cfRule type="expression" dxfId="347" priority="95">
      <formula>$AE$12="Chuva"</formula>
    </cfRule>
  </conditionalFormatting>
  <conditionalFormatting sqref="AG12">
    <cfRule type="cellIs" dxfId="346" priority="88" operator="equal">
      <formula>"Dry"</formula>
    </cfRule>
    <cfRule type="expression" dxfId="345" priority="89">
      <formula>AG12="Wet"</formula>
    </cfRule>
  </conditionalFormatting>
  <conditionalFormatting sqref="AH5">
    <cfRule type="cellIs" dxfId="344" priority="92" operator="equal">
      <formula>"Dry"</formula>
    </cfRule>
    <cfRule type="expression" dxfId="343" priority="93">
      <formula>AH5="Wet"</formula>
    </cfRule>
  </conditionalFormatting>
  <dataValidations count="10">
    <dataValidation type="list" allowBlank="1" showInputMessage="1" showErrorMessage="1" sqref="O39" xr:uid="{00000000-0002-0000-0400-000000000000}">
      <formula1>"Yes,No"</formula1>
      <formula2>0</formula2>
    </dataValidation>
    <dataValidation operator="equal" allowBlank="1" showInputMessage="1" promptTitle="Formula" prompt="(x1 - x2)(x1 - x3)(x2 – x3)" sqref="S43" xr:uid="{00000000-0002-0000-0400-000001000000}">
      <formula1>0</formula1>
      <formula2>0</formula2>
    </dataValidation>
    <dataValidation operator="equal" allowBlank="1" showInputMessage="1" promptTitle="Formula" prompt="(x3 * (y2 - y1) + x2 * (y1 - y3) + x1 * (y3 - y2)) / denom " sqref="S44" xr:uid="{00000000-0002-0000-0400-000002000000}">
      <formula1>0</formula1>
      <formula2>0</formula2>
    </dataValidation>
    <dataValidation operator="equal" allowBlank="1" showInputMessage="1" promptTitle="Formula" prompt="(x3^2 * (y1 - y2) + x2^2 * (y3 - y1) + x1^2 * (y2 - y3)) / denom " sqref="S45" xr:uid="{00000000-0002-0000-0400-000003000000}">
      <formula1>0</formula1>
      <formula2>0</formula2>
    </dataValidation>
    <dataValidation operator="equal" allowBlank="1" showInputMessage="1" promptTitle="Formula" prompt="(x2 * x3 * (x2 - x3) * y1 + x3 * x1 * (x3 - x1) * y2 + x1 * x2 * (x1 - x2) * y3) / denom " sqref="S46" xr:uid="{00000000-0002-0000-0400-000004000000}">
      <formula1>0</formula1>
      <formula2>0</formula2>
    </dataValidation>
    <dataValidation operator="equal" allowBlank="1" showInputMessage="1" promptTitle="Formula" prompt="-B / (2*A)" sqref="S47" xr:uid="{00000000-0002-0000-0400-000005000000}">
      <formula1>0</formula1>
      <formula2>0</formula2>
    </dataValidation>
    <dataValidation operator="equal" allowBlank="1" showInputMessage="1" promptTitle="Formula" prompt="C - B*B / (4*A)" sqref="S48" xr:uid="{00000000-0002-0000-0400-000006000000}">
      <formula1>0</formula1>
      <formula2>0</formula2>
    </dataValidation>
    <dataValidation type="list" operator="equal" allowBlank="1" sqref="T7:T9" xr:uid="{00000000-0002-0000-0400-000007000000}">
      <formula1>"Dry,Wet"</formula1>
      <formula2>0</formula2>
    </dataValidation>
    <dataValidation type="list" operator="equal" allowBlank="1" sqref="AB15" xr:uid="{E7FE0FCC-ECBB-4C58-BC59-9B1CEA894E6A}">
      <formula1>"Misto 50%,75% Dry,75% Wet"</formula1>
    </dataValidation>
    <dataValidation type="custom" errorStyle="information" allowBlank="1" showInputMessage="1" showErrorMessage="1" errorTitle="Motor" error="Seu motor está no limite" sqref="J7" xr:uid="{E7945D36-35C0-499C-9A7B-5A8972EEEFDD}">
      <formula1>K7&lt;100</formula1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1408E54-A2B5-465F-A567-4FF6AE61A654}">
          <x14:formula1>
            <xm:f>Tracks!$A$4:$A$67</xm:f>
          </x14:formula1>
          <xm:sqref>R5:T5</xm:sqref>
        </x14:dataValidation>
        <x14:dataValidation type="list" allowBlank="1" showInputMessage="1" showErrorMessage="1" xr:uid="{D7D45E20-5D8D-4206-94E2-8667D0CD6B62}">
          <x14:formula1>
            <xm:f>Tables!$AC$10:$AC$13</xm:f>
          </x14:formula1>
          <xm:sqref>I18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00B050"/>
  </sheetPr>
  <dimension ref="A1:AMJ70"/>
  <sheetViews>
    <sheetView showGridLines="0" tabSelected="1" zoomScaleNormal="100" workbookViewId="0">
      <selection activeCell="U23" sqref="U23"/>
    </sheetView>
  </sheetViews>
  <sheetFormatPr defaultColWidth="11.5546875" defaultRowHeight="14.4" x14ac:dyDescent="0.3"/>
  <cols>
    <col min="1" max="1" width="1.5546875" style="3" customWidth="1"/>
    <col min="2" max="2" width="7.5546875" style="3" customWidth="1"/>
    <col min="3" max="4" width="12" style="3" customWidth="1"/>
    <col min="5" max="5" width="6" style="3" customWidth="1"/>
    <col min="6" max="6" width="14.5546875" style="3" customWidth="1"/>
    <col min="7" max="15" width="8.5546875" style="3" customWidth="1"/>
    <col min="16" max="16" width="10.44140625" style="3" customWidth="1"/>
    <col min="17" max="17" width="10.5546875" style="3" customWidth="1"/>
    <col min="18" max="25" width="8.5546875" style="3" customWidth="1"/>
    <col min="26" max="28" width="9.44140625" style="3" customWidth="1"/>
    <col min="29" max="1024" width="11.5546875" style="3"/>
  </cols>
  <sheetData>
    <row r="1" spans="1:37" ht="36" customHeight="1" thickBot="1" x14ac:dyDescent="0.35">
      <c r="A1" s="700"/>
      <c r="B1" s="700"/>
      <c r="C1" s="700"/>
      <c r="D1" s="952"/>
      <c r="E1" s="953"/>
      <c r="F1" s="954"/>
      <c r="G1" s="700"/>
      <c r="H1" s="1007"/>
      <c r="I1" s="1008"/>
      <c r="J1" s="1009"/>
      <c r="K1" s="700"/>
      <c r="L1" s="1010"/>
      <c r="M1" s="1011"/>
      <c r="N1" s="1012"/>
      <c r="O1" s="700"/>
      <c r="P1" s="1013"/>
      <c r="Q1" s="958"/>
      <c r="R1" s="700"/>
      <c r="S1" s="700"/>
      <c r="T1" s="700"/>
      <c r="U1" s="700"/>
      <c r="V1" s="700"/>
      <c r="W1" s="700"/>
      <c r="X1" s="700"/>
    </row>
    <row r="2" spans="1:37" ht="14.25" customHeight="1" thickBot="1" x14ac:dyDescent="0.35">
      <c r="B2" s="1014" t="s">
        <v>137</v>
      </c>
      <c r="C2" s="1014"/>
      <c r="D2" s="9"/>
      <c r="E2" s="9"/>
      <c r="F2" s="1015" t="s">
        <v>138</v>
      </c>
      <c r="G2" s="1016"/>
      <c r="H2" s="1016"/>
      <c r="I2" s="1016"/>
      <c r="J2" s="1016"/>
      <c r="K2" s="1016"/>
      <c r="L2" s="1016"/>
      <c r="M2" s="1016"/>
      <c r="N2" s="1016"/>
      <c r="O2" s="1016"/>
      <c r="P2" s="176"/>
      <c r="Q2" s="1017" t="s">
        <v>139</v>
      </c>
      <c r="R2" s="1018"/>
      <c r="S2" s="1018"/>
      <c r="T2" s="1018"/>
      <c r="U2" s="177" t="s">
        <v>140</v>
      </c>
      <c r="V2" s="177" t="s">
        <v>141</v>
      </c>
      <c r="W2" s="177" t="s">
        <v>142</v>
      </c>
      <c r="X2" s="177" t="s">
        <v>143</v>
      </c>
      <c r="Y2" s="178"/>
    </row>
    <row r="3" spans="1:37" ht="14.25" customHeight="1" thickBot="1" x14ac:dyDescent="0.35">
      <c r="B3" s="179" t="s">
        <v>1</v>
      </c>
      <c r="C3" s="180" t="s">
        <v>50</v>
      </c>
      <c r="D3" s="181" t="s">
        <v>829</v>
      </c>
      <c r="E3" s="9"/>
      <c r="F3" s="182" t="s">
        <v>144</v>
      </c>
      <c r="G3" s="183">
        <v>9</v>
      </c>
      <c r="H3" s="1002" t="s">
        <v>145</v>
      </c>
      <c r="I3" s="1002"/>
      <c r="J3" s="1002"/>
      <c r="K3" s="1002"/>
      <c r="L3" s="1002"/>
      <c r="M3" s="1002"/>
      <c r="N3" s="1002"/>
      <c r="O3" s="1002"/>
      <c r="P3" s="51"/>
      <c r="Q3" s="184" t="s">
        <v>146</v>
      </c>
      <c r="R3" s="1003" t="s">
        <v>147</v>
      </c>
      <c r="S3" s="1003"/>
      <c r="T3" s="1003"/>
      <c r="U3" s="185" t="e">
        <f>VLOOKUP(R4,Tables!U2:Z62,3,0)</f>
        <v>#N/A</v>
      </c>
      <c r="V3" s="185" t="e">
        <f>VLOOKUP(R4,Tables!U2:Z62,4,0)</f>
        <v>#N/A</v>
      </c>
      <c r="W3" s="185" t="e">
        <f>VLOOKUP(R4,Tables!U2:Z62,5,0)</f>
        <v>#N/A</v>
      </c>
      <c r="X3" s="185" t="e">
        <f>VLOOKUP(R4,Tables!U2:Z62,6,0)</f>
        <v>#N/A</v>
      </c>
    </row>
    <row r="4" spans="1:37" ht="14.25" customHeight="1" x14ac:dyDescent="0.3">
      <c r="B4" s="186" t="s">
        <v>25</v>
      </c>
      <c r="C4" s="187">
        <v>0</v>
      </c>
      <c r="D4" s="623">
        <f>C4*VLOOKUP(F4,Tracks!A4:AQ67,43,0)/100</f>
        <v>0</v>
      </c>
      <c r="E4" s="535"/>
      <c r="F4" s="1004" t="str">
        <f>'Setup&amp;WS'!R5</f>
        <v>Paul Ricard</v>
      </c>
      <c r="G4" s="1005"/>
      <c r="H4" s="1005"/>
      <c r="I4" s="1005"/>
      <c r="J4" s="1005"/>
      <c r="K4" s="1005"/>
      <c r="L4" s="1005"/>
      <c r="M4" s="1005"/>
      <c r="N4" s="1005"/>
      <c r="O4" s="1005"/>
      <c r="P4" s="188"/>
      <c r="Q4" s="189" t="s">
        <v>148</v>
      </c>
      <c r="R4" s="1006" t="str">
        <f>'Setup&amp;WS'!R5</f>
        <v>Paul Ricard</v>
      </c>
      <c r="S4" s="1006"/>
      <c r="T4" s="1006"/>
    </row>
    <row r="5" spans="1:37" ht="14.25" customHeight="1" thickBot="1" x14ac:dyDescent="0.35">
      <c r="B5" s="186" t="s">
        <v>149</v>
      </c>
      <c r="C5" s="187" t="s">
        <v>343</v>
      </c>
      <c r="D5" s="503" t="s">
        <v>830</v>
      </c>
      <c r="E5" s="535"/>
      <c r="F5" s="531" t="s">
        <v>151</v>
      </c>
      <c r="G5" s="190" t="s">
        <v>152</v>
      </c>
      <c r="H5" s="191" t="s">
        <v>153</v>
      </c>
      <c r="I5" s="192" t="s">
        <v>154</v>
      </c>
      <c r="J5" s="192" t="s">
        <v>155</v>
      </c>
      <c r="K5" s="192" t="s">
        <v>156</v>
      </c>
      <c r="L5" s="191" t="s">
        <v>157</v>
      </c>
      <c r="M5" s="191" t="s">
        <v>158</v>
      </c>
      <c r="N5" s="193" t="s">
        <v>159</v>
      </c>
      <c r="O5" s="194" t="s">
        <v>41</v>
      </c>
      <c r="P5" s="195"/>
      <c r="Q5" s="196" t="e">
        <f>('Setup&amp;WS'!E17)-C4/U3*#REF!</f>
        <v>#N/A</v>
      </c>
      <c r="R5" s="996" t="s">
        <v>160</v>
      </c>
      <c r="S5" s="996"/>
      <c r="T5" s="996"/>
      <c r="Y5" s="197"/>
    </row>
    <row r="6" spans="1:37" ht="14.25" customHeight="1" thickBot="1" x14ac:dyDescent="0.35">
      <c r="B6" s="186" t="s">
        <v>161</v>
      </c>
      <c r="C6" s="187" t="s">
        <v>168</v>
      </c>
      <c r="D6" s="622">
        <f>D4/O14</f>
        <v>0</v>
      </c>
      <c r="E6" s="535"/>
      <c r="F6" s="532" t="s">
        <v>163</v>
      </c>
      <c r="G6" s="198">
        <f>((ROUNDUP(VLOOKUP('Setup&amp;WS'!$R$5,Tracks!$A$4:$I$886,9,0)/(Tables!O65*(100-$G$3)/100),0))-1)</f>
        <v>3</v>
      </c>
      <c r="H6" s="155"/>
      <c r="I6" s="199"/>
      <c r="J6" s="200">
        <f>IF(H6&lt;&gt;"",H6*((ROUNDUP(VLOOKUP('Setup&amp;WS'!$R$5,Tracks!$A$4:$AA$886,9,0)*(VLOOKUP('Setup&amp;WS'!$R$5,Tracks!$A$4:$AB$886,27,0)+Tables!$H$47)/(H6+1),0)*Tables!$F$107+Tables!$C$113+Tables!$F$108*'Setup&amp;WS'!$O$18+Tables!$F$109*'Setup&amp;WS'!$O$17+Tables!$F$110*'Setup&amp;WS'!$O$14+Tables!$F$111*'Setup&amp;WS'!$O$15)+$D$19),G6*((ROUNDUP(VLOOKUP('Setup&amp;WS'!$R$5,Tracks!$A$4:$AA$886,9,0)*(VLOOKUP('Setup&amp;WS'!$R$5,Tracks!$A$4:$AB$886,27,0)+Tables!$H$47)/(G6+1),0)*Tables!$F$107+Tables!$C$113+Tables!$F$108*'Setup&amp;WS'!$O$18+Tables!$F$109*'Setup&amp;WS'!$O$17+Tables!$F$110*'Setup&amp;WS'!$O$14+Tables!$F$111*'Setup&amp;WS'!$O$15)+$D$19))</f>
        <v>135.17653911638541</v>
      </c>
      <c r="K6" s="200">
        <f>IF(H6&lt;&gt;"",((VLOOKUP('Setup&amp;WS'!$R$5,Tracks!$A$4:$AA$849,9,0)/(H6+1)/$C$12/2))*VLOOKUP('Setup&amp;WS'!$R$5,Tracks!$A$4:$I$849,9,0)*0.005,((VLOOKUP('Setup&amp;WS'!$R$5,Tracks!$A$4:$AA$849,9,0)/(G6+1)/$C$12/2))*VLOOKUP('Setup&amp;WS'!$R$5,Tracks!$A$4:$I$849,9,0)*0.005)</f>
        <v>44.362402842784299</v>
      </c>
      <c r="L6" s="200">
        <v>0</v>
      </c>
      <c r="M6" s="200">
        <f>IF(N6&lt;0,"Tyres",IF(I6&lt;&gt;"",J6+K6+L6-(I6*0.03*$D$18),J6+K6+L6-($C$4*0.03*$D$18)))</f>
        <v>179.5389419591697</v>
      </c>
      <c r="N6" s="201">
        <f>IF(H6&lt;&gt;"",100-($D$18/(H6+1))*100*VLOOKUP('Setup&amp;WS'!$R$5,Tracks!$A$4:$G$886,7,0)/Tables!O65,100-($D$18/(G6+1))*100*VLOOKUP('Setup&amp;WS'!$R$5,Tracks!$A$4:$G$886,7,0)/Tables!O65)</f>
        <v>17.86828717103802</v>
      </c>
      <c r="O6" s="202" t="str">
        <f>IF(N6&lt;0,"Tyres",IF(MIN($M$6:$M$9)=M6,"Best","+"&amp;ROUND((M6-MIN($M$6:$M$9)),1)&amp;" s"))</f>
        <v>Best</v>
      </c>
      <c r="P6" s="203" t="s">
        <v>164</v>
      </c>
      <c r="Q6" s="196" t="e">
        <f>('Setup&amp;WS'!E17)-C4/V3*#REF!</f>
        <v>#N/A</v>
      </c>
      <c r="R6" s="996" t="s">
        <v>165</v>
      </c>
      <c r="S6" s="996"/>
      <c r="T6" s="996"/>
      <c r="W6" s="178"/>
      <c r="Y6" s="197"/>
      <c r="AI6" s="204"/>
      <c r="AJ6" s="204"/>
      <c r="AK6" s="204"/>
    </row>
    <row r="7" spans="1:37" ht="14.25" customHeight="1" thickBot="1" x14ac:dyDescent="0.35">
      <c r="B7" s="205" t="s">
        <v>166</v>
      </c>
      <c r="C7" s="206">
        <v>2</v>
      </c>
      <c r="D7" s="1000"/>
      <c r="E7" s="535"/>
      <c r="F7" s="533" t="s">
        <v>162</v>
      </c>
      <c r="G7" s="198">
        <f>((ROUNDUP(VLOOKUP('Setup&amp;WS'!$R$5,Tracks!$A$4:$I$886,9,0)/(Tables!O66*(100-$G$3)/100),0))-1)</f>
        <v>2</v>
      </c>
      <c r="H7" s="163"/>
      <c r="I7" s="207"/>
      <c r="J7" s="208">
        <f>IF(H7&lt;&gt;"",H7*((ROUNDUP(VLOOKUP('Setup&amp;WS'!$R$5,Tracks!$A$4:$AA$886,9,0)*(VLOOKUP('Setup&amp;WS'!$R$5,Tracks!$A$4:$AB$886,27,0)+Tables!$H$47)/(H7+1),0)*Tables!$F$107+Tables!$C$113+Tables!$F$108*'Setup&amp;WS'!$O$18+Tables!$F$109*'Setup&amp;WS'!$O$17+Tables!$F$110*'Setup&amp;WS'!$O$14+Tables!$F$111*'Setup&amp;WS'!$O$15)+$D$19),G7*((ROUNDUP(VLOOKUP('Setup&amp;WS'!$R$5,Tracks!$A$4:$AA$886,9,0)*(VLOOKUP('Setup&amp;WS'!$R$5,Tracks!$A$4:$AB$886,27,0)+Tables!$H$47)/(G7+1),0)*Tables!$F$107+Tables!$C$113+Tables!$F$108*'Setup&amp;WS'!$O$18+Tables!$F$109*'Setup&amp;WS'!$O$17+Tables!$F$110*'Setup&amp;WS'!$O$14+Tables!$F$111*'Setup&amp;WS'!$O$15)+$D$19))</f>
        <v>91.468189589373594</v>
      </c>
      <c r="K7" s="208">
        <f>IF(H7&lt;&gt;"",((VLOOKUP('Setup&amp;WS'!$R$5,Tracks!$A$4:$AA$849,9,0)/(H7+1)/$C$12/2))*VLOOKUP('Setup&amp;WS'!$R$5,Tracks!$A$4:$I$849,9,0)*0.005,((VLOOKUP('Setup&amp;WS'!$R$5,Tracks!$A$4:$AA$849,9,0)/(G7+1)/$C$12/2))*VLOOKUP('Setup&amp;WS'!$R$5,Tracks!$A$4:$I$849,9,0)*0.005)</f>
        <v>59.149870457045729</v>
      </c>
      <c r="L7" s="208">
        <f>D21*D18</f>
        <v>34.335374999999999</v>
      </c>
      <c r="M7" s="200">
        <f>IF(N7&lt;0,"Tyres",IF(I7&lt;&gt;"",J7+K7+L7-(I7*0.03*$D$18),J7+K7+L7-($C$4*0.03*$D$18)))</f>
        <v>184.95343504641932</v>
      </c>
      <c r="N7" s="209">
        <f>IF(H7&lt;&gt;"",100-($D$18/(H7+1))*100*VLOOKUP('Setup&amp;WS'!$R$5,Tracks!$A$4:$G$886,7,0)/Tables!O66,100-($D$18/(G7+1))*100*VLOOKUP('Setup&amp;WS'!$R$5,Tracks!$A$4:$G$886,7,0)/Tables!O66)</f>
        <v>19.199101105094428</v>
      </c>
      <c r="O7" s="202" t="str">
        <f>IF(N7&lt;0,"Tyres",IF(MIN($M$6:$M$9)=M7,"Best","+"&amp;ROUND((M7-MIN($M$6:$M$9)),1)&amp;" s"))</f>
        <v>+5,4 s</v>
      </c>
      <c r="P7" s="203" t="s">
        <v>164</v>
      </c>
      <c r="Q7" s="196" t="e">
        <f>('Setup&amp;WS'!E17)-C4/W3*#REF!</f>
        <v>#N/A</v>
      </c>
      <c r="R7" s="996" t="s">
        <v>167</v>
      </c>
      <c r="S7" s="996"/>
      <c r="T7" s="996"/>
      <c r="V7" s="178"/>
      <c r="W7" s="178"/>
      <c r="X7" s="178"/>
      <c r="Y7" s="197"/>
      <c r="AI7" s="204"/>
      <c r="AJ7" s="204"/>
      <c r="AK7" s="204"/>
    </row>
    <row r="8" spans="1:37" ht="14.25" customHeight="1" thickBot="1" x14ac:dyDescent="0.35">
      <c r="D8" s="1001"/>
      <c r="E8" s="535"/>
      <c r="F8" s="533" t="s">
        <v>168</v>
      </c>
      <c r="G8" s="198">
        <f>((ROUNDUP(VLOOKUP('Setup&amp;WS'!$R$5,Tracks!$A$4:$I$886,9,0)/(Tables!O67*(100-$G$3)/100),0))-1)</f>
        <v>1</v>
      </c>
      <c r="H8" s="163"/>
      <c r="I8" s="207"/>
      <c r="J8" s="208">
        <f>IF(H8&lt;&gt;"",H8*((ROUNDUP(VLOOKUP('Setup&amp;WS'!$R$5,Tracks!$A$4:$AA$886,9,0)*(VLOOKUP('Setup&amp;WS'!$R$5,Tracks!$A$4:$AB$886,27,0)+Tables!$H$47)/(H8+1),0)*Tables!$F$107+Tables!$C$113+Tables!$F$108*'Setup&amp;WS'!$O$18+Tables!$F$109*'Setup&amp;WS'!$O$17+Tables!$F$110*'Setup&amp;WS'!$O$14+Tables!$F$111*'Setup&amp;WS'!$O$15)+$D$19),G8*((ROUNDUP(VLOOKUP('Setup&amp;WS'!$R$5,Tracks!$A$4:$AA$886,9,0)*(VLOOKUP('Setup&amp;WS'!$R$5,Tracks!$A$4:$AB$886,27,0)+Tables!$H$47)/(G8+1),0)*Tables!$F$107+Tables!$C$113+Tables!$F$108*'Setup&amp;WS'!$O$18+Tables!$F$109*'Setup&amp;WS'!$O$17+Tables!$F$110*'Setup&amp;WS'!$O$14+Tables!$F$111*'Setup&amp;WS'!$O$15)+$D$19))</f>
        <v>47.120131030464414</v>
      </c>
      <c r="K8" s="208">
        <f>IF(H8&lt;&gt;"",((VLOOKUP('Setup&amp;WS'!$R$5,Tracks!$A$4:$AA$849,9,0)/(H8+1)/$C$12/2))*VLOOKUP('Setup&amp;WS'!$R$5,Tracks!$A$4:$I$849,9,0)*0.005,((VLOOKUP('Setup&amp;WS'!$R$5,Tracks!$A$4:$AA$849,9,0)/(G8+1)/$C$12/2))*VLOOKUP('Setup&amp;WS'!$R$5,Tracks!$A$4:$I$849,9,0)*0.005)</f>
        <v>88.724805685568597</v>
      </c>
      <c r="L8" s="208">
        <f>L7+(D21*D18)</f>
        <v>68.670749999999998</v>
      </c>
      <c r="M8" s="200">
        <f>IF(N8&lt;0,"Tyres",IF(I8&lt;&gt;"",J8+K8+L8-(I8*0.03*$D$18),J8+K8+L8-($C$4*0.03*$D$18)))</f>
        <v>204.515686716033</v>
      </c>
      <c r="N8" s="209">
        <f>IF(H8&lt;&gt;"",100-($D$18/(H8+1))*100*VLOOKUP('Setup&amp;WS'!$R$5,Tracks!$A$4:$G$886,7,0)/Tables!O67,100-($D$18/(G8+1))*100*VLOOKUP('Setup&amp;WS'!$R$5,Tracks!$A$4:$G$886,7,0)/Tables!O67)</f>
        <v>10.571895227627195</v>
      </c>
      <c r="O8" s="202" t="str">
        <f>IF(N8&lt;0,"Tyres",IF(MIN($M$6:$M$9)=M8,"Best","+"&amp;ROUND((M8-MIN($M$6:$M$9)),1)&amp;" s"))</f>
        <v>+25 s</v>
      </c>
      <c r="P8" s="203" t="s">
        <v>164</v>
      </c>
      <c r="Q8" s="196" t="e">
        <f>('Setup&amp;WS'!E17)-C4/X3*#REF!</f>
        <v>#N/A</v>
      </c>
      <c r="R8" s="996" t="s">
        <v>169</v>
      </c>
      <c r="S8" s="996"/>
      <c r="T8" s="996"/>
      <c r="U8" s="210"/>
      <c r="V8" s="211"/>
      <c r="W8" s="211"/>
      <c r="X8" s="211"/>
      <c r="Y8" s="212"/>
      <c r="AC8" s="1"/>
      <c r="AD8" s="1"/>
      <c r="AE8" s="1"/>
      <c r="AI8" s="213" t="s">
        <v>170</v>
      </c>
      <c r="AJ8" s="213" t="s">
        <v>171</v>
      </c>
      <c r="AK8" s="213" t="s">
        <v>172</v>
      </c>
    </row>
    <row r="9" spans="1:37" ht="14.25" customHeight="1" thickBot="1" x14ac:dyDescent="0.35">
      <c r="B9" s="997" t="s">
        <v>173</v>
      </c>
      <c r="C9" s="997"/>
      <c r="D9" s="998"/>
      <c r="E9" s="535"/>
      <c r="F9" s="533" t="s">
        <v>174</v>
      </c>
      <c r="G9" s="198">
        <f>((ROUNDUP(VLOOKUP('Setup&amp;WS'!$R$5,Tracks!$A$4:$I$886,9,0)/(Tables!O68*(100-$G$3)/100),0))-1)</f>
        <v>1</v>
      </c>
      <c r="H9" s="172"/>
      <c r="I9" s="214"/>
      <c r="J9" s="215">
        <f>IF(H9&lt;&gt;"",H9*((ROUNDUP(VLOOKUP('Setup&amp;WS'!$R$5,Tracks!$A$4:$AA$886,9,0)*(VLOOKUP('Setup&amp;WS'!$R$5,Tracks!$A$4:$AB$886,27,0)+Tables!$H$47)/(H9+1),0)*Tables!$F$107+Tables!$C$113+Tables!$F$108*'Setup&amp;WS'!$O$18+Tables!$F$109*'Setup&amp;WS'!$O$17+Tables!$F$110*'Setup&amp;WS'!$O$14+Tables!$F$111*'Setup&amp;WS'!$O$15)+$D$19),G9*((ROUNDUP(VLOOKUP('Setup&amp;WS'!$R$5,Tracks!$A$4:$AA$886,9,0)*(VLOOKUP('Setup&amp;WS'!$R$5,Tracks!$A$4:$AB$886,27,0)+Tables!$H$47)/(G9+1),0)*Tables!$F$107+Tables!$C$113+Tables!$F$108*'Setup&amp;WS'!$O$18+Tables!$F$109*'Setup&amp;WS'!$O$17+Tables!$F$110*'Setup&amp;WS'!$O$14+Tables!$F$111*'Setup&amp;WS'!$O$15)+$D$19))</f>
        <v>47.120131030464414</v>
      </c>
      <c r="K9" s="215">
        <f>IF(H9&lt;&gt;"",((VLOOKUP('Setup&amp;WS'!$R$5,Tracks!$A$4:$AA$849,9,0)/(H9+1)/$C$12/2))*VLOOKUP('Setup&amp;WS'!$R$5,Tracks!$A$4:$I$849,9,0)*0.005,((VLOOKUP('Setup&amp;WS'!$R$5,Tracks!$A$4:$AA$849,9,0)/(G9+1)/$C$12/2))*VLOOKUP('Setup&amp;WS'!$R$5,Tracks!$A$4:$I$849,9,0)*0.005)</f>
        <v>88.724805685568597</v>
      </c>
      <c r="L9" s="215">
        <f>L8+(D21*D18)</f>
        <v>103.006125</v>
      </c>
      <c r="M9" s="215">
        <f>IF(N9&lt;0,"Tyres",IF(I9&lt;&gt;"",J9+K9+L9-(I9*0.03*$D$18),J9+K9+L9-($C$4*0.03*$D$18)))</f>
        <v>238.851061716033</v>
      </c>
      <c r="N9" s="216">
        <f>IF(H9&lt;&gt;"",100-($D$18/(H9+1))*100*VLOOKUP('Setup&amp;WS'!$R$5,Tracks!$A$4:$G$886,7,0)/Tables!O68,100-($D$18/(G9+1))*100*VLOOKUP('Setup&amp;WS'!$R$5,Tracks!$A$4:$G$886,7,0)/Tables!O68)</f>
        <v>34.015701701698816</v>
      </c>
      <c r="O9" s="217" t="str">
        <f>IF(N9&lt;0,"Tyres",IF(MIN($M$6:$M$9)=M9,"Best","+"&amp;ROUND((M9-MIN($M$6:$M$9)),1)&amp;" s"))</f>
        <v>+59,3 s</v>
      </c>
      <c r="P9" s="203" t="s">
        <v>164</v>
      </c>
      <c r="Q9" s="588" t="e">
        <f>VLOOKUP(R4,#REF!,6,0)-VLOOKUP(F4,#REF!,7,0)</f>
        <v>#REF!</v>
      </c>
      <c r="R9" s="999" t="e">
        <f>#REF!</f>
        <v>#REF!</v>
      </c>
      <c r="S9" s="999"/>
      <c r="T9" s="999"/>
      <c r="U9" s="597" t="e">
        <f>VLOOKUP(R4,Tables!U2:AB63,8,0)</f>
        <v>#N/A</v>
      </c>
      <c r="V9" s="218"/>
      <c r="W9" s="218"/>
      <c r="X9" s="218"/>
      <c r="Y9" s="212"/>
      <c r="AC9" s="1"/>
      <c r="AE9" s="1"/>
      <c r="AI9" s="204"/>
      <c r="AJ9" s="219"/>
      <c r="AK9" s="204"/>
    </row>
    <row r="10" spans="1:37" ht="14.25" customHeight="1" thickBot="1" x14ac:dyDescent="0.35">
      <c r="B10" s="16"/>
      <c r="C10" s="220" t="s">
        <v>27</v>
      </c>
      <c r="D10" s="52" t="s">
        <v>175</v>
      </c>
      <c r="E10" s="535"/>
      <c r="F10" s="534" t="s">
        <v>176</v>
      </c>
      <c r="G10" s="221">
        <f>((ROUNDUP(VLOOKUP('Setup&amp;WS'!$R$5,Tracks!$A$4:$I$886,9,0)/(Tables!F59*(100-$G$3)/100),0))-1)</f>
        <v>1</v>
      </c>
      <c r="H10" s="987" t="s">
        <v>831</v>
      </c>
      <c r="I10" s="990" t="s">
        <v>895</v>
      </c>
      <c r="J10" s="993" t="s">
        <v>896</v>
      </c>
      <c r="K10" s="993" t="s">
        <v>897</v>
      </c>
      <c r="L10" s="993" t="s">
        <v>898</v>
      </c>
      <c r="M10" s="993" t="s">
        <v>828</v>
      </c>
      <c r="O10" s="222"/>
      <c r="Q10" s="223"/>
      <c r="S10" s="51"/>
      <c r="V10" s="211"/>
      <c r="W10" s="211"/>
      <c r="X10" s="224"/>
      <c r="Y10" s="225"/>
      <c r="AC10" s="226"/>
      <c r="AE10" s="1"/>
      <c r="AI10" s="204">
        <v>1</v>
      </c>
      <c r="AJ10" s="219">
        <f>IF($U$18="Custom Stints",G21,G14)</f>
        <v>0</v>
      </c>
      <c r="AK10" s="204"/>
    </row>
    <row r="11" spans="1:37" ht="14.25" customHeight="1" x14ac:dyDescent="0.3">
      <c r="B11" s="24" t="s">
        <v>177</v>
      </c>
      <c r="C11" s="227">
        <f>IF(C3="Dry",VLOOKUP('Setup&amp;WS'!R5,Tracks!$A$4:$AB$886,27,0),VLOOKUP('Setup&amp;WS'!R5,Tracks!$A$4:$AB$886,28,0))+Tables!H47</f>
        <v>0.76301902228922192</v>
      </c>
      <c r="D11" s="228">
        <f>VLOOKUP('Setup&amp;WS'!R5,Tracks!$A$4:$AA$886,9,0)*C11</f>
        <v>232.72080179821268</v>
      </c>
      <c r="E11" s="9"/>
      <c r="F11" s="229"/>
      <c r="G11" s="230"/>
      <c r="H11" s="988"/>
      <c r="I11" s="991"/>
      <c r="J11" s="994"/>
      <c r="K11" s="994"/>
      <c r="L11" s="994"/>
      <c r="M11" s="994"/>
      <c r="N11" s="51"/>
      <c r="O11" s="51"/>
      <c r="P11" s="51"/>
      <c r="Q11" s="51"/>
      <c r="R11" s="51"/>
      <c r="S11" s="51"/>
      <c r="V11" s="211"/>
      <c r="W11" s="211"/>
      <c r="X11" s="211"/>
      <c r="Y11" s="211"/>
      <c r="AC11" s="226"/>
      <c r="AE11" s="1"/>
      <c r="AI11" s="204">
        <v>2</v>
      </c>
      <c r="AJ11" s="219">
        <f>IF($U$18="Custom Stints",G21+H21,G14+H14)</f>
        <v>0</v>
      </c>
      <c r="AK11" s="204"/>
    </row>
    <row r="12" spans="1:37" ht="14.25" customHeight="1" thickBot="1" x14ac:dyDescent="0.35">
      <c r="B12" s="24" t="s">
        <v>178</v>
      </c>
      <c r="C12" s="231">
        <f>1/C11</f>
        <v>1.3105833154719839</v>
      </c>
      <c r="D12" s="228"/>
      <c r="E12" s="9"/>
      <c r="F12" s="232"/>
      <c r="G12" s="232"/>
      <c r="H12" s="989"/>
      <c r="I12" s="992"/>
      <c r="J12" s="995"/>
      <c r="K12" s="995"/>
      <c r="L12" s="995"/>
      <c r="M12" s="995"/>
      <c r="N12" s="232"/>
      <c r="O12" s="232"/>
      <c r="P12" s="983" t="s">
        <v>817</v>
      </c>
      <c r="V12" s="211"/>
      <c r="W12" s="211"/>
      <c r="X12" s="211"/>
      <c r="Y12" s="211"/>
      <c r="AC12" s="233"/>
      <c r="AE12" s="1"/>
      <c r="AF12" s="234"/>
      <c r="AI12" s="204">
        <v>3</v>
      </c>
      <c r="AJ12" s="219">
        <f>IF($U$18="Custom Stints",SUM(G21:I21),SUM(G14:I14))</f>
        <v>0</v>
      </c>
      <c r="AK12" s="204"/>
    </row>
    <row r="13" spans="1:37" ht="14.25" customHeight="1" thickBot="1" x14ac:dyDescent="0.35">
      <c r="B13" s="13"/>
      <c r="C13" s="235" t="s">
        <v>179</v>
      </c>
      <c r="D13" s="22" t="s">
        <v>180</v>
      </c>
      <c r="E13" s="9"/>
      <c r="F13" s="236" t="s">
        <v>181</v>
      </c>
      <c r="G13" s="235" t="s">
        <v>182</v>
      </c>
      <c r="H13" s="53" t="s">
        <v>183</v>
      </c>
      <c r="I13" s="53" t="s">
        <v>184</v>
      </c>
      <c r="J13" s="53" t="s">
        <v>185</v>
      </c>
      <c r="K13" s="237" t="s">
        <v>186</v>
      </c>
      <c r="L13" s="53" t="s">
        <v>187</v>
      </c>
      <c r="M13" s="53" t="s">
        <v>188</v>
      </c>
      <c r="N13" s="53" t="s">
        <v>189</v>
      </c>
      <c r="O13" s="553" t="s">
        <v>41</v>
      </c>
      <c r="P13" s="984"/>
      <c r="Q13" s="981" t="s">
        <v>190</v>
      </c>
      <c r="R13" s="982"/>
      <c r="S13" s="982"/>
      <c r="T13" s="982"/>
      <c r="U13" s="238">
        <f>$C11*VLOOKUP('Setup&amp;WS'!$R$5,Tracks!$A$4:$G$886,7,0)</f>
        <v>2.9460164450586861</v>
      </c>
      <c r="V13" s="239" t="s">
        <v>191</v>
      </c>
      <c r="X13" s="211"/>
      <c r="Y13" s="211"/>
      <c r="AC13" s="226"/>
      <c r="AE13" s="1"/>
      <c r="AI13" s="204">
        <v>4</v>
      </c>
      <c r="AJ13" s="219">
        <f>IF($U$18="Custom Stints",SUM(G21:J21),SUM(G14:J14))</f>
        <v>0</v>
      </c>
      <c r="AK13" s="204"/>
    </row>
    <row r="14" spans="1:37" ht="14.25" customHeight="1" thickBot="1" x14ac:dyDescent="0.35">
      <c r="B14" s="612" t="s">
        <v>192</v>
      </c>
      <c r="C14" s="241">
        <f ca="1">Tables!L82*VLOOKUP('Setup&amp;WS'!$R$5,INDIRECT("Tracks!A4:"&amp;VLOOKUP(C5,Tyres!A:D,4,FALSE)&amp;"886"),
   IF(C6="Rain",
      VLOOKUP(C5,Tyres!A:C,2,FALSE),
      VLOOKUP(C5,Tyres!A:C,3,FALSE)
   ),
   FALSE
 ) *
 Tables!B77</f>
        <v>170.53866945765245</v>
      </c>
      <c r="D14" s="242">
        <f ca="1">C14/VLOOKUP('Setup&amp;WS'!R5,Tracks!$A$4:$G$886,7,0)</f>
        <v>44.169559559091539</v>
      </c>
      <c r="E14" s="892">
        <f ca="1">C14</f>
        <v>170.53866945765245</v>
      </c>
      <c r="F14" s="243" t="s">
        <v>180</v>
      </c>
      <c r="G14" s="244">
        <f>IF(SUM(Tables!B86:B87)&gt;0,SUM(Tables!B86:B87),"-")</f>
        <v>27</v>
      </c>
      <c r="H14" s="245">
        <f>IF(SUM(Tables!C86:C87)&gt;0,SUM(Tables!C86:C87),"-")</f>
        <v>26</v>
      </c>
      <c r="I14" s="245">
        <f>IF(SUM(Tables!D86:D87)&gt;0,SUM(Tables!D86:D87),"-")</f>
        <v>26</v>
      </c>
      <c r="J14" s="245" t="str">
        <f>IF(SUM(Tables!E86:E87)&gt;0,SUM(Tables!E86:E87),"-")</f>
        <v>-</v>
      </c>
      <c r="K14" s="246" t="str">
        <f>IF(SUM(Tables!F86:F87)&gt;0,SUM(Tables!F86:F87),"-")</f>
        <v>-</v>
      </c>
      <c r="L14" s="247" t="str">
        <f>IF(SUM(Tables!G86:G87)&gt;0,SUM(Tables!G86:G87),"-")</f>
        <v>-</v>
      </c>
      <c r="M14" s="245" t="str">
        <f>IF(SUM(Tables!H86:H87)&gt;0,SUM(Tables!H86:H87),"-")</f>
        <v>-</v>
      </c>
      <c r="N14" s="245" t="str">
        <f>IF(SUM(Tables!I86:I87)&gt;0,SUM(Tables!I86:I87),"-")</f>
        <v>-</v>
      </c>
      <c r="O14" s="554">
        <f>SUM(G14:N14)</f>
        <v>79</v>
      </c>
      <c r="P14" s="985"/>
      <c r="Q14" s="981" t="s">
        <v>193</v>
      </c>
      <c r="R14" s="982"/>
      <c r="S14" s="982"/>
      <c r="T14" s="982"/>
      <c r="U14" s="238">
        <f>U13*0.6</f>
        <v>1.7676098670352116</v>
      </c>
      <c r="V14" s="239" t="s">
        <v>191</v>
      </c>
      <c r="X14" s="211"/>
      <c r="Y14" s="211"/>
      <c r="AC14" s="226"/>
      <c r="AE14" s="1"/>
      <c r="AI14" s="204">
        <v>5</v>
      </c>
      <c r="AJ14" s="219">
        <f>IF($U$18="Custom Stints",SUM(G21:K21),SUM(G14:K14))</f>
        <v>0</v>
      </c>
      <c r="AK14" s="204"/>
    </row>
    <row r="15" spans="1:37" ht="14.25" customHeight="1" thickBot="1" x14ac:dyDescent="0.35">
      <c r="B15" s="613" t="s">
        <v>828</v>
      </c>
      <c r="C15" s="614">
        <f>IF(C5="Pipirelli",IF(C3="Dry",VLOOKUP('Setup&amp;WS'!R5,Tracks!$A$4:$AB$886,27,0),VLOOKUP('Setup&amp;WS'!R5,Tracks!$A$4:$AB$886,28,0)),IF(C5="Avonn",IF(C3="Dry",VLOOKUP('Setup&amp;WS'!R5,Tracks!$A$4:$BC$886,54,0),VLOOKUP('Setup&amp;WS'!R5,Tracks!$A$4:$BC$886,55,0)),IF(C5="Yokomama",IF(C3="Dry",VLOOKUP('Setup&amp;WS'!R5,Tracks!$A$4:$BJ$886,61,0),VLOOKUP('Setup&amp;WS'!R5,Tracks!$A$4:$BJ$886,62,0)),IF(C5="Dunnolop",IF(C3="Dry",VLOOKUP('Setup&amp;WS'!R5,Tracks!$A$4:$BQ$886,68,0),VLOOKUP('Setup&amp;WS'!R5,Tracks!$A$4:$BQ$886,69,0)),IF(C5="Contimental",IF(C3="Dry",VLOOKUP('Setup&amp;WS'!R5,Tracks!$A$4:$BX$886,75,0),VLOOKUP('Setup&amp;WS'!R5,Tracks!$A$4:$BX$886,76,0)),IF(C5="Badyear",IF(C3="Dry",VLOOKUP('Setup&amp;WS'!R5,Tracks!$A$4:$CE$886,82,0),VLOOKUP('Setup&amp;WS'!R5,Tracks!$A$4:$CE$886,83,0)),IF(C5="Hancock",IF(C3="Dry",VLOOKUP('Setup&amp;WS'!R5,Tracks!$A$4:$CL$886,89,0),VLOOKUP('Setup&amp;WS'!R5,Tracks!$A$4:$CL$886,90,0)),IF(C5="Bridgerock",IF(C3="Dry",VLOOKUP('Setup&amp;WS'!R5,Tracks!$A$4:$CZ$886,103,0),VLOOKUP('Setup&amp;WS'!R5,Tracks!$A$4:$CZ$886,104,0))))))))))</f>
        <v>0.89500000000000002</v>
      </c>
      <c r="D15" s="615">
        <f>IF(C6="Rain",VLOOKUP(F4,Tracks!A4:AQ67,29,0),VLOOKUP(F4,Tracks!A4:AQ67,30,0))</f>
        <v>1.07</v>
      </c>
      <c r="E15" s="51"/>
      <c r="F15" s="248" t="s">
        <v>194</v>
      </c>
      <c r="G15" s="893">
        <f ca="1">IF(G14&lt;&gt;"-",100-G14*100*VLOOKUP('Setup&amp;WS'!$R$5,Tracks!$A$4:$G$886,7,0)/$C$14,"-")</f>
        <v>38.871928383441357</v>
      </c>
      <c r="H15" s="250">
        <f ca="1">IF(H14&lt;&gt;"-",100-H14*100*VLOOKUP('Setup&amp;WS'!$R$5,Tracks!$A$4:$G$886,7,0)/$C$14,"-")</f>
        <v>41.135931035906495</v>
      </c>
      <c r="I15" s="250">
        <f ca="1">IF(I14&lt;&gt;"-",100-I14*100*VLOOKUP('Setup&amp;WS'!$R$5,Tracks!$A$4:$G$886,7,0)/$C$14,"-")</f>
        <v>41.135931035906495</v>
      </c>
      <c r="J15" s="250" t="str">
        <f>IF(J14&lt;&gt;"-",100-J14*100*VLOOKUP('Setup&amp;WS'!$R$5,Tracks!$A$4:$G$886,7,0)/$C$14,"-")</f>
        <v>-</v>
      </c>
      <c r="K15" s="209" t="str">
        <f>IF(K14&lt;&gt;"-",100-K14*100*VLOOKUP('Setup&amp;WS'!$R$5,Tracks!$A$4:$G$886,7,0)/$C$14,"-")</f>
        <v>-</v>
      </c>
      <c r="L15" s="250" t="str">
        <f>IF(L14&lt;&gt;"-",100-L14*100*VLOOKUP('Setup&amp;WS'!$R$5,Tracks!$A$4:$G$886,7,0)/$C$14,"-")</f>
        <v>-</v>
      </c>
      <c r="M15" s="250" t="str">
        <f>IF(M14&lt;&gt;"-",100-M14*100*VLOOKUP('Setup&amp;WS'!$R$5,Tracks!$A$4:$G$886,7,0)/$C$14,"-")</f>
        <v>-</v>
      </c>
      <c r="N15" s="250" t="str">
        <f>IF(N14&lt;&gt;"-",100-N14*100*VLOOKUP('Setup&amp;WS'!$R$5,Tracks!$A$4:$G$886,7,0)/$C$14,"-")</f>
        <v>-</v>
      </c>
      <c r="O15" s="555">
        <f ca="1">ROUND(SUM(G15:N15)/(1+C7),2)</f>
        <v>40.380000000000003</v>
      </c>
      <c r="P15" s="584">
        <f>VLOOKUP(F4,Tracks!A4:AE67,31,0)</f>
        <v>0.99</v>
      </c>
      <c r="Q15" s="981" t="s">
        <v>195</v>
      </c>
      <c r="R15" s="982"/>
      <c r="S15" s="982"/>
      <c r="T15" s="982"/>
      <c r="U15" s="566">
        <v>0.3</v>
      </c>
      <c r="V15" s="239" t="s">
        <v>191</v>
      </c>
      <c r="X15" s="211"/>
      <c r="Y15" s="211"/>
      <c r="AC15" s="226"/>
      <c r="AD15" s="1"/>
      <c r="AE15" s="1"/>
      <c r="AI15" s="204"/>
      <c r="AJ15" s="219"/>
      <c r="AK15" s="204"/>
    </row>
    <row r="16" spans="1:37" ht="14.25" customHeight="1" thickBot="1" x14ac:dyDescent="0.35">
      <c r="B16" s="986" t="s">
        <v>196</v>
      </c>
      <c r="C16" s="911"/>
      <c r="D16" s="911"/>
      <c r="E16" s="178"/>
      <c r="F16" s="248" t="s">
        <v>197</v>
      </c>
      <c r="G16" s="252">
        <f>IF(G14&lt;&gt;"-",CEILING((G14*$C11*VLOOKUP('Setup&amp;WS'!$R$5,Tracks!$A$4:$G$886,7,0))+$U$15,1),"-")</f>
        <v>80</v>
      </c>
      <c r="H16" s="252">
        <f>IF(H14&lt;&gt;"-",CEILING((H14*$C11*VLOOKUP('Setup&amp;WS'!$R$5,Tracks!$A$4:$G$886,7,0))+$U$15,1),"-")</f>
        <v>77</v>
      </c>
      <c r="I16" s="621">
        <f>IF(I14&lt;&gt;"-",CEILING((I14*$C11*VLOOKUP('Setup&amp;WS'!$R$5,Tracks!$A$4:$G$886,7,0))+$U$15,1),"-")</f>
        <v>77</v>
      </c>
      <c r="J16" s="252" t="str">
        <f>IF(J14&lt;&gt;"-",CEILING((J14*$C11*VLOOKUP('Setup&amp;WS'!$R$5,Tracks!$A$4:$G$886,7,0))+$U$15,1),"-")</f>
        <v>-</v>
      </c>
      <c r="K16" s="252" t="str">
        <f>IF(K14&lt;&gt;"-",CEILING((K14*$C11*VLOOKUP('Setup&amp;WS'!$R$5,Tracks!$A$4:$G$886,7,0))+$U$15,1),"-")</f>
        <v>-</v>
      </c>
      <c r="L16" s="252" t="str">
        <f>IF(L14&lt;&gt;"-",CEILING((L14*$C11*VLOOKUP('Setup&amp;WS'!$R$5,Tracks!$A$4:$G$886,7,0))+$U$15,1),"-")</f>
        <v>-</v>
      </c>
      <c r="M16" s="252" t="str">
        <f>IF(M14&lt;&gt;"-",CEILING((M14*$C11*VLOOKUP('Setup&amp;WS'!$R$5,Tracks!$A$4:$G$886,7,0))+$U$15,1),"-")</f>
        <v>-</v>
      </c>
      <c r="N16" s="252" t="str">
        <f>IF(N14&lt;&gt;"-",CEILING((N14*$C11*VLOOKUP('Setup&amp;WS'!$R$5,Tracks!$A$4:$G$886,7,0))+$U$15,1),"-")</f>
        <v>-</v>
      </c>
      <c r="O16" s="253">
        <f>SUM(G16:N16)</f>
        <v>234</v>
      </c>
      <c r="P16" s="584">
        <f>VLOOKUP(F4,Tracks!A4:AE67,26,0)</f>
        <v>0.99</v>
      </c>
      <c r="X16" s="211"/>
      <c r="Y16" s="211"/>
      <c r="AC16" s="226"/>
      <c r="AD16" s="1"/>
      <c r="AE16" s="1"/>
      <c r="AI16" s="204"/>
      <c r="AJ16" s="204"/>
      <c r="AK16" s="204"/>
    </row>
    <row r="17" spans="2:37" ht="14.25" customHeight="1" thickBot="1" x14ac:dyDescent="0.35">
      <c r="B17" s="919" t="s">
        <v>24</v>
      </c>
      <c r="C17" s="919"/>
      <c r="D17" s="254" t="str">
        <f>VLOOKUP('Setup&amp;WS'!$R$5,Tracks!$A$4:$P$886,3,0)</f>
        <v>Easy</v>
      </c>
      <c r="E17" s="178"/>
      <c r="F17" s="248" t="s">
        <v>198</v>
      </c>
      <c r="G17" s="255" t="s">
        <v>199</v>
      </c>
      <c r="H17" s="256">
        <f>IF(H14&lt;&gt;"-",H16*Tables!$F$107+Tables!$C$113+Tables!$F$108*'Setup&amp;WS'!$O$18+Tables!$F$109*'Setup&amp;WS'!$O$17+Tables!$F$110*'Setup&amp;WS'!$O$14+Tables!$F$111*'Setup&amp;WS'!$O$15,"-")</f>
        <v>26.198555404025832</v>
      </c>
      <c r="I17" s="256">
        <f>IF(I14&lt;&gt;"-",I16*Tables!$F$107+Tables!$C$113+Tables!$F$108*'Setup&amp;WS'!$O$18+Tables!$F$109*'Setup&amp;WS'!$O$17+Tables!$F$110*'Setup&amp;WS'!$O$14+Tables!$F$111*'Setup&amp;WS'!$O$15,"-")</f>
        <v>26.198555404025832</v>
      </c>
      <c r="J17" s="256" t="str">
        <f>IF(J14&lt;&gt;"-",J16*Tables!$F$107+Tables!$C$113+Tables!$F$108*'Setup&amp;WS'!$O$18+Tables!$F$109*'Setup&amp;WS'!$O$17+Tables!$F$110*'Setup&amp;WS'!$O$14+Tables!$F$111*'Setup&amp;WS'!$O$15,"-")</f>
        <v>-</v>
      </c>
      <c r="K17" s="257" t="str">
        <f>IF(K14&lt;&gt;"-",K16*Tables!$F$107+Tables!$C$113+Tables!$F$108*'Setup&amp;WS'!$O$18+Tables!$F$109*'Setup&amp;WS'!$O$17+Tables!$F$110*'Setup&amp;WS'!$O$14+Tables!$F$111*'Setup&amp;WS'!$O$15,"-")</f>
        <v>-</v>
      </c>
      <c r="L17" s="256" t="str">
        <f>IF(L14&lt;&gt;"-",L16*Tables!$F$107+Tables!$C$113+Tables!$F$108*'Setup&amp;WS'!$O$18+Tables!$F$109*'Setup&amp;WS'!$O$17+Tables!$F$110*'Setup&amp;WS'!$O$14+Tables!$F$111*'Setup&amp;WS'!$O$15,"-")</f>
        <v>-</v>
      </c>
      <c r="M17" s="256" t="str">
        <f>IF(M14&lt;&gt;"-",M16*Tables!$F$107+Tables!$C$113+Tables!$F$108*'Setup&amp;WS'!$O$18+Tables!$F$109*'Setup&amp;WS'!$O$17+Tables!$F$110*'Setup&amp;WS'!$O$14+Tables!$F$111*'Setup&amp;WS'!$O$15,"-")</f>
        <v>-</v>
      </c>
      <c r="N17" s="256" t="str">
        <f>IF(N14&lt;&gt;"-",N16*Tables!$F$107+Tables!$C$113+Tables!$F$108*'Setup&amp;WS'!$O$18+Tables!$F$109*'Setup&amp;WS'!$O$17+Tables!$F$110*'Setup&amp;WS'!$O$14+Tables!$F$111*'Setup&amp;WS'!$O$15,"-")</f>
        <v>-</v>
      </c>
      <c r="O17" s="258">
        <f>ROUND((SUM(G17:N17)),2)</f>
        <v>52.4</v>
      </c>
      <c r="X17" s="211"/>
      <c r="Y17" s="211"/>
      <c r="AC17" s="259"/>
      <c r="AE17" s="1"/>
      <c r="AI17" s="204"/>
      <c r="AJ17" s="204"/>
      <c r="AK17" s="204"/>
    </row>
    <row r="18" spans="2:37" ht="14.25" customHeight="1" x14ac:dyDescent="0.3">
      <c r="B18" s="931" t="s">
        <v>180</v>
      </c>
      <c r="C18" s="931"/>
      <c r="D18" s="260">
        <f>VLOOKUP('Setup&amp;WS'!$R$5,Tracks!$A$4:$P$886,8,0)</f>
        <v>79</v>
      </c>
      <c r="E18" s="51"/>
      <c r="F18" s="240" t="s">
        <v>200</v>
      </c>
      <c r="G18" s="261">
        <f t="shared" ref="G18:N18" ca="1" si="0">IF(G14&lt;&gt;"-",IF(G14-($D$14*0.8)&gt;0,(G14-CEILING($D$14*0.8,1)),0),"-")</f>
        <v>0</v>
      </c>
      <c r="H18" s="261">
        <f t="shared" ca="1" si="0"/>
        <v>0</v>
      </c>
      <c r="I18" s="261">
        <f t="shared" ca="1" si="0"/>
        <v>0</v>
      </c>
      <c r="J18" s="261" t="str">
        <f t="shared" si="0"/>
        <v>-</v>
      </c>
      <c r="K18" s="261" t="str">
        <f t="shared" si="0"/>
        <v>-</v>
      </c>
      <c r="L18" s="261" t="str">
        <f t="shared" si="0"/>
        <v>-</v>
      </c>
      <c r="M18" s="261" t="str">
        <f t="shared" si="0"/>
        <v>-</v>
      </c>
      <c r="N18" s="261" t="str">
        <f t="shared" si="0"/>
        <v>-</v>
      </c>
      <c r="O18" s="262">
        <f ca="1">SUM(G18:N18)</f>
        <v>0</v>
      </c>
      <c r="Q18" s="975" t="s">
        <v>201</v>
      </c>
      <c r="R18" s="975"/>
      <c r="S18" s="975"/>
      <c r="T18" s="975"/>
      <c r="U18" s="978" t="s">
        <v>202</v>
      </c>
      <c r="V18" s="978"/>
      <c r="W18" s="978"/>
      <c r="X18" s="263"/>
      <c r="Y18" s="263"/>
      <c r="AC18" s="259"/>
      <c r="AI18" s="204"/>
      <c r="AJ18" s="204"/>
      <c r="AK18" s="204"/>
    </row>
    <row r="19" spans="2:37" ht="14.25" customHeight="1" thickBot="1" x14ac:dyDescent="0.35">
      <c r="B19" s="931" t="s">
        <v>203</v>
      </c>
      <c r="C19" s="931"/>
      <c r="D19" s="264">
        <f>VLOOKUP('Setup&amp;WS'!$R$5,Tracks!$A$4:$P$886,16,0)</f>
        <v>19.5</v>
      </c>
      <c r="E19" s="51"/>
      <c r="Q19" s="265"/>
      <c r="R19" s="266" t="s">
        <v>204</v>
      </c>
      <c r="S19" s="267" t="s">
        <v>205</v>
      </c>
      <c r="T19" s="267" t="s">
        <v>206</v>
      </c>
      <c r="U19" s="979" t="s">
        <v>207</v>
      </c>
      <c r="V19" s="979"/>
      <c r="W19" s="979"/>
      <c r="Y19" s="268"/>
      <c r="AA19" s="233"/>
      <c r="AB19" s="233"/>
    </row>
    <row r="20" spans="2:37" ht="14.25" customHeight="1" thickBot="1" x14ac:dyDescent="0.35">
      <c r="B20" s="931" t="s">
        <v>208</v>
      </c>
      <c r="C20" s="931"/>
      <c r="D20" s="269">
        <f>VLOOKUP('Setup&amp;WS'!$R$5,Tracks!$A$4:$P$886,14,0)</f>
        <v>9.4999999999999998E-3</v>
      </c>
      <c r="E20" s="902"/>
      <c r="F20" s="236" t="s">
        <v>209</v>
      </c>
      <c r="G20" s="235" t="s">
        <v>182</v>
      </c>
      <c r="H20" s="53" t="s">
        <v>183</v>
      </c>
      <c r="I20" s="53" t="s">
        <v>184</v>
      </c>
      <c r="J20" s="53" t="s">
        <v>185</v>
      </c>
      <c r="K20" s="53" t="s">
        <v>186</v>
      </c>
      <c r="L20" s="235" t="s">
        <v>187</v>
      </c>
      <c r="M20" s="53" t="s">
        <v>188</v>
      </c>
      <c r="N20" s="53" t="s">
        <v>189</v>
      </c>
      <c r="O20" s="236" t="s">
        <v>41</v>
      </c>
      <c r="Q20" s="270" t="s">
        <v>210</v>
      </c>
      <c r="R20" s="567"/>
      <c r="S20" s="271" t="str">
        <f>IF(R20=0,"-",IF(R20&lt;=AJ10,1,IF(R20&lt;=AJ11,2,IF(R20&lt;=AJ12,3,IF(R20&lt;=AJ13,4,IF(R20&lt;=AJ14,5,IF(R20&lt;=AJ15,6,"N/A")))))))</f>
        <v>-</v>
      </c>
      <c r="T20" s="272" t="str">
        <f>IF(R20&lt;&gt;"",R20&amp;","&amp;R20+1&amp;","&amp;R20+2,"-")</f>
        <v>-</v>
      </c>
      <c r="U20" s="980" t="str">
        <f>IF(R20&lt;&gt;"",IF(R20+2&gt;VLOOKUP(S20,$AI$10:$AJ$14,2,0),"This boost is split between 2 stints","-"),"-")</f>
        <v>-</v>
      </c>
      <c r="V20" s="980"/>
      <c r="W20" s="980"/>
      <c r="Y20" s="178"/>
      <c r="AA20" s="273"/>
      <c r="AB20" s="273"/>
      <c r="AC20" s="273"/>
      <c r="AE20" s="273"/>
      <c r="AJ20" s="3">
        <v>0</v>
      </c>
    </row>
    <row r="21" spans="2:37" ht="14.25" customHeight="1" x14ac:dyDescent="0.3">
      <c r="B21" s="931" t="s">
        <v>157</v>
      </c>
      <c r="C21" s="931"/>
      <c r="D21" s="904">
        <f>(50-'Setup&amp;WS'!R9)*D20+VLOOKUP(C5,tyrediff,4,FALSE())</f>
        <v>0.43462499999999998</v>
      </c>
      <c r="E21" s="903" t="str">
        <f>SUBSTITUTE(D21,",",".")</f>
        <v>0.434625</v>
      </c>
      <c r="F21" s="243" t="s">
        <v>180</v>
      </c>
      <c r="G21" s="274"/>
      <c r="H21" s="275"/>
      <c r="I21" s="275"/>
      <c r="J21" s="275"/>
      <c r="K21" s="275"/>
      <c r="L21" s="274"/>
      <c r="M21" s="275"/>
      <c r="N21" s="275"/>
      <c r="O21" s="276">
        <f>SUM(G21:N21)</f>
        <v>0</v>
      </c>
      <c r="Q21" s="277" t="s">
        <v>211</v>
      </c>
      <c r="R21" s="568"/>
      <c r="S21" s="278" t="str">
        <f>IF(R21=0,"-",IF(R21&lt;=AJ10,1,IF(R21&lt;=AJ11,2,IF(R21&lt;=AJ12,3,IF(R21&lt;=AJ13,4,IF(R21&lt;=AJ14,5,IF(R21&lt;=AJ15,6,"N/A")))))))</f>
        <v>-</v>
      </c>
      <c r="T21" s="272" t="str">
        <f>IF(R21&lt;&gt;"",R21&amp;","&amp;R21+1&amp;","&amp;R21+2,"-")</f>
        <v>-</v>
      </c>
      <c r="U21" s="976" t="str">
        <f>IF(R21&lt;&gt;"",IF(R21+2&gt;VLOOKUP(S21,$AI$10:$AJ$14,2,0),"This boost is split between 2 stints","-"),"-")</f>
        <v>-</v>
      </c>
      <c r="V21" s="976"/>
      <c r="W21" s="976"/>
      <c r="Y21" s="178"/>
      <c r="AA21" s="273"/>
      <c r="AB21" s="273"/>
      <c r="AC21" s="273"/>
      <c r="AE21" s="273"/>
      <c r="AJ21" s="3">
        <v>0.1</v>
      </c>
    </row>
    <row r="22" spans="2:37" ht="14.25" customHeight="1" thickBot="1" x14ac:dyDescent="0.35">
      <c r="B22" s="931" t="s">
        <v>11</v>
      </c>
      <c r="C22" s="931"/>
      <c r="D22" s="260" t="str">
        <f>VLOOKUP('Setup&amp;WS'!$R$5,Tracks!$A$4:$P$886,5,0)</f>
        <v>High</v>
      </c>
      <c r="E22" s="51"/>
      <c r="F22" s="248" t="s">
        <v>194</v>
      </c>
      <c r="G22" s="249" t="str">
        <f>IF(G21&lt;&gt;"",100-G21*100*VLOOKUP('Setup&amp;WS'!$R$5,Tracks!$A$4:$G$886,7,0)/$C$14,"-")</f>
        <v>-</v>
      </c>
      <c r="H22" s="249" t="str">
        <f>IF(H21&lt;&gt;"",100-H21*100*VLOOKUP('Setup&amp;WS'!$R$5,Tracks!$A$4:$G$886,7,0)/$C$14,"-")</f>
        <v>-</v>
      </c>
      <c r="I22" s="249" t="str">
        <f>IF(I21&lt;&gt;"",100-I21*100*VLOOKUP('Setup&amp;WS'!$R$5,Tracks!$A$4:$G$886,7,0)/$C$14,"-")</f>
        <v>-</v>
      </c>
      <c r="J22" s="249" t="str">
        <f>IF(J21&lt;&gt;"",100-J21*100*VLOOKUP('Setup&amp;WS'!$R$5,Tracks!$A$4:$G$886,7,0)/$C$14,"-")</f>
        <v>-</v>
      </c>
      <c r="K22" s="250" t="str">
        <f>IF(K21&lt;&gt;"",100-K21*100*VLOOKUP('Setup&amp;WS'!$R$5,Tracks!$A$4:$G$886,7,0)/$C$14,"-")</f>
        <v>-</v>
      </c>
      <c r="L22" s="249" t="str">
        <f>IF(L21&lt;&gt;"",100-L21*100*VLOOKUP('Setup&amp;WS'!$R$5,Tracks!$A$4:$G$886,7,0)/$C$14,"-")</f>
        <v>-</v>
      </c>
      <c r="M22" s="249" t="str">
        <f>IF(M21&lt;&gt;"",100-M21*100*VLOOKUP('Setup&amp;WS'!$R$5,Tracks!$A$4:$G$886,7,0)/$C$14,"-")</f>
        <v>-</v>
      </c>
      <c r="N22" s="249" t="str">
        <f>IF(N21&lt;&gt;"",100-N21*100*VLOOKUP('Setup&amp;WS'!$R$5,Tracks!$A$4:$G$886,7,0)/$C$14,"-")</f>
        <v>-</v>
      </c>
      <c r="O22" s="251">
        <f>ROUND(SUM(G22:N22)/(1+C7),2)</f>
        <v>0</v>
      </c>
      <c r="Q22" s="279" t="s">
        <v>212</v>
      </c>
      <c r="R22" s="569"/>
      <c r="S22" s="280" t="str">
        <f>IF(R22=0,"-",IF(R22&lt;=AJ10,1,IF(R22&lt;=AJ11,2,IF(R22&lt;=AJ12,3,IF(R22&lt;=AJ13,4,IF(R22&gt;=AJ14,5,IF(R22&lt;=AJ15,6,"N/A")))))))</f>
        <v>-</v>
      </c>
      <c r="T22" s="272" t="str">
        <f>IF(R22&lt;&gt;"",R22&amp;","&amp;R22+1&amp;","&amp;R22+2,"-")</f>
        <v>-</v>
      </c>
      <c r="U22" s="977" t="str">
        <f>IF(R22&lt;&gt;"",IF(R22+2&gt;VLOOKUP(S22,$AI$10:$AJ$14,2,0),"This boost is split between 2 stints","-"),"-")</f>
        <v>-</v>
      </c>
      <c r="V22" s="977"/>
      <c r="W22" s="977"/>
      <c r="Y22" s="178"/>
      <c r="Z22" s="281"/>
      <c r="AA22" s="273"/>
      <c r="AB22" s="273"/>
      <c r="AC22" s="273"/>
      <c r="AE22" s="273"/>
      <c r="AJ22" s="3">
        <v>0.2</v>
      </c>
    </row>
    <row r="23" spans="2:37" ht="14.25" customHeight="1" thickBot="1" x14ac:dyDescent="0.35">
      <c r="B23" s="931" t="s">
        <v>14</v>
      </c>
      <c r="C23" s="931"/>
      <c r="D23" s="260" t="str">
        <f>VLOOKUP('Setup&amp;WS'!$R$5,Tracks!$A$4:$P$886,6,0)</f>
        <v>Very high</v>
      </c>
      <c r="E23" s="51"/>
      <c r="F23" s="248" t="s">
        <v>197</v>
      </c>
      <c r="G23" s="252" t="str">
        <f>IF(G21&lt;&gt;"",CEILING((G21*$C11*VLOOKUP('Setup&amp;WS'!$R$5,Tracks!$A$4:$G$886,7,0))+$U$15,1),"-")</f>
        <v>-</v>
      </c>
      <c r="H23" s="252" t="str">
        <f>IF(H21&lt;&gt;"",CEILING((H21*$C11*VLOOKUP('Setup&amp;WS'!$R$5,Tracks!$A$4:$G$886,7,0))+$U$15,1),"-")</f>
        <v>-</v>
      </c>
      <c r="I23" s="252" t="str">
        <f>IF(I21&lt;&gt;"",CEILING((I21*$C11*VLOOKUP('Setup&amp;WS'!$R$5,Tracks!$A$4:$G$886,7,0))+$U$15,1),"-")</f>
        <v>-</v>
      </c>
      <c r="J23" s="252" t="str">
        <f>IF(J21&lt;&gt;"",CEILING((J21*$C11*VLOOKUP('Setup&amp;WS'!$R$5,Tracks!$A$4:$G$886,7,0))+$U$15,1),"-")</f>
        <v>-</v>
      </c>
      <c r="K23" s="252" t="str">
        <f>IF(K21&lt;&gt;"",CEILING((K21*$C11*VLOOKUP('Setup&amp;WS'!$R$5,Tracks!$A$4:$G$886,7,0))+$U$15,1),"-")</f>
        <v>-</v>
      </c>
      <c r="L23" s="252" t="str">
        <f>IF(L21&lt;&gt;"",CEILING((L21*$C11*VLOOKUP('Setup&amp;WS'!$R$5,Tracks!$A$4:$G$886,7,0))+$U$15,1),"-")</f>
        <v>-</v>
      </c>
      <c r="M23" s="252" t="str">
        <f>IF(M21&lt;&gt;"",CEILING((M21*$C11*VLOOKUP('Setup&amp;WS'!$R$5,Tracks!$A$4:$G$886,7,0))+$U$15,1),"-")</f>
        <v>-</v>
      </c>
      <c r="N23" s="252" t="str">
        <f>IF(N21&lt;&gt;"",CEILING((N21*$C11*VLOOKUP('Setup&amp;WS'!$R$5,Tracks!$A$4:$G$886,7,0))+$U$15,1),"-")</f>
        <v>-</v>
      </c>
      <c r="O23" s="253">
        <f>SUM(G23:N23)</f>
        <v>0</v>
      </c>
      <c r="Q23" s="282" t="s">
        <v>213</v>
      </c>
      <c r="R23" s="235" t="s">
        <v>182</v>
      </c>
      <c r="S23" s="53" t="s">
        <v>183</v>
      </c>
      <c r="T23" s="53" t="s">
        <v>184</v>
      </c>
      <c r="U23" s="191" t="s">
        <v>185</v>
      </c>
      <c r="V23" s="191" t="s">
        <v>186</v>
      </c>
      <c r="W23" s="574" t="s">
        <v>41</v>
      </c>
      <c r="X23" s="575" t="s">
        <v>821</v>
      </c>
      <c r="Y23" s="178"/>
      <c r="Z23" s="281"/>
      <c r="AA23" s="273"/>
      <c r="AB23" s="273"/>
      <c r="AC23" s="273"/>
      <c r="AE23" s="273"/>
      <c r="AJ23" s="3">
        <v>0.3</v>
      </c>
    </row>
    <row r="24" spans="2:37" ht="14.25" customHeight="1" thickBot="1" x14ac:dyDescent="0.35">
      <c r="B24" s="921" t="s">
        <v>214</v>
      </c>
      <c r="C24" s="921"/>
      <c r="D24" s="242" t="str">
        <f>VLOOKUP('Setup&amp;WS'!$R$5,Tracks!$A$4:$Q$886,17,0)</f>
        <v>Very high</v>
      </c>
      <c r="E24" s="178"/>
      <c r="F24" s="248" t="s">
        <v>198</v>
      </c>
      <c r="G24" s="255" t="s">
        <v>199</v>
      </c>
      <c r="H24" s="256" t="str">
        <f>IF(H21&lt;&gt;"",H23*Tables!$F$107+Tables!$C$113+Tables!$F$108*'Setup&amp;WS'!$O$18+Tables!$F$109*'Setup&amp;WS'!$O$17+Tables!$F$110*'Setup&amp;WS'!$O$14+Tables!$F$111*'Setup&amp;WS'!$O$15,"-")</f>
        <v>-</v>
      </c>
      <c r="I24" s="256" t="str">
        <f>IF(I21&lt;&gt;"",I23*Tables!$F$107+Tables!$C$113+Tables!$F$108*'Setup&amp;WS'!$O$18+Tables!$F$109*'Setup&amp;WS'!$O$17+Tables!$F$110*'Setup&amp;WS'!$O$14+Tables!$F$111*'Setup&amp;WS'!$O$15,"-")</f>
        <v>-</v>
      </c>
      <c r="J24" s="256" t="str">
        <f>IF(J21&lt;&gt;"",J23*Tables!$F$107+Tables!$C$113+Tables!$F$108*'Setup&amp;WS'!$O$18+Tables!$F$109*'Setup&amp;WS'!$O$17+Tables!$F$110*'Setup&amp;WS'!$O$14+Tables!$F$111*'Setup&amp;WS'!$O$15,"-")</f>
        <v>-</v>
      </c>
      <c r="K24" s="256" t="str">
        <f>IF(K21&lt;&gt;"",K23*Tables!$F$107+Tables!$C$113+Tables!$F$108*'Setup&amp;WS'!$O$18+Tables!$F$109*'Setup&amp;WS'!$O$17+Tables!$F$110*'Setup&amp;WS'!$O$14+Tables!$F$111*'Setup&amp;WS'!$O$15,"-")</f>
        <v>-</v>
      </c>
      <c r="L24" s="256" t="str">
        <f>IF(L21&lt;&gt;"",L23*Tables!$F$107+Tables!$C$113+Tables!$F$108*'Setup&amp;WS'!$O$18+Tables!$F$109*'Setup&amp;WS'!$O$17+Tables!$F$110*'Setup&amp;WS'!$O$14+Tables!$F$111*'Setup&amp;WS'!$O$15,"-")</f>
        <v>-</v>
      </c>
      <c r="M24" s="256" t="str">
        <f>IF(M21&lt;&gt;"",M23*Tables!$F$107+Tables!$C$113+Tables!$F$108*'Setup&amp;WS'!$O$18+Tables!$F$109*'Setup&amp;WS'!$O$17+Tables!$F$110*'Setup&amp;WS'!$O$14+Tables!$F$111*'Setup&amp;WS'!$O$15,"-")</f>
        <v>-</v>
      </c>
      <c r="N24" s="256" t="str">
        <f>IF(N21&lt;&gt;"",N23*Tables!$F$107+Tables!$C$113+Tables!$F$108*'Setup&amp;WS'!$O$18+Tables!$F$109*'Setup&amp;WS'!$O$17+Tables!$F$110*'Setup&amp;WS'!$O$14+Tables!$F$111*'Setup&amp;WS'!$O$15,"-")</f>
        <v>-</v>
      </c>
      <c r="O24" s="258">
        <f>ROUND(SUM(G24:N24),2)</f>
        <v>0</v>
      </c>
      <c r="Q24" s="18" t="s">
        <v>215</v>
      </c>
      <c r="R24" s="244" t="str">
        <f>IF((IF($U$18="Custom Stints",G23,G16))&lt;&gt;"-",COUNTIF($S$20:$S$22,1),"-")</f>
        <v>-</v>
      </c>
      <c r="S24" s="245" t="str">
        <f>IF((IF($U$18="Custom Stints",H23,H16))&lt;&gt;"-",COUNTIF($S$20:$S$22,2),"-")</f>
        <v>-</v>
      </c>
      <c r="T24" s="245" t="str">
        <f>IF((IF($U$18="Custom Stints",I23,I16))&lt;&gt;"-",COUNTIF($S$20:$S$22,3),"-")</f>
        <v>-</v>
      </c>
      <c r="U24" s="245" t="str">
        <f>IF((IF($U$18="Custom Stints",J23,J16))&lt;&gt;"-",COUNTIF($S$20:$S$22,4),"-")</f>
        <v>-</v>
      </c>
      <c r="V24" s="245" t="str">
        <f>IF((IF($U$18="Custom Stints",K23,K16))&lt;&gt;"-",COUNTIF($S$20:$S$22,5),"-")</f>
        <v>-</v>
      </c>
      <c r="W24" s="283">
        <f>SUM(R24:V24)</f>
        <v>0</v>
      </c>
      <c r="X24" s="583">
        <f>IF(K27="yes",Tables!AC16+H30+J30,Tables!AC16+H30)</f>
        <v>102.94249412730376</v>
      </c>
      <c r="Y24" s="178"/>
      <c r="Z24" s="281"/>
      <c r="AA24" s="273"/>
      <c r="AB24" s="273"/>
      <c r="AC24" s="273"/>
      <c r="AE24" s="273"/>
      <c r="AJ24" s="3">
        <v>0.4</v>
      </c>
    </row>
    <row r="25" spans="2:37" ht="14.25" customHeight="1" thickBot="1" x14ac:dyDescent="0.35">
      <c r="E25" s="178"/>
      <c r="F25" s="240" t="s">
        <v>200</v>
      </c>
      <c r="G25" s="261" t="str">
        <f t="shared" ref="G25:N25" si="1">IF(G21&lt;&gt;"",IF(G21-($D$14*0.8)&gt;0,(G21-CEILING($D$14*0.8,1)),0),"-")</f>
        <v>-</v>
      </c>
      <c r="H25" s="261" t="str">
        <f t="shared" si="1"/>
        <v>-</v>
      </c>
      <c r="I25" s="261" t="str">
        <f t="shared" si="1"/>
        <v>-</v>
      </c>
      <c r="J25" s="261" t="str">
        <f>IF(J21&lt;&gt;"",IF(J21-($D$14*0.8)&gt;0,(J21-CEILING($D$14*0.8,1)),0),"-")</f>
        <v>-</v>
      </c>
      <c r="K25" s="284" t="str">
        <f t="shared" si="1"/>
        <v>-</v>
      </c>
      <c r="L25" s="284" t="str">
        <f t="shared" si="1"/>
        <v>-</v>
      </c>
      <c r="M25" s="284" t="str">
        <f t="shared" si="1"/>
        <v>-</v>
      </c>
      <c r="N25" s="261" t="str">
        <f t="shared" si="1"/>
        <v>-</v>
      </c>
      <c r="O25" s="262">
        <f>SUM(G25:N25)</f>
        <v>0</v>
      </c>
      <c r="Q25" s="31" t="s">
        <v>216</v>
      </c>
      <c r="R25" s="285" t="str">
        <f>IF(IF($U$18="Custom Stints",G23,G16)&lt;&gt;"-",CEILING((IF($U$18="Custom Stints",(G21*$C$11*VLOOKUP('Setup&amp;WS'!$R$5,Tracks!$A$4:$G$886,7,0)),(G14*$C$11*VLOOKUP('Setup&amp;WS'!$R$5,Tracks!$A$4:$G$886,7,0)))+(R24*$C$11*VLOOKUP('Setup&amp;WS'!$R$5,Tracks!$A$4:$G$886,7,0)*0.6))+$U$15,1),"-")</f>
        <v>-</v>
      </c>
      <c r="S25" s="285" t="str">
        <f>IF(IF($U$18="Custom Stints",H23,H16)&lt;&gt;"-",CEILING((IF($U$18="Custom Stints",(H21*$C$11*VLOOKUP('Setup&amp;WS'!$R$5,Tracks!$A$4:$G$886,7,0)),(H14*$C$11*VLOOKUP('Setup&amp;WS'!$R$5,Tracks!$A$4:$G$886,7,0)))+(S24*$C$11*VLOOKUP('Setup&amp;WS'!$R$5,Tracks!$A$4:$G$886,7,0)*0.6))+$U$15,1),"-")</f>
        <v>-</v>
      </c>
      <c r="T25" s="285" t="str">
        <f>IF(IF($U$18="Custom Stints",I23,I16)&lt;&gt;"-",CEILING((IF($U$18="Custom Stints",(I21*$C$11*VLOOKUP('Setup&amp;WS'!$R$5,Tracks!$A$4:$G$886,7,0)),(I14*$C$11*VLOOKUP('Setup&amp;WS'!$R$5,Tracks!$A$4:$G$886,7,0)))+(T24*$C$11*VLOOKUP('Setup&amp;WS'!$R$5,Tracks!$A$4:$G$886,7,0)*0.6))+$U$15,1),"-")</f>
        <v>-</v>
      </c>
      <c r="U25" s="285" t="str">
        <f>IF(IF($U$18="Custom Stints",J23,J16)&lt;&gt;"-",CEILING((IF($U$18="Custom Stints",(J21*$C$11*VLOOKUP('Setup&amp;WS'!$R$5,Tracks!$A$4:$G$886,7,0)),(J14*$C$11*VLOOKUP('Setup&amp;WS'!$R$5,Tracks!$A$4:$G$886,7,0)))+(U24*$C$11*VLOOKUP('Setup&amp;WS'!$R$5,Tracks!$A$4:$G$886,7,0)*0.6))+$U$15,1),"-")</f>
        <v>-</v>
      </c>
      <c r="V25" s="285" t="str">
        <f>IF(IF($U$18="Custom Stints",K23,K16)&lt;&gt;"-",CEILING((IF($U$18="Custom Stints",(K21*$C$11*VLOOKUP('Setup&amp;WS'!$R$5,Tracks!$A$4:$G$886,7,0)),(K14*$C$11*VLOOKUP('Setup&amp;WS'!$R$5,Tracks!$A$4:$G$886,7,0)))+(V24*$C$11*VLOOKUP('Setup&amp;WS'!$R$5,Tracks!$A$4:$G$886,7,0)*0.6))+$U$15,1),"-")</f>
        <v>-</v>
      </c>
      <c r="W25" s="286">
        <f>SUM(R25:V25)</f>
        <v>0</v>
      </c>
      <c r="Y25" s="178"/>
      <c r="Z25" s="281"/>
      <c r="AA25" s="273"/>
      <c r="AB25" s="273"/>
      <c r="AC25" s="273"/>
      <c r="AE25" s="273"/>
      <c r="AJ25" s="3">
        <v>0.5</v>
      </c>
    </row>
    <row r="26" spans="2:37" ht="14.25" customHeight="1" thickBot="1" x14ac:dyDescent="0.35">
      <c r="E26" s="178"/>
      <c r="J26" s="287" t="s">
        <v>899</v>
      </c>
      <c r="K26" s="287" t="s">
        <v>217</v>
      </c>
      <c r="L26" s="287" t="s">
        <v>218</v>
      </c>
      <c r="M26" s="551" t="s">
        <v>794</v>
      </c>
      <c r="O26" s="288"/>
      <c r="Q26" s="51"/>
      <c r="V26" s="233"/>
      <c r="W26" s="233"/>
      <c r="X26" s="233"/>
      <c r="Y26" s="268"/>
      <c r="Z26" s="289"/>
      <c r="AA26" s="290"/>
      <c r="AB26" s="290"/>
      <c r="AC26" s="273"/>
      <c r="AE26" s="273"/>
      <c r="AJ26" s="3">
        <v>0.6</v>
      </c>
    </row>
    <row r="27" spans="2:37" ht="14.25" customHeight="1" thickBot="1" x14ac:dyDescent="0.35">
      <c r="D27" s="968" t="s">
        <v>825</v>
      </c>
      <c r="E27" s="969"/>
      <c r="F27" s="972" t="s">
        <v>219</v>
      </c>
      <c r="G27" s="973"/>
      <c r="H27" s="973"/>
      <c r="I27" s="974"/>
      <c r="J27" s="749"/>
      <c r="K27" s="27" t="s">
        <v>109</v>
      </c>
      <c r="L27" s="585">
        <v>100</v>
      </c>
      <c r="M27" s="498">
        <v>0.03</v>
      </c>
      <c r="Q27" s="51"/>
      <c r="V27" s="233"/>
      <c r="W27" s="233"/>
      <c r="X27" s="233"/>
      <c r="Y27" s="268"/>
      <c r="Z27" s="289"/>
      <c r="AA27" s="290"/>
      <c r="AB27" s="290"/>
      <c r="AC27" s="273"/>
      <c r="AE27" s="273"/>
      <c r="AJ27" s="3">
        <v>0.7</v>
      </c>
    </row>
    <row r="28" spans="2:37" ht="14.25" customHeight="1" thickBot="1" x14ac:dyDescent="0.35">
      <c r="D28" s="970" t="s">
        <v>251</v>
      </c>
      <c r="E28" s="971"/>
      <c r="F28" s="966" t="s">
        <v>37</v>
      </c>
      <c r="G28" s="966"/>
      <c r="H28" s="291" t="s">
        <v>0</v>
      </c>
      <c r="I28" s="292" t="s">
        <v>220</v>
      </c>
      <c r="J28" s="293" t="s">
        <v>221</v>
      </c>
      <c r="K28" s="294" t="s">
        <v>222</v>
      </c>
      <c r="L28" s="295" t="s">
        <v>223</v>
      </c>
      <c r="M28" s="296" t="s">
        <v>224</v>
      </c>
      <c r="Q28" s="51"/>
      <c r="W28" s="233"/>
      <c r="X28" s="233"/>
      <c r="Y28" s="268"/>
      <c r="Z28" s="289"/>
      <c r="AA28" s="290"/>
      <c r="AB28" s="290"/>
      <c r="AC28" s="273"/>
      <c r="AE28" s="273"/>
      <c r="AJ28" s="3">
        <v>0.8</v>
      </c>
    </row>
    <row r="29" spans="2:37" ht="14.25" customHeight="1" x14ac:dyDescent="0.3">
      <c r="D29" s="820" t="s">
        <v>910</v>
      </c>
      <c r="E29" s="821">
        <f>VLOOKUP(D28,Tables!U2:V63,2,0)</f>
        <v>105</v>
      </c>
      <c r="F29" s="918" t="s">
        <v>4</v>
      </c>
      <c r="G29" s="919"/>
      <c r="H29" s="297">
        <f>'Setup&amp;WS'!J6</f>
        <v>87</v>
      </c>
      <c r="I29" s="298">
        <f>VLOOKUP('Setup&amp;WS'!$R$5,Tracks!$A$4:$AP$886,32,0)*VLOOKUP('Setup&amp;WS'!I6,Tables!$B$94:$C$102,2,0)^$C$4*Tables!$B$91</f>
        <v>19.823520777134064</v>
      </c>
      <c r="J29" s="299" t="str">
        <f>IF($K$27="Yes",(K29/100*L27),"0")</f>
        <v>0</v>
      </c>
      <c r="K29" s="300" t="e">
        <f>VLOOKUP(D28,Tracks!$A$4:$AP$886,32,0)*VLOOKUP('Setup&amp;WS'!I6,Tables!$B$94:$C$102,2,0)^Tables!AE24*Tables!$B$91/2</f>
        <v>#N/A</v>
      </c>
      <c r="L29" s="301" t="str">
        <f>IF($K$27="Yes",(K29/100*L27+H29),"Sem teste")</f>
        <v>Sem teste</v>
      </c>
      <c r="M29" s="302">
        <f t="shared" ref="M29:M39" si="2">H29+I29+J29</f>
        <v>106.82352077713406</v>
      </c>
      <c r="N29" s="303"/>
      <c r="O29" s="303"/>
      <c r="Q29" s="51"/>
      <c r="Y29" s="178"/>
      <c r="Z29" s="281"/>
      <c r="AA29" s="273"/>
      <c r="AB29" s="273"/>
      <c r="AC29" s="273"/>
      <c r="AE29" s="273"/>
      <c r="AJ29" s="3">
        <v>0.9</v>
      </c>
    </row>
    <row r="30" spans="2:37" ht="14.25" customHeight="1" x14ac:dyDescent="0.3">
      <c r="D30" s="820" t="s">
        <v>911</v>
      </c>
      <c r="E30" s="822"/>
      <c r="F30" s="936" t="s">
        <v>6</v>
      </c>
      <c r="G30" s="931"/>
      <c r="H30" s="304">
        <f>'Setup&amp;WS'!J7</f>
        <v>64</v>
      </c>
      <c r="I30" s="305">
        <f>VLOOKUP('Setup&amp;WS'!$R$5,Tracks!$A$4:$AP$886,33,0)*VLOOKUP('Setup&amp;WS'!I7,Tables!$B$94:$C$102,2,0)^$C$4*Tables!$B$91</f>
        <v>38.94249412730376</v>
      </c>
      <c r="J30" s="299" t="str">
        <f>IF($K$27="Yes",(K30/100*L27),"0")</f>
        <v>0</v>
      </c>
      <c r="K30" s="306" t="e">
        <f>VLOOKUP(D28,Tracks!$A$4:$AP$886,33,0)*VLOOKUP('Setup&amp;WS'!I7,Tables!$B$94:$C$102,2,0)^Tables!AE24*Tables!$B$91/2</f>
        <v>#N/A</v>
      </c>
      <c r="L30" s="307" t="str">
        <f>IF($K$27="Yes",(K30/100*L27+H30),"Sem teste")</f>
        <v>Sem teste</v>
      </c>
      <c r="M30" s="302">
        <f>H30+I30+J30-IF(F4="Rafaela Oval xx",I30*0.11,0)</f>
        <v>102.94249412730376</v>
      </c>
      <c r="N30" s="303"/>
      <c r="O30" s="303"/>
      <c r="Q30" s="51"/>
      <c r="Y30" s="178"/>
      <c r="AB30" s="233"/>
      <c r="AC30" s="233"/>
      <c r="AD30" s="233"/>
      <c r="AE30" s="273"/>
      <c r="AJ30" s="3">
        <v>1</v>
      </c>
    </row>
    <row r="31" spans="2:37" ht="14.25" customHeight="1" x14ac:dyDescent="0.3">
      <c r="B31" s="178"/>
      <c r="C31" s="178"/>
      <c r="E31" s="51"/>
      <c r="F31" s="931" t="s">
        <v>52</v>
      </c>
      <c r="G31" s="931"/>
      <c r="H31" s="304">
        <f>'Setup&amp;WS'!J8</f>
        <v>71</v>
      </c>
      <c r="I31" s="305">
        <f>VLOOKUP('Setup&amp;WS'!$R$5,Tracks!$A$4:$AP$886,34,0)*VLOOKUP('Setup&amp;WS'!I8,Tables!$B$94:$C$102,2,0)^$C$4*Tables!$B$91</f>
        <v>19.823520777134064</v>
      </c>
      <c r="J31" s="299" t="str">
        <f>IF($K$27="Yes",(K31/100*L27),"0")</f>
        <v>0</v>
      </c>
      <c r="K31" s="306" t="e">
        <f>VLOOKUP(D28,Tracks!$A$4:$AP$886,34,0)*VLOOKUP('Setup&amp;WS'!I8,Tables!$B$94:$C$102,2,0)^Tables!AE24*Tables!$B$91/2</f>
        <v>#N/A</v>
      </c>
      <c r="L31" s="307" t="str">
        <f>IF($K$27="Yes",(K31/100*L27+H31),"Sem teste")</f>
        <v>Sem teste</v>
      </c>
      <c r="M31" s="302">
        <f t="shared" si="2"/>
        <v>90.823520777134064</v>
      </c>
      <c r="N31" s="303"/>
      <c r="O31" s="303"/>
      <c r="Q31" s="51"/>
      <c r="W31" s="259"/>
      <c r="Y31" s="178"/>
      <c r="AJ31" s="3">
        <v>1.1000000000000001</v>
      </c>
    </row>
    <row r="32" spans="2:37" ht="14.25" customHeight="1" x14ac:dyDescent="0.3">
      <c r="B32" s="178"/>
      <c r="C32" s="178"/>
      <c r="D32" s="178"/>
      <c r="E32" s="51"/>
      <c r="F32" s="931" t="s">
        <v>54</v>
      </c>
      <c r="G32" s="931"/>
      <c r="H32" s="304">
        <f>'Setup&amp;WS'!J9</f>
        <v>72</v>
      </c>
      <c r="I32" s="305">
        <f>VLOOKUP('Setup&amp;WS'!$R$5,Tracks!$A$4:$AP$886,35,0)*VLOOKUP('Setup&amp;WS'!I9,Tables!$B$94:$C$102,2,0)^$C$4*Tables!$B$91</f>
        <v>25.023132784251196</v>
      </c>
      <c r="J32" s="299" t="str">
        <f>IF($K$27="Yes",(K32/100*L27),"0")</f>
        <v>0</v>
      </c>
      <c r="K32" s="306" t="e">
        <f>VLOOKUP(D28,Tracks!$A$4:$AP$886,35,0)*VLOOKUP('Setup&amp;WS'!I9,Tables!$B$94:$C$102,2,0)^Tables!AE24*Tables!$B$91/2</f>
        <v>#N/A</v>
      </c>
      <c r="L32" s="307" t="str">
        <f>IF($K$27="Yes",(K32/100*L27+H32),"Sem teste")</f>
        <v>Sem teste</v>
      </c>
      <c r="M32" s="302">
        <f t="shared" si="2"/>
        <v>97.023132784251203</v>
      </c>
      <c r="N32" s="303"/>
      <c r="O32" s="303"/>
      <c r="Q32" s="51"/>
      <c r="R32" s="178"/>
      <c r="S32" s="178"/>
      <c r="T32" s="178"/>
      <c r="U32" s="178"/>
      <c r="V32" s="178"/>
      <c r="W32" s="178"/>
      <c r="X32" s="178"/>
      <c r="Y32" s="178"/>
      <c r="AJ32" s="3">
        <v>1.2</v>
      </c>
    </row>
    <row r="33" spans="5:36" ht="14.25" customHeight="1" x14ac:dyDescent="0.3">
      <c r="E33" s="2"/>
      <c r="F33" s="931" t="s">
        <v>10</v>
      </c>
      <c r="G33" s="931"/>
      <c r="H33" s="304">
        <f>'Setup&amp;WS'!J10</f>
        <v>20</v>
      </c>
      <c r="I33" s="305">
        <f>VLOOKUP('Setup&amp;WS'!$R$5,Tracks!$A$4:$AP$886,36,0)*VLOOKUP('Setup&amp;WS'!I10,Tables!$B$94:$C$102,2,0)^$C$4*Tables!$B$91</f>
        <v>21.006432508753214</v>
      </c>
      <c r="J33" s="299" t="str">
        <f>IF($K$27="Yes",(K33/100*L27),"0")</f>
        <v>0</v>
      </c>
      <c r="K33" s="306" t="e">
        <f>VLOOKUP(D28,Tracks!$A$4:$AP$886,36,0)*VLOOKUP('Setup&amp;WS'!I10,Tables!$B$94:$C$102,2,0)^Tables!AE24*Tables!$B$91/2</f>
        <v>#N/A</v>
      </c>
      <c r="L33" s="307" t="str">
        <f>IF($K$27="Yes",(K33/100*L27+H33),"Sem teste")</f>
        <v>Sem teste</v>
      </c>
      <c r="M33" s="302">
        <f t="shared" si="2"/>
        <v>41.006432508753214</v>
      </c>
      <c r="N33" s="303"/>
      <c r="O33" s="303"/>
      <c r="Q33" s="51"/>
      <c r="AJ33" s="3">
        <v>1.3</v>
      </c>
    </row>
    <row r="34" spans="5:36" ht="14.25" customHeight="1" x14ac:dyDescent="0.3">
      <c r="E34" s="2"/>
      <c r="F34" s="931" t="s">
        <v>12</v>
      </c>
      <c r="G34" s="931"/>
      <c r="H34" s="304">
        <f>'Setup&amp;WS'!J11</f>
        <v>64</v>
      </c>
      <c r="I34" s="305">
        <f>VLOOKUP('Setup&amp;WS'!$R$5,Tracks!$A$4:$AP$886,37,0)*VLOOKUP('Setup&amp;WS'!I11,Tables!$B$94:$C$102,2,0)^$C$4*Tables!$B$91</f>
        <v>13.648981518682472</v>
      </c>
      <c r="J34" s="299" t="str">
        <f>IF($K$27="Yes",(K34/100*L27),"0")</f>
        <v>0</v>
      </c>
      <c r="K34" s="306" t="e">
        <f>VLOOKUP(D28,Tracks!$A$4:$AP$886,37,0)*VLOOKUP('Setup&amp;WS'!I11,Tables!$B$94:$C$102,2,0)^Tables!AE24*Tables!$B$91/2</f>
        <v>#N/A</v>
      </c>
      <c r="L34" s="307" t="str">
        <f>IF($K$27="Yes",(K34/100*L27+H34),"Sem teste")</f>
        <v>Sem teste</v>
      </c>
      <c r="M34" s="302">
        <f t="shared" si="2"/>
        <v>77.648981518682476</v>
      </c>
      <c r="N34" s="303"/>
      <c r="O34" s="303"/>
      <c r="AJ34" s="3">
        <v>1.4</v>
      </c>
    </row>
    <row r="35" spans="5:36" ht="14.25" customHeight="1" x14ac:dyDescent="0.3">
      <c r="E35" s="2"/>
      <c r="F35" s="931" t="s">
        <v>15</v>
      </c>
      <c r="G35" s="931"/>
      <c r="H35" s="304">
        <f>'Setup&amp;WS'!J12</f>
        <v>66</v>
      </c>
      <c r="I35" s="305">
        <f>VLOOKUP('Setup&amp;WS'!$R$5,Tracks!$A$4:$AP$886,38,0)*VLOOKUP('Setup&amp;WS'!I12,Tables!$B$94:$C$102,2,0)^$C$4*Tables!$B$91</f>
        <v>13.518991218504544</v>
      </c>
      <c r="J35" s="299" t="str">
        <f>IF($K$27="Yes",(K35/100*L27),"0")</f>
        <v>0</v>
      </c>
      <c r="K35" s="306" t="e">
        <f>VLOOKUP(D28,Tracks!$A$4:$AP$886,38,0)*VLOOKUP('Setup&amp;WS'!I12,Tables!$B$94:$C$102,2,0)^Tables!AE24*Tables!$B$91/2</f>
        <v>#N/A</v>
      </c>
      <c r="L35" s="307" t="str">
        <f>IF($K$27="Yes",(K35/100*L27+H35),"Sem teste")</f>
        <v>Sem teste</v>
      </c>
      <c r="M35" s="302">
        <f t="shared" si="2"/>
        <v>79.518991218504539</v>
      </c>
      <c r="N35" s="303"/>
      <c r="O35" s="303"/>
      <c r="AJ35" s="3">
        <v>1.5</v>
      </c>
    </row>
    <row r="36" spans="5:36" ht="14.25" customHeight="1" x14ac:dyDescent="0.3">
      <c r="E36" s="2"/>
      <c r="F36" s="931" t="s">
        <v>17</v>
      </c>
      <c r="G36" s="931"/>
      <c r="H36" s="304">
        <f>'Setup&amp;WS'!J13</f>
        <v>43</v>
      </c>
      <c r="I36" s="305">
        <f>VLOOKUP('Setup&amp;WS'!$R$5,Tracks!$A$4:$AP$886,39,0)*VLOOKUP('Setup&amp;WS'!I13,Tables!$B$94:$C$102,2,0)^$C$4*Tables!$B$91</f>
        <v>20.088051037996149</v>
      </c>
      <c r="J36" s="299" t="str">
        <f>IF($K$27="Yes",(K36/100*L27),"0")</f>
        <v>0</v>
      </c>
      <c r="K36" s="306" t="e">
        <f>VLOOKUP(D28,Tracks!$A$4:$AP$886,39,0)*VLOOKUP('Setup&amp;WS'!I13,Tables!$B$94:$C$102,2,0)^Tables!AE24*Tables!$B$91/2</f>
        <v>#N/A</v>
      </c>
      <c r="L36" s="307" t="str">
        <f>IF($K$27="Yes",(K36/100*L27+H36),"Sem teste")</f>
        <v>Sem teste</v>
      </c>
      <c r="M36" s="302">
        <f t="shared" si="2"/>
        <v>63.088051037996152</v>
      </c>
      <c r="N36" s="303"/>
      <c r="O36" s="303"/>
      <c r="Q36" s="1"/>
      <c r="R36" s="1"/>
      <c r="S36" s="1"/>
      <c r="T36" s="1"/>
      <c r="U36" s="1"/>
      <c r="V36" s="1"/>
      <c r="W36" s="1"/>
      <c r="X36" s="1"/>
      <c r="Y36" s="1"/>
      <c r="Z36" s="273"/>
      <c r="AJ36" s="3">
        <v>1.6</v>
      </c>
    </row>
    <row r="37" spans="5:36" ht="14.85" customHeight="1" x14ac:dyDescent="0.3">
      <c r="E37" s="2"/>
      <c r="F37" s="931" t="s">
        <v>19</v>
      </c>
      <c r="G37" s="931"/>
      <c r="H37" s="304">
        <f>'Setup&amp;WS'!J14</f>
        <v>51</v>
      </c>
      <c r="I37" s="305">
        <f>VLOOKUP('Setup&amp;WS'!$R$5,Tracks!$A$4:$AP$886,40,0)*VLOOKUP('Setup&amp;WS'!I14,Tables!$B$94:$C$102,2,0)^$C$4*Tables!$B$91</f>
        <v>32.727007924296117</v>
      </c>
      <c r="J37" s="299" t="str">
        <f>IF($K$27="Yes",(K37/100*L27),"0")</f>
        <v>0</v>
      </c>
      <c r="K37" s="306" t="e">
        <f>VLOOKUP(D28,Tracks!$A$4:$AP$886,40,0)*VLOOKUP('Setup&amp;WS'!I14,Tables!$B$94:$C$102,2,0)^Tables!AE24*Tables!$B$91/2</f>
        <v>#N/A</v>
      </c>
      <c r="L37" s="307" t="str">
        <f>IF($K$27="Yes",(K37/100*L27+H37),"Sem teste")</f>
        <v>Sem teste</v>
      </c>
      <c r="M37" s="302">
        <f t="shared" si="2"/>
        <v>83.727007924296117</v>
      </c>
      <c r="N37" s="303"/>
      <c r="O37" s="303"/>
      <c r="Q37" s="1"/>
      <c r="R37" s="1"/>
      <c r="S37" s="1"/>
      <c r="T37" s="1"/>
      <c r="U37" s="1"/>
      <c r="V37" s="1"/>
      <c r="W37" s="1"/>
      <c r="X37" s="1"/>
      <c r="Y37" s="1"/>
      <c r="AJ37" s="3">
        <v>1.7</v>
      </c>
    </row>
    <row r="38" spans="5:36" ht="14.25" customHeight="1" x14ac:dyDescent="0.3">
      <c r="E38" s="2"/>
      <c r="F38" s="931" t="s">
        <v>21</v>
      </c>
      <c r="G38" s="931"/>
      <c r="H38" s="304">
        <f>'Setup&amp;WS'!J15</f>
        <v>97</v>
      </c>
      <c r="I38" s="305">
        <f>VLOOKUP('Setup&amp;WS'!$R$5,Tracks!$A$4:$AP$886,41,0)*VLOOKUP('Setup&amp;WS'!I15,Tables!$B$94:$C$102,2,0)^$C$4*Tables!$B$91</f>
        <v>20.148496527578885</v>
      </c>
      <c r="J38" s="299" t="str">
        <f>IF($K$27="Yes",(K38/100*L27),"0")</f>
        <v>0</v>
      </c>
      <c r="K38" s="306" t="e">
        <f>VLOOKUP(D28,Tracks!$A$4:$AP$886,41,0)*VLOOKUP('Setup&amp;WS'!I15,Tables!$B$94:$C$102,2,0)^Tables!AE24*Tables!$B$91/2</f>
        <v>#N/A</v>
      </c>
      <c r="L38" s="307" t="str">
        <f>IF($K$27="Yes",(K38/100*L27+H38),"Sem teste")</f>
        <v>Sem teste</v>
      </c>
      <c r="M38" s="302">
        <f t="shared" si="2"/>
        <v>117.14849652757889</v>
      </c>
      <c r="N38" s="303"/>
      <c r="O38" s="303"/>
      <c r="Q38" s="1"/>
      <c r="R38" s="1"/>
      <c r="S38" s="1"/>
      <c r="T38" s="1"/>
      <c r="U38" s="1"/>
      <c r="V38" s="1"/>
      <c r="W38" s="1"/>
      <c r="X38" s="1"/>
      <c r="Y38" s="1"/>
      <c r="AJ38" s="3">
        <v>1.8</v>
      </c>
    </row>
    <row r="39" spans="5:36" ht="14.25" customHeight="1" x14ac:dyDescent="0.3">
      <c r="E39" s="2"/>
      <c r="F39" s="921" t="s">
        <v>22</v>
      </c>
      <c r="G39" s="921"/>
      <c r="H39" s="308">
        <f>'Setup&amp;WS'!J16</f>
        <v>44</v>
      </c>
      <c r="I39" s="309">
        <f>VLOOKUP('Setup&amp;WS'!$R$5,Tracks!$A$4:$AP$886,42,0)*VLOOKUP('Setup&amp;WS'!I16,Tables!$B$94:$C$102,2,0)^$C$4*Tables!$B$91</f>
        <v>11.699127016013547</v>
      </c>
      <c r="J39" s="299" t="str">
        <f>IF($K$27="Yes",(K39/100*L27),"0")</f>
        <v>0</v>
      </c>
      <c r="K39" s="310" t="e">
        <f>VLOOKUP(D28,Tracks!$A$4:$AP$886,42,0)*VLOOKUP('Setup&amp;WS'!I16,Tables!$B$94:$C$102,2,0)^Tables!AE24*Tables!$B$91/2</f>
        <v>#N/A</v>
      </c>
      <c r="L39" s="311" t="str">
        <f>IF($K$27="Yes",(K39/100*L27+H39),"Sem teste")</f>
        <v>Sem teste</v>
      </c>
      <c r="M39" s="302">
        <f t="shared" si="2"/>
        <v>55.699127016013549</v>
      </c>
      <c r="N39" s="303"/>
      <c r="O39" s="303"/>
      <c r="Q39" s="1"/>
      <c r="R39" s="1"/>
      <c r="S39" s="1"/>
      <c r="T39" s="1"/>
      <c r="U39" s="1"/>
      <c r="V39" s="1"/>
      <c r="W39" s="1"/>
      <c r="X39" s="1"/>
      <c r="Y39" s="1"/>
      <c r="AJ39" s="3">
        <v>1.9</v>
      </c>
    </row>
    <row r="40" spans="5:36" ht="14.25" customHeight="1" x14ac:dyDescent="0.3">
      <c r="E40" s="2"/>
      <c r="F40" s="966" t="s">
        <v>225</v>
      </c>
      <c r="G40" s="966"/>
      <c r="H40" s="967">
        <f>SUM(I29:I39)</f>
        <v>236.44975621764797</v>
      </c>
      <c r="I40" s="967"/>
      <c r="J40" s="51"/>
      <c r="K40" s="51"/>
      <c r="L40" s="51"/>
      <c r="Q40" s="1"/>
      <c r="R40" s="1"/>
      <c r="S40" s="1"/>
      <c r="T40" s="1"/>
      <c r="U40" s="1"/>
      <c r="V40" s="1"/>
      <c r="W40" s="1"/>
      <c r="X40" s="1"/>
      <c r="Y40" s="1"/>
      <c r="AJ40" s="3">
        <v>2</v>
      </c>
    </row>
    <row r="41" spans="5:36" ht="14.25" customHeight="1" x14ac:dyDescent="0.3">
      <c r="E41" s="2"/>
      <c r="F41" s="2"/>
      <c r="G41" s="2"/>
      <c r="H41" s="2"/>
      <c r="I41" s="2"/>
      <c r="J41" s="2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AJ41" s="3">
        <v>2.1</v>
      </c>
    </row>
    <row r="42" spans="5:36" ht="14.25" customHeight="1" x14ac:dyDescent="0.3">
      <c r="E42" s="2"/>
      <c r="F42" s="2"/>
      <c r="G42" s="2"/>
      <c r="H42" s="2"/>
      <c r="I42" s="2"/>
      <c r="J42" s="2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AJ42" s="3">
        <v>2.2000000000000002</v>
      </c>
    </row>
    <row r="43" spans="5:36" ht="14.25" customHeight="1" x14ac:dyDescent="0.3">
      <c r="F43" s="2"/>
      <c r="G43" s="2"/>
      <c r="H43" s="2"/>
      <c r="I43" s="2"/>
      <c r="J43" s="2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AJ43" s="3">
        <v>2.2999999999999998</v>
      </c>
    </row>
    <row r="44" spans="5:36" ht="14.25" customHeight="1" x14ac:dyDescent="0.3">
      <c r="F44" s="2"/>
      <c r="G44" s="2"/>
      <c r="H44" s="2"/>
      <c r="I44" s="2"/>
      <c r="J44" s="2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AJ44" s="3">
        <v>2.4</v>
      </c>
    </row>
    <row r="45" spans="5:36" ht="14.25" customHeight="1" x14ac:dyDescent="0.3">
      <c r="F45" s="2"/>
      <c r="G45" s="2"/>
      <c r="H45" s="2"/>
      <c r="I45" s="2"/>
      <c r="J45" s="2"/>
      <c r="K45" s="2"/>
      <c r="L45" s="2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AJ45" s="3">
        <v>2.5</v>
      </c>
    </row>
    <row r="46" spans="5:36" ht="14.25" customHeight="1" x14ac:dyDescent="0.3">
      <c r="F46" s="2"/>
      <c r="G46" s="2"/>
      <c r="H46" s="2"/>
      <c r="I46" s="2"/>
      <c r="J46" s="2"/>
      <c r="K46" s="2"/>
      <c r="L46" s="2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AJ46" s="3">
        <v>2.6</v>
      </c>
    </row>
    <row r="47" spans="5:36" ht="14.25" customHeight="1" x14ac:dyDescent="0.3">
      <c r="F47" s="2"/>
      <c r="G47" s="2"/>
      <c r="H47" s="2"/>
      <c r="I47" s="2"/>
      <c r="J47" s="2"/>
      <c r="K47" s="2"/>
      <c r="L47" s="2"/>
      <c r="M47" s="2"/>
      <c r="AJ47" s="3">
        <v>2.7</v>
      </c>
    </row>
    <row r="48" spans="5:36" ht="14.25" customHeight="1" x14ac:dyDescent="0.3">
      <c r="F48" s="2"/>
      <c r="G48" s="2"/>
      <c r="H48" s="2"/>
      <c r="I48" s="2"/>
      <c r="J48" s="2"/>
      <c r="K48" s="2"/>
      <c r="L48" s="2"/>
      <c r="M48" s="2"/>
      <c r="AJ48" s="3">
        <v>2.8</v>
      </c>
    </row>
    <row r="49" spans="6:36" ht="14.25" customHeight="1" x14ac:dyDescent="0.3">
      <c r="F49" s="2"/>
      <c r="G49" s="2"/>
      <c r="H49" s="2"/>
      <c r="I49" s="2"/>
      <c r="J49" s="2"/>
      <c r="K49" s="2"/>
      <c r="L49" s="2"/>
      <c r="M49" s="2"/>
      <c r="AJ49" s="3">
        <v>2.9</v>
      </c>
    </row>
    <row r="50" spans="6:36" ht="14.25" customHeight="1" x14ac:dyDescent="0.3">
      <c r="F50" s="2"/>
      <c r="G50" s="2"/>
      <c r="H50" s="2"/>
      <c r="I50" s="2"/>
      <c r="J50" s="2"/>
      <c r="K50" s="2"/>
      <c r="L50" s="2"/>
      <c r="M50" s="2"/>
      <c r="AJ50" s="3">
        <v>3</v>
      </c>
    </row>
    <row r="51" spans="6:36" ht="14.25" customHeight="1" x14ac:dyDescent="0.3">
      <c r="F51" s="2"/>
      <c r="G51" s="2"/>
      <c r="H51" s="2"/>
      <c r="I51" s="2"/>
      <c r="J51" s="2"/>
      <c r="K51" s="2"/>
      <c r="L51" s="2"/>
      <c r="M51" s="2"/>
      <c r="AJ51" s="3">
        <v>3.1</v>
      </c>
    </row>
    <row r="52" spans="6:36" ht="14.25" customHeight="1" x14ac:dyDescent="0.3">
      <c r="F52" s="2"/>
      <c r="G52" s="2"/>
      <c r="H52" s="2"/>
      <c r="I52" s="2"/>
      <c r="J52" s="2"/>
      <c r="K52" s="2"/>
      <c r="L52" s="2"/>
      <c r="M52" s="2"/>
      <c r="AJ52" s="3">
        <v>3.2</v>
      </c>
    </row>
    <row r="53" spans="6:36" ht="14.25" customHeight="1" x14ac:dyDescent="0.3">
      <c r="AJ53" s="3">
        <v>3.3</v>
      </c>
    </row>
    <row r="54" spans="6:36" ht="14.25" customHeight="1" thickBot="1" x14ac:dyDescent="0.35">
      <c r="Q54" s="890"/>
      <c r="R54" s="890"/>
      <c r="S54" s="890"/>
      <c r="T54" s="890"/>
      <c r="AJ54" s="3">
        <v>3.4</v>
      </c>
    </row>
    <row r="55" spans="6:36" ht="14.25" customHeight="1" thickBot="1" x14ac:dyDescent="0.35">
      <c r="F55" s="878" t="s">
        <v>151</v>
      </c>
      <c r="G55" s="879" t="s">
        <v>155</v>
      </c>
      <c r="H55" s="880" t="s">
        <v>978</v>
      </c>
      <c r="I55" s="881" t="s">
        <v>979</v>
      </c>
      <c r="J55" s="192" t="s">
        <v>155</v>
      </c>
      <c r="K55" s="192" t="s">
        <v>156</v>
      </c>
      <c r="L55" s="191" t="s">
        <v>157</v>
      </c>
      <c r="M55" s="191" t="s">
        <v>158</v>
      </c>
      <c r="N55" s="193" t="s">
        <v>159</v>
      </c>
      <c r="O55" s="194" t="s">
        <v>41</v>
      </c>
      <c r="Q55" s="891"/>
      <c r="R55" s="891"/>
      <c r="S55" s="891"/>
      <c r="T55" s="891"/>
      <c r="AJ55" s="3">
        <v>3.5</v>
      </c>
    </row>
    <row r="56" spans="6:36" ht="14.25" customHeight="1" x14ac:dyDescent="0.3">
      <c r="F56" s="532" t="s">
        <v>163</v>
      </c>
      <c r="G56" s="884">
        <f>P56</f>
        <v>3</v>
      </c>
      <c r="H56" s="885">
        <f>N56</f>
        <v>17.86828717103802</v>
      </c>
      <c r="I56" s="883" t="str">
        <f>O56</f>
        <v>Best</v>
      </c>
      <c r="J56" s="200">
        <f t="shared" ref="J56:O56" si="3">J6</f>
        <v>135.17653911638541</v>
      </c>
      <c r="K56" s="887">
        <f t="shared" si="3"/>
        <v>44.362402842784299</v>
      </c>
      <c r="L56" s="200">
        <f t="shared" si="3"/>
        <v>0</v>
      </c>
      <c r="M56" s="200">
        <f t="shared" si="3"/>
        <v>179.5389419591697</v>
      </c>
      <c r="N56" s="201">
        <f t="shared" si="3"/>
        <v>17.86828717103802</v>
      </c>
      <c r="O56" s="202" t="str">
        <f t="shared" si="3"/>
        <v>Best</v>
      </c>
      <c r="P56" s="273">
        <f>G6</f>
        <v>3</v>
      </c>
      <c r="Q56" s="891"/>
      <c r="R56" s="891"/>
      <c r="S56" s="891"/>
      <c r="T56" s="891"/>
      <c r="AJ56" s="3">
        <v>3.6</v>
      </c>
    </row>
    <row r="57" spans="6:36" ht="14.25" customHeight="1" x14ac:dyDescent="0.3">
      <c r="F57" s="533" t="s">
        <v>162</v>
      </c>
      <c r="G57" s="884">
        <f t="shared" ref="G57:G60" si="4">P57</f>
        <v>2</v>
      </c>
      <c r="H57" s="885">
        <f t="shared" ref="H57:H59" si="5">N57</f>
        <v>19.199101105094428</v>
      </c>
      <c r="I57" s="883" t="str">
        <f t="shared" ref="I57:I59" si="6">O57</f>
        <v>+5,4 s</v>
      </c>
      <c r="J57" s="200">
        <f t="shared" ref="J57:O59" si="7">J7</f>
        <v>91.468189589373594</v>
      </c>
      <c r="K57" s="200">
        <f t="shared" si="7"/>
        <v>59.149870457045729</v>
      </c>
      <c r="L57" s="200">
        <f t="shared" si="7"/>
        <v>34.335374999999999</v>
      </c>
      <c r="M57" s="200">
        <f t="shared" si="7"/>
        <v>184.95343504641932</v>
      </c>
      <c r="N57" s="201">
        <f t="shared" si="7"/>
        <v>19.199101105094428</v>
      </c>
      <c r="O57" s="202" t="str">
        <f t="shared" si="7"/>
        <v>+5,4 s</v>
      </c>
      <c r="P57" s="273">
        <f t="shared" ref="P57:P59" si="8">G7</f>
        <v>2</v>
      </c>
      <c r="Q57" s="891"/>
      <c r="R57" s="891"/>
      <c r="S57" s="891"/>
      <c r="T57" s="891"/>
      <c r="AJ57" s="3">
        <v>3.7</v>
      </c>
    </row>
    <row r="58" spans="6:36" ht="14.25" customHeight="1" x14ac:dyDescent="0.3">
      <c r="F58" s="533" t="s">
        <v>168</v>
      </c>
      <c r="G58" s="884">
        <f t="shared" si="4"/>
        <v>1</v>
      </c>
      <c r="H58" s="885">
        <f t="shared" si="5"/>
        <v>10.571895227627195</v>
      </c>
      <c r="I58" s="883" t="str">
        <f t="shared" si="6"/>
        <v>+25 s</v>
      </c>
      <c r="J58" s="200">
        <f t="shared" si="7"/>
        <v>47.120131030464414</v>
      </c>
      <c r="K58" s="200">
        <f t="shared" si="7"/>
        <v>88.724805685568597</v>
      </c>
      <c r="L58" s="200">
        <f t="shared" si="7"/>
        <v>68.670749999999998</v>
      </c>
      <c r="M58" s="200">
        <f t="shared" si="7"/>
        <v>204.515686716033</v>
      </c>
      <c r="N58" s="201">
        <f t="shared" si="7"/>
        <v>10.571895227627195</v>
      </c>
      <c r="O58" s="202" t="str">
        <f t="shared" si="7"/>
        <v>+25 s</v>
      </c>
      <c r="P58" s="273">
        <f t="shared" si="8"/>
        <v>1</v>
      </c>
      <c r="Q58" s="891"/>
      <c r="R58" s="891"/>
      <c r="S58" s="891"/>
      <c r="T58" s="891"/>
      <c r="AJ58" s="3">
        <v>3.8</v>
      </c>
    </row>
    <row r="59" spans="6:36" ht="14.25" customHeight="1" x14ac:dyDescent="0.3">
      <c r="F59" s="533" t="s">
        <v>174</v>
      </c>
      <c r="G59" s="884">
        <f t="shared" si="4"/>
        <v>1</v>
      </c>
      <c r="H59" s="885">
        <f t="shared" si="5"/>
        <v>34.015701701698816</v>
      </c>
      <c r="I59" s="883" t="str">
        <f t="shared" si="6"/>
        <v>+59,3 s</v>
      </c>
      <c r="J59" s="200">
        <f t="shared" si="7"/>
        <v>47.120131030464414</v>
      </c>
      <c r="K59" s="200">
        <f t="shared" si="7"/>
        <v>88.724805685568597</v>
      </c>
      <c r="L59" s="200">
        <f t="shared" si="7"/>
        <v>103.006125</v>
      </c>
      <c r="M59" s="200">
        <f t="shared" si="7"/>
        <v>238.851061716033</v>
      </c>
      <c r="N59" s="201">
        <f t="shared" si="7"/>
        <v>34.015701701698816</v>
      </c>
      <c r="O59" s="202" t="str">
        <f t="shared" si="7"/>
        <v>+59,3 s</v>
      </c>
      <c r="P59" s="273">
        <f t="shared" si="8"/>
        <v>1</v>
      </c>
      <c r="Q59" s="891"/>
      <c r="R59" s="891"/>
      <c r="S59" s="891"/>
      <c r="T59" s="891"/>
      <c r="AJ59" s="3">
        <v>3.9</v>
      </c>
    </row>
    <row r="60" spans="6:36" ht="14.25" customHeight="1" thickBot="1" x14ac:dyDescent="0.35">
      <c r="F60" s="534" t="s">
        <v>176</v>
      </c>
      <c r="G60" s="884">
        <f t="shared" si="4"/>
        <v>1</v>
      </c>
      <c r="H60" s="882"/>
      <c r="I60" s="882"/>
      <c r="P60" s="273">
        <f>G10</f>
        <v>1</v>
      </c>
      <c r="Q60" s="891"/>
      <c r="R60" s="891"/>
      <c r="S60" s="891"/>
      <c r="T60" s="891"/>
      <c r="AJ60" s="3">
        <v>4</v>
      </c>
    </row>
    <row r="61" spans="6:36" ht="14.25" customHeight="1" x14ac:dyDescent="0.3">
      <c r="Q61" s="891"/>
      <c r="R61" s="891"/>
      <c r="S61" s="891"/>
      <c r="T61" s="891"/>
      <c r="AJ61" s="3">
        <v>4.0999999999999996</v>
      </c>
    </row>
    <row r="62" spans="6:36" ht="14.25" customHeight="1" x14ac:dyDescent="0.3">
      <c r="Q62" s="891"/>
      <c r="R62" s="891"/>
      <c r="S62" s="891"/>
      <c r="T62" s="891"/>
      <c r="AJ62" s="3">
        <v>4.2</v>
      </c>
    </row>
    <row r="63" spans="6:36" ht="14.25" customHeight="1" x14ac:dyDescent="0.3">
      <c r="Q63" s="891"/>
      <c r="R63" s="891"/>
      <c r="S63" s="891"/>
      <c r="T63" s="891"/>
      <c r="AJ63" s="3">
        <v>4.3</v>
      </c>
    </row>
    <row r="64" spans="6:36" ht="14.25" customHeight="1" x14ac:dyDescent="0.3">
      <c r="Q64" s="886"/>
      <c r="R64" s="886"/>
      <c r="S64" s="886"/>
      <c r="T64" s="886"/>
      <c r="AJ64" s="3">
        <v>4.4000000000000004</v>
      </c>
    </row>
    <row r="65" spans="36:36" ht="14.25" customHeight="1" x14ac:dyDescent="0.3">
      <c r="AJ65" s="3">
        <v>4.5</v>
      </c>
    </row>
    <row r="66" spans="36:36" ht="14.25" customHeight="1" x14ac:dyDescent="0.3">
      <c r="AJ66" s="3">
        <v>4.5999999999999996</v>
      </c>
    </row>
    <row r="67" spans="36:36" ht="14.25" customHeight="1" x14ac:dyDescent="0.3">
      <c r="AJ67" s="3">
        <v>4.7</v>
      </c>
    </row>
    <row r="68" spans="36:36" ht="14.25" customHeight="1" x14ac:dyDescent="0.3">
      <c r="AJ68" s="3">
        <v>4.8</v>
      </c>
    </row>
    <row r="69" spans="36:36" ht="14.25" customHeight="1" x14ac:dyDescent="0.3">
      <c r="AJ69" s="3">
        <v>4.9000000000000004</v>
      </c>
    </row>
    <row r="70" spans="36:36" ht="14.25" customHeight="1" x14ac:dyDescent="0.3">
      <c r="AJ70" s="3">
        <v>5</v>
      </c>
    </row>
  </sheetData>
  <mergeCells count="60">
    <mergeCell ref="D1:F1"/>
    <mergeCell ref="H1:J1"/>
    <mergeCell ref="L1:N1"/>
    <mergeCell ref="P1:Q1"/>
    <mergeCell ref="B2:C2"/>
    <mergeCell ref="F2:O2"/>
    <mergeCell ref="Q2:T2"/>
    <mergeCell ref="H3:O3"/>
    <mergeCell ref="R3:T3"/>
    <mergeCell ref="F4:O4"/>
    <mergeCell ref="R4:T4"/>
    <mergeCell ref="R5:T5"/>
    <mergeCell ref="R6:T6"/>
    <mergeCell ref="R7:T7"/>
    <mergeCell ref="R8:T8"/>
    <mergeCell ref="B9:D9"/>
    <mergeCell ref="R9:T9"/>
    <mergeCell ref="D7:D8"/>
    <mergeCell ref="Q13:T13"/>
    <mergeCell ref="Q14:T14"/>
    <mergeCell ref="P12:P14"/>
    <mergeCell ref="Q15:T15"/>
    <mergeCell ref="B16:D16"/>
    <mergeCell ref="H10:H12"/>
    <mergeCell ref="I10:I12"/>
    <mergeCell ref="J10:J12"/>
    <mergeCell ref="K10:K12"/>
    <mergeCell ref="L10:L12"/>
    <mergeCell ref="M10:M12"/>
    <mergeCell ref="B17:C17"/>
    <mergeCell ref="B18:C18"/>
    <mergeCell ref="Q18:T18"/>
    <mergeCell ref="U21:W21"/>
    <mergeCell ref="B22:C22"/>
    <mergeCell ref="U22:W22"/>
    <mergeCell ref="U18:W18"/>
    <mergeCell ref="B19:C19"/>
    <mergeCell ref="U19:W19"/>
    <mergeCell ref="B20:C20"/>
    <mergeCell ref="U20:W20"/>
    <mergeCell ref="B24:C24"/>
    <mergeCell ref="F28:G28"/>
    <mergeCell ref="F29:G29"/>
    <mergeCell ref="B21:C21"/>
    <mergeCell ref="D27:E27"/>
    <mergeCell ref="D28:E28"/>
    <mergeCell ref="B23:C23"/>
    <mergeCell ref="F27:I27"/>
    <mergeCell ref="F30:G30"/>
    <mergeCell ref="F31:G31"/>
    <mergeCell ref="F32:G32"/>
    <mergeCell ref="F33:G33"/>
    <mergeCell ref="F34:G34"/>
    <mergeCell ref="F40:G40"/>
    <mergeCell ref="H40:I40"/>
    <mergeCell ref="F35:G35"/>
    <mergeCell ref="F36:G36"/>
    <mergeCell ref="F37:G37"/>
    <mergeCell ref="F38:G38"/>
    <mergeCell ref="F39:G39"/>
  </mergeCells>
  <conditionalFormatting sqref="C3">
    <cfRule type="cellIs" dxfId="342" priority="3" operator="equal">
      <formula>"Wet"</formula>
    </cfRule>
    <cfRule type="expression" dxfId="341" priority="50">
      <formula>$C$3="Wet"</formula>
    </cfRule>
  </conditionalFormatting>
  <conditionalFormatting sqref="C6">
    <cfRule type="cellIs" dxfId="340" priority="4" operator="equal">
      <formula>"Rain"</formula>
    </cfRule>
  </conditionalFormatting>
  <conditionalFormatting sqref="D17">
    <cfRule type="containsText" dxfId="339" priority="36" operator="containsText" text="hard">
      <formula>NOT(ISERROR(SEARCH("hard",D17)))</formula>
    </cfRule>
    <cfRule type="cellIs" dxfId="338" priority="35" operator="equal">
      <formula>"Easy"</formula>
    </cfRule>
  </conditionalFormatting>
  <conditionalFormatting sqref="G15:N15 G22:N22">
    <cfRule type="cellIs" dxfId="337" priority="32" operator="lessThan">
      <formula>0</formula>
    </cfRule>
    <cfRule type="cellIs" dxfId="336" priority="31" operator="between">
      <formula>0</formula>
      <formula>20</formula>
    </cfRule>
  </conditionalFormatting>
  <conditionalFormatting sqref="G18:N18">
    <cfRule type="cellIs" dxfId="335" priority="40" operator="between">
      <formula>3</formula>
      <formula>10000</formula>
    </cfRule>
    <cfRule type="cellIs" dxfId="334" priority="39" operator="between">
      <formula>1</formula>
      <formula>2</formula>
    </cfRule>
  </conditionalFormatting>
  <conditionalFormatting sqref="G25:N25">
    <cfRule type="cellIs" dxfId="333" priority="42" operator="between">
      <formula>3</formula>
      <formula>10000</formula>
    </cfRule>
    <cfRule type="cellIs" dxfId="332" priority="41" operator="between">
      <formula>1</formula>
      <formula>2</formula>
    </cfRule>
  </conditionalFormatting>
  <conditionalFormatting sqref="J29:J39 L29:L39">
    <cfRule type="cellIs" dxfId="331" priority="33" operator="greaterThanOrEqual">
      <formula>100</formula>
    </cfRule>
    <cfRule type="cellIs" dxfId="330" priority="34" operator="between">
      <formula>89</formula>
      <formula>100</formula>
    </cfRule>
  </conditionalFormatting>
  <conditionalFormatting sqref="J29:J39">
    <cfRule type="iconSet" priority="56">
      <iconSet iconSet="3Symbols2" reverse="1">
        <cfvo type="percent" val="0"/>
        <cfvo type="num" val="75"/>
        <cfvo type="num" val="96"/>
      </iconSet>
    </cfRule>
  </conditionalFormatting>
  <conditionalFormatting sqref="L29:L39">
    <cfRule type="iconSet" priority="57">
      <iconSet iconSet="3Symbols2" reverse="1">
        <cfvo type="percent" val="0"/>
        <cfvo type="num" val="75"/>
        <cfvo type="num" val="90"/>
      </iconSet>
    </cfRule>
  </conditionalFormatting>
  <conditionalFormatting sqref="M29:M39">
    <cfRule type="iconSet" priority="59">
      <iconSet iconSet="3Symbols2" reverse="1">
        <cfvo type="percent" val="0"/>
        <cfvo type="num" val="90"/>
        <cfvo type="num" val="95"/>
      </iconSet>
    </cfRule>
  </conditionalFormatting>
  <conditionalFormatting sqref="N6:N9">
    <cfRule type="cellIs" dxfId="329" priority="46" operator="between">
      <formula>0</formula>
      <formula>20</formula>
    </cfRule>
    <cfRule type="cellIs" dxfId="328" priority="47" operator="lessThan">
      <formula>0</formula>
    </cfRule>
  </conditionalFormatting>
  <conditionalFormatting sqref="N56:N59">
    <cfRule type="cellIs" dxfId="327" priority="1" operator="between">
      <formula>0</formula>
      <formula>20</formula>
    </cfRule>
    <cfRule type="cellIs" dxfId="326" priority="2" operator="lessThan">
      <formula>0</formula>
    </cfRule>
  </conditionalFormatting>
  <conditionalFormatting sqref="O15 O22">
    <cfRule type="cellIs" dxfId="325" priority="38" operator="lessThan">
      <formula>0</formula>
    </cfRule>
    <cfRule type="cellIs" dxfId="324" priority="37" operator="between">
      <formula>0</formula>
      <formula>20</formula>
    </cfRule>
  </conditionalFormatting>
  <conditionalFormatting sqref="O18 O25">
    <cfRule type="cellIs" dxfId="323" priority="43" operator="between">
      <formula>($C$7+1)*1</formula>
      <formula>($C$7+1)*2</formula>
    </cfRule>
    <cfRule type="cellIs" dxfId="322" priority="44" operator="greaterThan">
      <formula>($C$7+1)*2</formula>
    </cfRule>
  </conditionalFormatting>
  <conditionalFormatting sqref="P15:P16">
    <cfRule type="cellIs" dxfId="321" priority="23" operator="between">
      <formula>0.95</formula>
      <formula>0.96</formula>
    </cfRule>
    <cfRule type="cellIs" dxfId="320" priority="22" operator="between">
      <formula>0.97</formula>
      <formula>0.98</formula>
    </cfRule>
    <cfRule type="cellIs" dxfId="319" priority="21" operator="between">
      <formula>0.98</formula>
      <formula>0.99</formula>
    </cfRule>
    <cfRule type="cellIs" dxfId="318" priority="20" operator="between">
      <formula>99%</formula>
      <formula>100%</formula>
    </cfRule>
    <cfRule type="dataBar" priority="19">
      <dataBar>
        <cfvo type="num" val="90"/>
        <cfvo type="num" val="95"/>
        <color rgb="FFFF0000"/>
      </dataBar>
      <extLst>
        <ext xmlns:x14="http://schemas.microsoft.com/office/spreadsheetml/2009/9/main" uri="{B025F937-C7B1-47D3-B67F-A62EFF666E3E}">
          <x14:id>{642EDB0E-A695-40EB-A6C8-19AB8478CDCF}</x14:id>
        </ext>
      </extLst>
    </cfRule>
    <cfRule type="cellIs" dxfId="317" priority="18" operator="lessThan">
      <formula>0.95</formula>
    </cfRule>
  </conditionalFormatting>
  <conditionalFormatting sqref="Q4">
    <cfRule type="colorScale" priority="51">
      <colorScale>
        <cfvo type="num" val="0"/>
        <cfvo type="num" val="75"/>
        <cfvo type="num" val="100"/>
        <color rgb="FF00B050"/>
        <color rgb="FFFFEB84"/>
        <color rgb="FFFF0000"/>
      </colorScale>
    </cfRule>
  </conditionalFormatting>
  <conditionalFormatting sqref="Q5">
    <cfRule type="colorScale" priority="54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Q6">
    <cfRule type="colorScale" priority="52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Q7">
    <cfRule type="colorScale" priority="53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Q8">
    <cfRule type="colorScale" priority="55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Q9">
    <cfRule type="colorScale" priority="58">
      <colorScale>
        <cfvo type="num" val="10"/>
        <cfvo type="num" val="30"/>
        <cfvo type="num" val="100"/>
        <color rgb="FFF8696B"/>
        <color rgb="FFFFEB84"/>
        <color rgb="FF63BE7B"/>
      </colorScale>
    </cfRule>
  </conditionalFormatting>
  <conditionalFormatting sqref="U9">
    <cfRule type="cellIs" dxfId="316" priority="11" operator="lessThan">
      <formula>0.95</formula>
    </cfRule>
    <cfRule type="cellIs" dxfId="315" priority="13" operator="between">
      <formula>99%</formula>
      <formula>100%</formula>
    </cfRule>
    <cfRule type="cellIs" dxfId="314" priority="14" operator="between">
      <formula>0.98</formula>
      <formula>0.99</formula>
    </cfRule>
    <cfRule type="dataBar" priority="12">
      <dataBar>
        <cfvo type="num" val="90"/>
        <cfvo type="num" val="95"/>
        <color rgb="FFFF0000"/>
      </dataBar>
      <extLst>
        <ext xmlns:x14="http://schemas.microsoft.com/office/spreadsheetml/2009/9/main" uri="{B025F937-C7B1-47D3-B67F-A62EFF666E3E}">
          <x14:id>{03AA1811-23E2-41FD-B488-E27C5D34B0AE}</x14:id>
        </ext>
      </extLst>
    </cfRule>
    <cfRule type="cellIs" dxfId="313" priority="16" operator="between">
      <formula>0.95</formula>
      <formula>0.96</formula>
    </cfRule>
    <cfRule type="cellIs" dxfId="312" priority="15" operator="between">
      <formula>0.97</formula>
      <formula>0.98</formula>
    </cfRule>
  </conditionalFormatting>
  <conditionalFormatting sqref="U20:U22">
    <cfRule type="expression" dxfId="311" priority="45">
      <formula>U20&lt;&gt;"-"</formula>
    </cfRule>
  </conditionalFormatting>
  <dataValidations count="7">
    <dataValidation type="list" allowBlank="1" showInputMessage="1" showErrorMessage="1" sqref="P6:P9" xr:uid="{00000000-0002-0000-0500-000000000000}">
      <formula1>"Yes,No"</formula1>
      <formula2>0</formula2>
    </dataValidation>
    <dataValidation type="list" allowBlank="1" showInputMessage="1" showErrorMessage="1" sqref="C7" xr:uid="{00000000-0002-0000-0500-000001000000}">
      <formula1>"0,1,2,3,4,5,6,7,8,9"</formula1>
      <formula2>0</formula2>
    </dataValidation>
    <dataValidation type="list" allowBlank="1" showInputMessage="1" showErrorMessage="1" sqref="U15" xr:uid="{00000000-0002-0000-0500-000002000000}">
      <formula1>$AJ$20:$AJ$70</formula1>
      <formula2>0</formula2>
    </dataValidation>
    <dataValidation type="list" allowBlank="1" showInputMessage="1" showErrorMessage="1" sqref="U18" xr:uid="{00000000-0002-0000-0500-000003000000}">
      <formula1>"Preset Stints,Custom Stints"</formula1>
      <formula2>0</formula2>
    </dataValidation>
    <dataValidation type="list" operator="equal" allowBlank="1" sqref="C5" xr:uid="{00000000-0002-0000-0500-000005000000}">
      <formula1>Tyresuppliers</formula1>
      <formula2>0</formula2>
    </dataValidation>
    <dataValidation type="list" operator="equal" allowBlank="1" sqref="C6" xr:uid="{00000000-0002-0000-0500-000006000000}">
      <formula1>"Extra Soft,Soft,Medium,Hard,Rain"</formula1>
      <formula2>0</formula2>
    </dataValidation>
    <dataValidation type="list" operator="equal" allowBlank="1" sqref="C3" xr:uid="{00000000-0002-0000-0500-000007000000}">
      <formula1>"Dry,Wet"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Roman,Normal"&amp;12&amp;A</oddHeader>
    <oddFooter>&amp;C&amp;"Times New Roman,Normal"&amp;12Página &amp;P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2EDB0E-A695-40EB-A6C8-19AB8478CDCF}">
            <x14:dataBar minLength="0" maxLength="100" gradient="0">
              <x14:cfvo type="num">
                <xm:f>90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P15:P16</xm:sqref>
        </x14:conditionalFormatting>
        <x14:conditionalFormatting xmlns:xm="http://schemas.microsoft.com/office/excel/2006/main">
          <x14:cfRule type="dataBar" id="{03AA1811-23E2-41FD-B488-E27C5D34B0AE}">
            <x14:dataBar minLength="0" maxLength="100" gradient="0">
              <x14:cfvo type="num">
                <xm:f>90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U9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6AEB3C7-7732-4D6E-8995-9071473CF93C}">
          <x14:formula1>
            <xm:f>Tracks!$A$4:$A$66</xm:f>
          </x14:formula1>
          <xm:sqref>D28:E28</xm:sqref>
        </x14:dataValidation>
        <x14:dataValidation type="list" operator="equal" allowBlank="1" showErrorMessage="1" xr:uid="{00000000-0002-0000-0500-000008000000}">
          <x14:formula1>
            <xm:f>Tables!$AD$21:$AD$25</xm:f>
          </x14:formula1>
          <xm:sqref>L27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06AC4-6C6E-4C52-B97D-8CB6D9137E70}">
  <dimension ref="A1:D10"/>
  <sheetViews>
    <sheetView workbookViewId="0">
      <selection activeCell="H8" sqref="H8"/>
    </sheetView>
  </sheetViews>
  <sheetFormatPr defaultRowHeight="14.4" x14ac:dyDescent="0.3"/>
  <sheetData>
    <row r="1" spans="1:4" ht="28.8" x14ac:dyDescent="0.3">
      <c r="A1" s="888" t="s">
        <v>980</v>
      </c>
      <c r="B1" s="888" t="s">
        <v>981</v>
      </c>
      <c r="C1" s="888" t="s">
        <v>982</v>
      </c>
      <c r="D1" s="888" t="s">
        <v>983</v>
      </c>
    </row>
    <row r="2" spans="1:4" x14ac:dyDescent="0.3">
      <c r="A2" s="889" t="s">
        <v>343</v>
      </c>
      <c r="B2" s="889">
        <v>29</v>
      </c>
      <c r="C2" s="889">
        <v>30</v>
      </c>
      <c r="D2" s="889" t="s">
        <v>117</v>
      </c>
    </row>
    <row r="3" spans="1:4" x14ac:dyDescent="0.3">
      <c r="A3" s="889" t="s">
        <v>344</v>
      </c>
      <c r="B3" s="889">
        <v>54</v>
      </c>
      <c r="C3" s="889">
        <v>55</v>
      </c>
      <c r="D3" s="889" t="s">
        <v>984</v>
      </c>
    </row>
    <row r="4" spans="1:4" ht="28.8" x14ac:dyDescent="0.3">
      <c r="A4" s="889" t="s">
        <v>150</v>
      </c>
      <c r="B4" s="889">
        <v>61</v>
      </c>
      <c r="C4" s="889">
        <v>62</v>
      </c>
      <c r="D4" s="889" t="s">
        <v>985</v>
      </c>
    </row>
    <row r="5" spans="1:4" x14ac:dyDescent="0.3">
      <c r="A5" s="889" t="s">
        <v>345</v>
      </c>
      <c r="B5" s="889">
        <v>68</v>
      </c>
      <c r="C5" s="889">
        <v>69</v>
      </c>
      <c r="D5" s="889" t="s">
        <v>986</v>
      </c>
    </row>
    <row r="6" spans="1:4" ht="28.8" x14ac:dyDescent="0.3">
      <c r="A6" s="889" t="s">
        <v>346</v>
      </c>
      <c r="B6" s="889">
        <v>75</v>
      </c>
      <c r="C6" s="889">
        <v>76</v>
      </c>
      <c r="D6" s="889" t="s">
        <v>987</v>
      </c>
    </row>
    <row r="7" spans="1:4" x14ac:dyDescent="0.3">
      <c r="A7" s="889" t="s">
        <v>347</v>
      </c>
      <c r="B7" s="889">
        <v>82</v>
      </c>
      <c r="C7" s="889">
        <v>83</v>
      </c>
      <c r="D7" s="889" t="s">
        <v>988</v>
      </c>
    </row>
    <row r="8" spans="1:4" x14ac:dyDescent="0.3">
      <c r="A8" s="889" t="s">
        <v>348</v>
      </c>
      <c r="B8" s="889">
        <v>89</v>
      </c>
      <c r="C8" s="889">
        <v>90</v>
      </c>
      <c r="D8" s="889" t="s">
        <v>989</v>
      </c>
    </row>
    <row r="9" spans="1:4" x14ac:dyDescent="0.3">
      <c r="A9" s="889" t="s">
        <v>349</v>
      </c>
      <c r="B9" s="889">
        <v>96</v>
      </c>
      <c r="C9" s="889">
        <v>97</v>
      </c>
      <c r="D9" s="889" t="s">
        <v>990</v>
      </c>
    </row>
    <row r="10" spans="1:4" ht="28.8" x14ac:dyDescent="0.3">
      <c r="A10" s="889" t="s">
        <v>350</v>
      </c>
      <c r="B10" s="889">
        <v>103</v>
      </c>
      <c r="C10" s="889">
        <v>104</v>
      </c>
      <c r="D10" s="889" t="s">
        <v>991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AMJ368"/>
  <sheetViews>
    <sheetView showGridLines="0" zoomScale="90" zoomScaleNormal="90" workbookViewId="0">
      <pane ySplit="1" topLeftCell="A34" activePane="bottomLeft" state="frozen"/>
      <selection activeCell="K1" sqref="K1"/>
      <selection pane="bottomLeft" activeCell="D43" sqref="D43"/>
    </sheetView>
  </sheetViews>
  <sheetFormatPr defaultColWidth="11.5546875" defaultRowHeight="14.4" x14ac:dyDescent="0.3"/>
  <cols>
    <col min="1" max="1" width="14.5546875" style="1" customWidth="1"/>
    <col min="2" max="2" width="7.5546875" style="226" customWidth="1"/>
    <col min="3" max="3" width="12.5546875" style="226" bestFit="1" customWidth="1"/>
    <col min="4" max="4" width="8.5546875" style="226" customWidth="1"/>
    <col min="5" max="5" width="8" style="1" customWidth="1"/>
    <col min="6" max="6" width="8.44140625" style="1" customWidth="1"/>
    <col min="7" max="7" width="7.5546875" style="226" customWidth="1"/>
    <col min="8" max="8" width="8" style="226" customWidth="1"/>
    <col min="9" max="10" width="9.5546875" style="226" customWidth="1"/>
    <col min="11" max="15" width="7.5546875" style="226" customWidth="1"/>
    <col min="16" max="16" width="9.5546875" style="226" customWidth="1"/>
    <col min="17" max="17" width="10.44140625" style="226" customWidth="1"/>
    <col min="18" max="18" width="7.5546875" style="226" customWidth="1"/>
    <col min="19" max="19" width="12.5546875" style="226" customWidth="1"/>
    <col min="20" max="20" width="7.5546875" style="226" customWidth="1"/>
    <col min="21" max="21" width="16.5546875" style="226" customWidth="1"/>
    <col min="22" max="22" width="7.109375" style="226" customWidth="1"/>
    <col min="23" max="28" width="7.5546875" style="226" customWidth="1"/>
    <col min="29" max="29" width="14.44140625" style="1" customWidth="1"/>
    <col min="30" max="30" width="9.44140625" style="1" customWidth="1"/>
    <col min="31" max="34" width="7.5546875" style="1" customWidth="1"/>
    <col min="35" max="35" width="16.44140625" style="1" customWidth="1"/>
    <col min="36" max="38" width="7.5546875" style="1" customWidth="1"/>
    <col min="39" max="1024" width="11.5546875" style="1"/>
  </cols>
  <sheetData>
    <row r="1" spans="1:41" ht="20.399999999999999" x14ac:dyDescent="0.3">
      <c r="A1" s="1030" t="s">
        <v>286</v>
      </c>
      <c r="B1" s="1030"/>
      <c r="C1" s="1030"/>
      <c r="D1" s="1030"/>
      <c r="E1" s="1030"/>
      <c r="F1" s="1030"/>
      <c r="G1" s="1030"/>
      <c r="H1" s="1030"/>
      <c r="I1" s="1030"/>
      <c r="J1" s="1030"/>
      <c r="K1" s="1030"/>
      <c r="L1" s="1030"/>
      <c r="M1" s="1030"/>
      <c r="N1" s="1030"/>
      <c r="P1" s="660" t="s">
        <v>164</v>
      </c>
      <c r="Q1" s="662">
        <v>1000000</v>
      </c>
      <c r="T1" s="607" t="s">
        <v>826</v>
      </c>
      <c r="U1" s="606" t="s">
        <v>287</v>
      </c>
      <c r="V1" s="607" t="s">
        <v>826</v>
      </c>
      <c r="W1" s="313" t="s">
        <v>140</v>
      </c>
      <c r="X1" s="314" t="s">
        <v>141</v>
      </c>
      <c r="Y1" s="314" t="s">
        <v>142</v>
      </c>
      <c r="Z1" s="314" t="s">
        <v>143</v>
      </c>
      <c r="AA1" s="314" t="s">
        <v>288</v>
      </c>
      <c r="AB1" s="314"/>
      <c r="AC1" s="316" t="s">
        <v>289</v>
      </c>
      <c r="AD1" s="317" t="e">
        <f>(0.999789138^'Setup&amp;WS'!E6)*(0.999751839^'Setup&amp;WS'!E7)*(0.999707677^'Setup&amp;WS'!E9)*VLOOKUP('Setup&amp;WS'!R5,Tables!U2:AA62,7,0)*'Tyre&amp;Fuel'!C4</f>
        <v>#N/A</v>
      </c>
      <c r="AE1" s="315"/>
      <c r="AF1" s="1021" t="s">
        <v>23</v>
      </c>
      <c r="AG1" s="1021"/>
      <c r="AH1" s="630"/>
      <c r="AI1" s="1" t="s">
        <v>908</v>
      </c>
    </row>
    <row r="2" spans="1:41" x14ac:dyDescent="0.3">
      <c r="B2" s="1031" t="s">
        <v>56</v>
      </c>
      <c r="C2" s="1031"/>
      <c r="D2" s="1038" t="s">
        <v>50</v>
      </c>
      <c r="P2" s="660" t="s">
        <v>109</v>
      </c>
      <c r="Q2" s="661" t="s">
        <v>290</v>
      </c>
      <c r="T2" s="626"/>
      <c r="U2" s="350" t="s">
        <v>226</v>
      </c>
      <c r="V2" s="626">
        <f>T2+'Tyre&amp;Fuel'!$E$30</f>
        <v>0</v>
      </c>
      <c r="W2" s="319">
        <v>43</v>
      </c>
      <c r="X2" s="320">
        <v>50</v>
      </c>
      <c r="Y2" s="321">
        <v>62</v>
      </c>
      <c r="Z2" s="322">
        <v>74</v>
      </c>
      <c r="AA2" s="323" t="e">
        <f>#REF!</f>
        <v>#REF!</v>
      </c>
      <c r="AB2" s="593">
        <v>0.97</v>
      </c>
      <c r="AD2" s="324" t="e">
        <f>'Setup&amp;WS'!E17-Tables!AD1</f>
        <v>#N/A</v>
      </c>
      <c r="AF2" s="629" t="s">
        <v>56</v>
      </c>
      <c r="AG2" s="629" t="s">
        <v>828</v>
      </c>
      <c r="AH2" s="629" t="s">
        <v>50</v>
      </c>
      <c r="AI2" s="629" t="s">
        <v>832</v>
      </c>
      <c r="AM2" s="687" t="s">
        <v>834</v>
      </c>
      <c r="AN2" s="673" t="s">
        <v>848</v>
      </c>
      <c r="AO2" s="674" t="s">
        <v>833</v>
      </c>
    </row>
    <row r="3" spans="1:41" x14ac:dyDescent="0.3">
      <c r="B3" s="316" t="s">
        <v>47</v>
      </c>
      <c r="C3" s="316" t="s">
        <v>291</v>
      </c>
      <c r="D3" s="1038"/>
      <c r="T3" s="626">
        <v>35.5</v>
      </c>
      <c r="U3" s="350" t="s">
        <v>227</v>
      </c>
      <c r="V3" s="626">
        <f>T3+'Tyre&amp;Fuel'!$E$30</f>
        <v>35.5</v>
      </c>
      <c r="W3" s="319">
        <v>48</v>
      </c>
      <c r="X3" s="320">
        <v>60</v>
      </c>
      <c r="Y3" s="321">
        <v>72</v>
      </c>
      <c r="Z3" s="322">
        <v>85</v>
      </c>
      <c r="AA3" s="323" t="e">
        <f>#REF!</f>
        <v>#REF!</v>
      </c>
      <c r="AB3" s="593">
        <v>0.97</v>
      </c>
      <c r="AF3" s="629" t="s">
        <v>50</v>
      </c>
      <c r="AG3" s="629" t="s">
        <v>831</v>
      </c>
      <c r="AH3" s="629" t="s">
        <v>56</v>
      </c>
      <c r="AI3" s="629" t="s">
        <v>832</v>
      </c>
      <c r="AM3" s="688">
        <f>'Setup&amp;WS'!P50</f>
        <v>498.5</v>
      </c>
      <c r="AN3" s="637">
        <f>IF('Setup&amp;WS'!T9="Wet",'Setup&amp;WS'!S50,'Setup&amp;WS'!T50)</f>
        <v>543.25</v>
      </c>
      <c r="AO3" s="663">
        <f>IF('Setup&amp;WS'!T9="Dry",'Setup&amp;WS'!S50,'Setup&amp;WS'!T50)</f>
        <v>453.75</v>
      </c>
    </row>
    <row r="4" spans="1:41" x14ac:dyDescent="0.3">
      <c r="A4" s="312" t="s">
        <v>292</v>
      </c>
      <c r="B4" s="325">
        <v>1</v>
      </c>
      <c r="C4" s="325">
        <v>270</v>
      </c>
      <c r="D4" s="325">
        <v>6.1</v>
      </c>
      <c r="T4" s="626"/>
      <c r="U4" s="598" t="s">
        <v>228</v>
      </c>
      <c r="V4" s="626">
        <f>T4+'Tyre&amp;Fuel'!$E$30</f>
        <v>0</v>
      </c>
      <c r="W4" s="319">
        <v>40</v>
      </c>
      <c r="X4" s="320">
        <v>50</v>
      </c>
      <c r="Y4" s="321">
        <v>60</v>
      </c>
      <c r="Z4" s="322">
        <v>70</v>
      </c>
      <c r="AA4" s="323" t="e">
        <f>#REF!</f>
        <v>#REF!</v>
      </c>
      <c r="AB4" s="593"/>
      <c r="AM4" s="688">
        <f>'Setup&amp;WS'!P51</f>
        <v>320.5</v>
      </c>
      <c r="AN4" s="637">
        <f>IF('Setup&amp;WS'!T9="Wet",'Setup&amp;WS'!S51,'Setup&amp;WS'!T51)</f>
        <v>365.25</v>
      </c>
      <c r="AO4" s="663">
        <f>IF('Setup&amp;WS'!T9="Dry",'Setup&amp;WS'!S51,'Setup&amp;WS'!T51)</f>
        <v>275.75</v>
      </c>
    </row>
    <row r="5" spans="1:41" x14ac:dyDescent="0.3">
      <c r="A5" s="312" t="s">
        <v>293</v>
      </c>
      <c r="B5" s="325">
        <v>0.7</v>
      </c>
      <c r="C5" s="325">
        <v>-190</v>
      </c>
      <c r="D5" s="325">
        <v>-3</v>
      </c>
      <c r="T5" s="626"/>
      <c r="U5" s="599" t="s">
        <v>229</v>
      </c>
      <c r="V5" s="626">
        <f>T5+'Tyre&amp;Fuel'!$E$30</f>
        <v>0</v>
      </c>
      <c r="W5" s="319">
        <v>42</v>
      </c>
      <c r="X5" s="320">
        <v>57</v>
      </c>
      <c r="Y5" s="321">
        <v>73</v>
      </c>
      <c r="Z5" s="322">
        <v>87</v>
      </c>
      <c r="AA5" s="323"/>
      <c r="AB5" s="593"/>
      <c r="AH5" s="1039" t="s">
        <v>908</v>
      </c>
      <c r="AI5" s="1039"/>
      <c r="AM5" s="688">
        <f>'Setup&amp;WS'!P52</f>
        <v>778</v>
      </c>
      <c r="AN5" s="637">
        <f>IF('Setup&amp;WS'!T9="Wet",'Setup&amp;WS'!S52,'Setup&amp;WS'!T52)</f>
        <v>731</v>
      </c>
      <c r="AO5" s="663">
        <f>IF('Setup&amp;WS'!T9="Dry",'Setup&amp;WS'!S52,'Setup&amp;WS'!T52)</f>
        <v>825</v>
      </c>
    </row>
    <row r="6" spans="1:41" x14ac:dyDescent="0.3">
      <c r="A6" s="312" t="s">
        <v>294</v>
      </c>
      <c r="B6" s="325">
        <v>3.9883754414027002</v>
      </c>
      <c r="C6" s="325">
        <v>105.532592432347</v>
      </c>
      <c r="D6" s="325">
        <v>6</v>
      </c>
      <c r="T6" s="626"/>
      <c r="U6" s="600" t="s">
        <v>230</v>
      </c>
      <c r="V6" s="626">
        <f>T6+'Tyre&amp;Fuel'!$E$30</f>
        <v>0</v>
      </c>
      <c r="W6" s="319">
        <v>40</v>
      </c>
      <c r="X6" s="320">
        <v>45</v>
      </c>
      <c r="Y6" s="321">
        <v>55</v>
      </c>
      <c r="Z6" s="322">
        <v>65</v>
      </c>
      <c r="AA6" s="323" t="e">
        <f>#REF!</f>
        <v>#REF!</v>
      </c>
      <c r="AB6" s="593"/>
      <c r="AH6" s="1">
        <v>1</v>
      </c>
      <c r="AM6" s="688">
        <f>'Setup&amp;WS'!P53</f>
        <v>207.5</v>
      </c>
      <c r="AN6" s="637">
        <f>IF('Setup&amp;WS'!T9="Wet",'Setup&amp;WS'!S53,'Setup&amp;WS'!T53)</f>
        <v>231.75</v>
      </c>
      <c r="AO6" s="663">
        <f>IF('Setup&amp;WS'!T9="Dry",'Setup&amp;WS'!S53,'Setup&amp;WS'!T53)</f>
        <v>183.25</v>
      </c>
    </row>
    <row r="7" spans="1:41" x14ac:dyDescent="0.3">
      <c r="A7" s="312" t="s">
        <v>295</v>
      </c>
      <c r="B7" s="325">
        <v>-8.0199641815165705</v>
      </c>
      <c r="C7" s="325">
        <v>-4.7427117035430202</v>
      </c>
      <c r="D7" s="325">
        <v>-4</v>
      </c>
      <c r="T7" s="626"/>
      <c r="U7" s="598" t="s">
        <v>231</v>
      </c>
      <c r="V7" s="626">
        <f>T7+'Tyre&amp;Fuel'!$E$30</f>
        <v>0</v>
      </c>
      <c r="W7" s="319">
        <v>70</v>
      </c>
      <c r="X7" s="320">
        <v>80</v>
      </c>
      <c r="Y7" s="321">
        <v>90</v>
      </c>
      <c r="Z7" s="322">
        <v>100</v>
      </c>
      <c r="AA7" s="326"/>
      <c r="AB7" s="593"/>
      <c r="AH7" s="1">
        <v>2</v>
      </c>
      <c r="AM7" s="688">
        <f>'Setup&amp;WS'!P54</f>
        <v>683</v>
      </c>
      <c r="AN7" s="637">
        <f>IF('Setup&amp;WS'!T9="Wet",'Setup&amp;WS'!S54,'Setup&amp;WS'!T54)</f>
        <v>677.5</v>
      </c>
      <c r="AO7" s="663">
        <f>IF('Setup&amp;WS'!T9="Dry",'Setup&amp;WS'!S54,'Setup&amp;WS'!T54)</f>
        <v>688.5</v>
      </c>
    </row>
    <row r="8" spans="1:41" x14ac:dyDescent="0.3">
      <c r="A8" s="312" t="s">
        <v>296</v>
      </c>
      <c r="B8" s="325">
        <v>-1</v>
      </c>
      <c r="C8" s="325">
        <v>-257</v>
      </c>
      <c r="D8" s="325">
        <v>-6</v>
      </c>
      <c r="T8" s="626"/>
      <c r="U8" s="599" t="s">
        <v>232</v>
      </c>
      <c r="V8" s="626">
        <f>T8+'Tyre&amp;Fuel'!$E$30</f>
        <v>0</v>
      </c>
      <c r="W8" s="319">
        <v>38</v>
      </c>
      <c r="X8" s="320">
        <v>48</v>
      </c>
      <c r="Y8" s="321">
        <v>58</v>
      </c>
      <c r="Z8" s="322">
        <v>68</v>
      </c>
      <c r="AA8" s="326"/>
      <c r="AB8" s="593">
        <v>0.95</v>
      </c>
      <c r="AH8" s="1">
        <v>3</v>
      </c>
      <c r="AM8" s="688">
        <f>'Setup&amp;WS'!P55</f>
        <v>613</v>
      </c>
      <c r="AN8" s="637">
        <f>IF('Setup&amp;WS'!T9="Wet",'Setup&amp;WS'!S55,'Setup&amp;WS'!T55)</f>
        <v>554</v>
      </c>
      <c r="AO8" s="663">
        <f>IF('Setup&amp;WS'!T9="Dry",'Setup&amp;WS'!S55,'Setup&amp;WS'!T55)</f>
        <v>672</v>
      </c>
    </row>
    <row r="9" spans="1:41" s="1" customFormat="1" ht="66" x14ac:dyDescent="0.25">
      <c r="B9" s="226"/>
      <c r="C9" s="226"/>
      <c r="D9" s="226"/>
      <c r="R9" s="226"/>
      <c r="S9" s="226"/>
      <c r="T9" s="626"/>
      <c r="U9" s="599" t="s">
        <v>233</v>
      </c>
      <c r="V9" s="626">
        <f>T9+'Tyre&amp;Fuel'!$E$30</f>
        <v>0</v>
      </c>
      <c r="W9" s="319">
        <v>50</v>
      </c>
      <c r="X9" s="320">
        <v>60</v>
      </c>
      <c r="Y9" s="321">
        <v>70</v>
      </c>
      <c r="Z9" s="322">
        <v>80</v>
      </c>
      <c r="AA9" s="326"/>
      <c r="AB9" s="593"/>
      <c r="AC9" s="1024" t="s">
        <v>819</v>
      </c>
      <c r="AD9" s="1025"/>
      <c r="AH9" s="1">
        <v>4</v>
      </c>
      <c r="AM9" s="689" t="s">
        <v>900</v>
      </c>
      <c r="AN9" s="689" t="s">
        <v>901</v>
      </c>
      <c r="AO9" s="689" t="s">
        <v>854</v>
      </c>
    </row>
    <row r="10" spans="1:41" s="1" customFormat="1" ht="13.2" x14ac:dyDescent="0.25">
      <c r="A10" s="1030" t="s">
        <v>297</v>
      </c>
      <c r="B10" s="1030"/>
      <c r="C10" s="1030"/>
      <c r="D10" s="1030"/>
      <c r="E10" s="1030"/>
      <c r="F10" s="1030"/>
      <c r="G10" s="1030"/>
      <c r="H10" s="1030"/>
      <c r="I10" s="1030"/>
      <c r="J10" s="1030"/>
      <c r="K10" s="1030"/>
      <c r="L10" s="1030"/>
      <c r="M10" s="1030"/>
      <c r="N10" s="1030"/>
      <c r="T10" s="626">
        <v>75</v>
      </c>
      <c r="U10" s="599" t="s">
        <v>234</v>
      </c>
      <c r="V10" s="626">
        <f>T10+'Tyre&amp;Fuel'!$E$30</f>
        <v>75</v>
      </c>
      <c r="W10" s="319">
        <v>50</v>
      </c>
      <c r="X10" s="320">
        <v>60</v>
      </c>
      <c r="Y10" s="321">
        <v>70</v>
      </c>
      <c r="Z10" s="322">
        <v>85</v>
      </c>
      <c r="AA10" s="326"/>
      <c r="AB10" s="594"/>
      <c r="AC10" s="589">
        <v>0</v>
      </c>
      <c r="AD10" s="570">
        <v>0</v>
      </c>
      <c r="AH10" s="1">
        <v>5</v>
      </c>
    </row>
    <row r="11" spans="1:41" s="1" customFormat="1" ht="13.2" x14ac:dyDescent="0.25">
      <c r="B11" s="316" t="s">
        <v>298</v>
      </c>
      <c r="C11" s="316" t="s">
        <v>299</v>
      </c>
      <c r="D11" s="316" t="s">
        <v>300</v>
      </c>
      <c r="E11" s="316" t="s">
        <v>301</v>
      </c>
      <c r="F11" s="316" t="s">
        <v>302</v>
      </c>
      <c r="G11" s="316" t="s">
        <v>303</v>
      </c>
      <c r="H11" s="316" t="s">
        <v>304</v>
      </c>
      <c r="I11" s="316" t="s">
        <v>295</v>
      </c>
      <c r="J11" s="316"/>
      <c r="K11" s="316" t="s">
        <v>305</v>
      </c>
      <c r="L11" s="316" t="s">
        <v>306</v>
      </c>
      <c r="M11" s="316" t="s">
        <v>307</v>
      </c>
      <c r="T11" s="626"/>
      <c r="U11" s="350" t="s">
        <v>235</v>
      </c>
      <c r="V11" s="626">
        <f>T11+'Tyre&amp;Fuel'!$E$30</f>
        <v>0</v>
      </c>
      <c r="W11" s="319">
        <v>40</v>
      </c>
      <c r="X11" s="320">
        <v>48</v>
      </c>
      <c r="Y11" s="321">
        <v>58</v>
      </c>
      <c r="Z11" s="322">
        <v>70</v>
      </c>
      <c r="AA11" s="326"/>
      <c r="AB11" s="594"/>
      <c r="AC11" s="589">
        <v>1</v>
      </c>
      <c r="AD11" s="571">
        <v>3.5000000000000003E-2</v>
      </c>
      <c r="AH11" s="1">
        <v>6</v>
      </c>
    </row>
    <row r="12" spans="1:41" s="1" customFormat="1" ht="13.2" x14ac:dyDescent="0.25">
      <c r="B12" s="1031" t="s">
        <v>308</v>
      </c>
      <c r="C12" s="1031"/>
      <c r="D12" s="1031"/>
      <c r="E12" s="1031"/>
      <c r="F12" s="1031"/>
      <c r="G12" s="1031"/>
      <c r="H12" s="1031"/>
      <c r="I12" s="1031"/>
      <c r="J12" s="1031"/>
      <c r="K12" s="1031"/>
      <c r="L12" s="1031"/>
      <c r="M12" s="1031"/>
      <c r="T12" s="626"/>
      <c r="U12" s="598" t="s">
        <v>236</v>
      </c>
      <c r="V12" s="626">
        <f>T12+'Tyre&amp;Fuel'!$E$30</f>
        <v>0</v>
      </c>
      <c r="W12" s="319">
        <v>45</v>
      </c>
      <c r="X12" s="320">
        <v>57</v>
      </c>
      <c r="Y12" s="321">
        <v>70</v>
      </c>
      <c r="Z12" s="322">
        <v>84</v>
      </c>
      <c r="AA12" s="323" t="e">
        <f>#REF!</f>
        <v>#REF!</v>
      </c>
      <c r="AB12" s="594">
        <v>0.95</v>
      </c>
      <c r="AC12" s="589">
        <v>2</v>
      </c>
      <c r="AD12" s="571">
        <v>7.0000000000000007E-2</v>
      </c>
      <c r="AH12" s="1">
        <v>7</v>
      </c>
    </row>
    <row r="13" spans="1:41" s="1" customFormat="1" ht="13.2" x14ac:dyDescent="0.25">
      <c r="A13" s="312" t="s">
        <v>292</v>
      </c>
      <c r="B13" s="325">
        <v>-19.739999999999998</v>
      </c>
      <c r="C13" s="325"/>
      <c r="D13" s="325">
        <v>30.03</v>
      </c>
      <c r="E13" s="325">
        <v>30.03</v>
      </c>
      <c r="F13" s="325">
        <v>-15.07</v>
      </c>
      <c r="G13" s="325"/>
      <c r="H13" s="325"/>
      <c r="I13" s="325"/>
      <c r="J13" s="325"/>
      <c r="K13" s="325"/>
      <c r="L13" s="325"/>
      <c r="M13" s="325"/>
      <c r="N13" s="317">
        <f>'Setup&amp;WS'!$I$6*B13+'Setup&amp;WS'!$I$7*C13+'Setup&amp;WS'!$I$8*D13+'Setup&amp;WS'!$I$9*E13+'Setup&amp;WS'!$I$10*F13+'Setup&amp;WS'!$I$11*G13+'Setup&amp;WS'!$I$12*H13+'Setup&amp;WS'!$I$13*I13+'Setup&amp;WS'!$I$14*K13+'Setup&amp;WS'!$I$15*L13+'Setup&amp;WS'!$I$16*M13</f>
        <v>126.25000000000003</v>
      </c>
      <c r="T13" s="626"/>
      <c r="U13" s="599" t="s">
        <v>237</v>
      </c>
      <c r="V13" s="626">
        <f>T13+'Tyre&amp;Fuel'!$E$30</f>
        <v>0</v>
      </c>
      <c r="W13" s="319">
        <v>40</v>
      </c>
      <c r="X13" s="320">
        <v>50</v>
      </c>
      <c r="Y13" s="321">
        <v>60</v>
      </c>
      <c r="Z13" s="322">
        <v>70</v>
      </c>
      <c r="AA13" s="326"/>
      <c r="AB13" s="594"/>
      <c r="AC13" s="589">
        <v>3</v>
      </c>
      <c r="AD13" s="571">
        <v>0.105</v>
      </c>
      <c r="AF13" s="327"/>
      <c r="AH13" s="1">
        <v>8</v>
      </c>
    </row>
    <row r="14" spans="1:41" s="1" customFormat="1" ht="15" x14ac:dyDescent="0.25">
      <c r="A14" s="312" t="s">
        <v>293</v>
      </c>
      <c r="B14" s="325"/>
      <c r="C14" s="325">
        <v>16.04</v>
      </c>
      <c r="D14" s="325"/>
      <c r="E14" s="325"/>
      <c r="F14" s="325"/>
      <c r="G14" s="325"/>
      <c r="H14" s="325">
        <v>4.9000000000000004</v>
      </c>
      <c r="I14" s="325"/>
      <c r="J14" s="325"/>
      <c r="K14" s="325"/>
      <c r="L14" s="325"/>
      <c r="M14" s="325">
        <v>3.34</v>
      </c>
      <c r="N14" s="317">
        <f>'Setup&amp;WS'!$I$6*B14+'Setup&amp;WS'!$I$7*C14+'Setup&amp;WS'!$I$8*D14+'Setup&amp;WS'!$I$9*E14+'Setup&amp;WS'!$I$10*F14+'Setup&amp;WS'!$I$11*G14+'Setup&amp;WS'!$I$12*H14+'Setup&amp;WS'!$I$13*I14+'Setup&amp;WS'!$I$14*K14+'Setup&amp;WS'!$I$15*L14+'Setup&amp;WS'!$I$16*M14</f>
        <v>121.39999999999999</v>
      </c>
      <c r="T14" s="626"/>
      <c r="U14" s="599" t="s">
        <v>238</v>
      </c>
      <c r="V14" s="626">
        <f>T14+'Tyre&amp;Fuel'!$E$30</f>
        <v>0</v>
      </c>
      <c r="W14" s="319">
        <v>45</v>
      </c>
      <c r="X14" s="320">
        <v>55</v>
      </c>
      <c r="Y14" s="321">
        <v>65</v>
      </c>
      <c r="Z14" s="322">
        <v>75</v>
      </c>
      <c r="AA14" s="326"/>
      <c r="AB14" s="594"/>
      <c r="AC14" s="590"/>
      <c r="AD14" s="572"/>
      <c r="AF14" s="328"/>
      <c r="AH14" s="1">
        <v>9</v>
      </c>
      <c r="AI14" s="350" t="s">
        <v>251</v>
      </c>
    </row>
    <row r="15" spans="1:41" s="1" customFormat="1" ht="15" x14ac:dyDescent="0.25">
      <c r="A15" s="312" t="s">
        <v>294</v>
      </c>
      <c r="B15" s="325">
        <v>6.04</v>
      </c>
      <c r="C15" s="325"/>
      <c r="D15" s="325"/>
      <c r="E15" s="325"/>
      <c r="F15" s="325"/>
      <c r="G15" s="325"/>
      <c r="H15" s="325"/>
      <c r="I15" s="325"/>
      <c r="J15" s="325"/>
      <c r="K15" s="325">
        <v>-29.14</v>
      </c>
      <c r="L15" s="325"/>
      <c r="M15" s="325">
        <v>6.11</v>
      </c>
      <c r="N15" s="317">
        <f>'Setup&amp;WS'!$I$6*B15+'Setup&amp;WS'!$I$7*C15+'Setup&amp;WS'!$I$8*D15+'Setup&amp;WS'!$I$9*E15+'Setup&amp;WS'!$I$10*F15+'Setup&amp;WS'!$I$11*G15+'Setup&amp;WS'!$I$12*H15+'Setup&amp;WS'!$I$13*I15+'Setup&amp;WS'!$I$14*K15+'Setup&amp;WS'!$I$15*L15+'Setup&amp;WS'!$I$16*M15</f>
        <v>-84.949999999999989</v>
      </c>
      <c r="T15" s="626"/>
      <c r="U15" s="350" t="s">
        <v>239</v>
      </c>
      <c r="V15" s="626">
        <f>T15+'Tyre&amp;Fuel'!$E$30</f>
        <v>0</v>
      </c>
      <c r="W15" s="319">
        <v>45</v>
      </c>
      <c r="X15" s="320">
        <v>57</v>
      </c>
      <c r="Y15" s="321">
        <v>68</v>
      </c>
      <c r="Z15" s="322">
        <v>80</v>
      </c>
      <c r="AA15" s="323" t="e">
        <f>#REF!</f>
        <v>#REF!</v>
      </c>
      <c r="AB15" s="594"/>
      <c r="AC15" s="591">
        <f>VLOOKUP('Tyre&amp;Fuel'!W24,Tables!AC10:AD13,2)*(AD15)</f>
        <v>0</v>
      </c>
      <c r="AD15" s="573">
        <f>'Tyre&amp;Fuel'!I30</f>
        <v>38.94249412730376</v>
      </c>
      <c r="AF15" s="328"/>
      <c r="AH15" s="1">
        <v>10</v>
      </c>
      <c r="AI15" s="350" t="s">
        <v>272</v>
      </c>
    </row>
    <row r="16" spans="1:41" s="1" customFormat="1" ht="15" x14ac:dyDescent="0.25">
      <c r="A16" s="312" t="s">
        <v>309</v>
      </c>
      <c r="B16" s="325"/>
      <c r="C16" s="325"/>
      <c r="D16" s="325"/>
      <c r="E16" s="325"/>
      <c r="F16" s="325"/>
      <c r="G16" s="325"/>
      <c r="H16" s="325"/>
      <c r="I16" s="325">
        <v>-41</v>
      </c>
      <c r="J16" s="325"/>
      <c r="K16" s="325"/>
      <c r="L16" s="325"/>
      <c r="M16" s="325">
        <v>9</v>
      </c>
      <c r="N16" s="317">
        <f>'Setup&amp;WS'!$I$6*B16+'Setup&amp;WS'!$I$7*C16+'Setup&amp;WS'!$I$8*D16+'Setup&amp;WS'!$I$9*E16+'Setup&amp;WS'!$I$10*F16+'Setup&amp;WS'!$I$11*G16+'Setup&amp;WS'!$I$12*H16+'Setup&amp;WS'!$I$13*I16+'Setup&amp;WS'!$I$14*K16+'Setup&amp;WS'!$I$15*L16+'Setup&amp;WS'!$I$16*M16</f>
        <v>-160</v>
      </c>
      <c r="T16" s="626">
        <v>45</v>
      </c>
      <c r="U16" s="601" t="s">
        <v>240</v>
      </c>
      <c r="V16" s="626">
        <f>T16+'Tyre&amp;Fuel'!$E$30</f>
        <v>45</v>
      </c>
      <c r="W16" s="319">
        <v>38</v>
      </c>
      <c r="X16" s="320">
        <v>52</v>
      </c>
      <c r="Y16" s="321">
        <v>64</v>
      </c>
      <c r="Z16" s="322">
        <v>76</v>
      </c>
      <c r="AA16" s="326"/>
      <c r="AB16" s="594"/>
      <c r="AC16" s="1026">
        <f>AC15+AD15</f>
        <v>38.94249412730376</v>
      </c>
      <c r="AD16" s="1027"/>
      <c r="AF16" s="328"/>
      <c r="AH16" s="1">
        <v>11</v>
      </c>
      <c r="AI16" s="598" t="s">
        <v>263</v>
      </c>
    </row>
    <row r="17" spans="1:35" x14ac:dyDescent="0.3">
      <c r="A17" s="312" t="s">
        <v>310</v>
      </c>
      <c r="B17" s="325">
        <v>-15.27</v>
      </c>
      <c r="C17" s="325"/>
      <c r="D17" s="325"/>
      <c r="E17" s="325"/>
      <c r="F17" s="325">
        <v>-10.72</v>
      </c>
      <c r="G17" s="325">
        <v>6.03</v>
      </c>
      <c r="H17" s="325"/>
      <c r="I17" s="325"/>
      <c r="J17" s="325"/>
      <c r="K17" s="325"/>
      <c r="L17" s="325">
        <v>31</v>
      </c>
      <c r="M17" s="325"/>
      <c r="N17" s="317">
        <f>'Setup&amp;WS'!$I$6*B17+'Setup&amp;WS'!$I$7*C17+'Setup&amp;WS'!$I$8*D17+'Setup&amp;WS'!$I$9*E17+'Setup&amp;WS'!$I$10*F17+'Setup&amp;WS'!$I$11*G17+'Setup&amp;WS'!$I$12*H17+'Setup&amp;WS'!$I$13*I17+'Setup&amp;WS'!$I$14*K17+'Setup&amp;WS'!$I$15*L17+'Setup&amp;WS'!$I$16*M17</f>
        <v>55.200000000000017</v>
      </c>
      <c r="O17" s="1"/>
      <c r="P17" s="1"/>
      <c r="Q17" s="1"/>
      <c r="T17" s="626"/>
      <c r="U17" s="598" t="s">
        <v>241</v>
      </c>
      <c r="V17" s="626">
        <f>T17+'Tyre&amp;Fuel'!$E$30</f>
        <v>0</v>
      </c>
      <c r="W17" s="319">
        <v>50</v>
      </c>
      <c r="X17" s="320">
        <v>65</v>
      </c>
      <c r="Y17" s="321">
        <v>75</v>
      </c>
      <c r="Z17" s="322">
        <v>90</v>
      </c>
      <c r="AA17" s="323" t="e">
        <f>#REF!</f>
        <v>#REF!</v>
      </c>
      <c r="AB17" s="593"/>
      <c r="AH17" s="1">
        <v>12</v>
      </c>
      <c r="AI17" s="350" t="s">
        <v>244</v>
      </c>
    </row>
    <row r="18" spans="1:35" x14ac:dyDescent="0.3">
      <c r="B18" s="1031" t="s">
        <v>311</v>
      </c>
      <c r="C18" s="1031"/>
      <c r="D18" s="1031"/>
      <c r="E18" s="1031"/>
      <c r="F18" s="1031"/>
      <c r="G18" s="1031"/>
      <c r="H18" s="1031"/>
      <c r="I18" s="1031"/>
      <c r="J18" s="1031"/>
      <c r="K18" s="1031"/>
      <c r="L18" s="1031"/>
      <c r="M18" s="1031"/>
      <c r="O18" s="1"/>
      <c r="P18" s="1"/>
      <c r="Q18" s="1"/>
      <c r="T18" s="626"/>
      <c r="U18" s="599" t="s">
        <v>242</v>
      </c>
      <c r="V18" s="626">
        <f>T18+'Tyre&amp;Fuel'!$E$30</f>
        <v>0</v>
      </c>
      <c r="W18" s="319">
        <v>55</v>
      </c>
      <c r="X18" s="320">
        <v>65</v>
      </c>
      <c r="Y18" s="321">
        <v>75</v>
      </c>
      <c r="Z18" s="322">
        <v>85</v>
      </c>
      <c r="AA18" s="326">
        <v>3.5</v>
      </c>
      <c r="AB18" s="593"/>
      <c r="AH18" s="1">
        <v>13</v>
      </c>
      <c r="AI18" s="599" t="s">
        <v>237</v>
      </c>
    </row>
    <row r="19" spans="1:35" x14ac:dyDescent="0.3">
      <c r="A19" s="312" t="s">
        <v>292</v>
      </c>
      <c r="B19" s="325">
        <v>0.47</v>
      </c>
      <c r="C19" s="325"/>
      <c r="D19" s="325">
        <v>-0.59</v>
      </c>
      <c r="E19" s="325">
        <v>-0.59</v>
      </c>
      <c r="F19" s="325">
        <v>0.32</v>
      </c>
      <c r="G19" s="325"/>
      <c r="H19" s="325"/>
      <c r="I19" s="325"/>
      <c r="J19" s="325"/>
      <c r="K19" s="325"/>
      <c r="L19" s="325"/>
      <c r="M19" s="325"/>
      <c r="N19" s="317">
        <f>'Setup&amp;WS'!$J$6*B19+'Setup&amp;WS'!$J$7*C19+'Setup&amp;WS'!$J$8*D19+'Setup&amp;WS'!$J$9*E19+'Setup&amp;WS'!$J$10*F19+'Setup&amp;WS'!$J$11*G19+'Setup&amp;WS'!$J$12*H19+'Setup&amp;WS'!$J$13*I19+'Setup&amp;WS'!$J$14*K19+'Setup&amp;WS'!$J$15*L19+'Setup&amp;WS'!$J$16*M19</f>
        <v>-37.08</v>
      </c>
      <c r="O19" s="1"/>
      <c r="P19" s="1"/>
      <c r="Q19" s="1"/>
      <c r="T19" s="626">
        <v>60</v>
      </c>
      <c r="U19" s="350" t="s">
        <v>243</v>
      </c>
      <c r="V19" s="626">
        <f>T19+'Tyre&amp;Fuel'!$E$30</f>
        <v>60</v>
      </c>
      <c r="W19" s="319">
        <v>35</v>
      </c>
      <c r="X19" s="320">
        <v>45</v>
      </c>
      <c r="Y19" s="321">
        <v>55</v>
      </c>
      <c r="Z19" s="322">
        <v>65</v>
      </c>
      <c r="AA19" s="323" t="e">
        <f>#REF!</f>
        <v>#REF!</v>
      </c>
      <c r="AB19" s="593">
        <v>0.98</v>
      </c>
      <c r="AH19" s="1">
        <v>14</v>
      </c>
      <c r="AI19" s="350" t="s">
        <v>273</v>
      </c>
    </row>
    <row r="20" spans="1:35" x14ac:dyDescent="0.3">
      <c r="A20" s="312" t="s">
        <v>293</v>
      </c>
      <c r="B20" s="325"/>
      <c r="C20" s="325">
        <v>-0.51</v>
      </c>
      <c r="D20" s="325"/>
      <c r="E20" s="325"/>
      <c r="F20" s="325"/>
      <c r="G20" s="325"/>
      <c r="H20" s="325">
        <v>-0.09</v>
      </c>
      <c r="I20" s="325"/>
      <c r="J20" s="325"/>
      <c r="K20" s="325"/>
      <c r="L20" s="325"/>
      <c r="M20" s="325">
        <v>-0.04</v>
      </c>
      <c r="N20" s="317">
        <f>'Setup&amp;WS'!$J$6*B20+'Setup&amp;WS'!$J$7*C20+'Setup&amp;WS'!$J$8*D20+'Setup&amp;WS'!$J$9*E20+'Setup&amp;WS'!$J$10*F20+'Setup&amp;WS'!$J$11*G20+'Setup&amp;WS'!$J$12*H20+'Setup&amp;WS'!$J$13*I20+'Setup&amp;WS'!$J$14*K20+'Setup&amp;WS'!$J$15*L20+'Setup&amp;WS'!$J$16*M20</f>
        <v>-40.339999999999996</v>
      </c>
      <c r="O20" s="1"/>
      <c r="P20" s="1"/>
      <c r="Q20" s="1"/>
      <c r="T20" s="627"/>
      <c r="U20" s="350" t="s">
        <v>244</v>
      </c>
      <c r="V20" s="626">
        <f>T20+'Tyre&amp;Fuel'!$E$30</f>
        <v>0</v>
      </c>
      <c r="W20" s="319">
        <v>50</v>
      </c>
      <c r="X20" s="320">
        <v>60</v>
      </c>
      <c r="Y20" s="321">
        <v>70</v>
      </c>
      <c r="Z20" s="322">
        <v>80</v>
      </c>
      <c r="AA20" s="326"/>
      <c r="AB20" s="593"/>
      <c r="AC20" s="329" t="s">
        <v>109</v>
      </c>
      <c r="AD20" s="330" t="s">
        <v>180</v>
      </c>
      <c r="AF20" s="331" t="s">
        <v>222</v>
      </c>
      <c r="AH20" s="1">
        <v>15</v>
      </c>
      <c r="AI20" s="605" t="s">
        <v>268</v>
      </c>
    </row>
    <row r="21" spans="1:35" x14ac:dyDescent="0.3">
      <c r="A21" s="312" t="s">
        <v>294</v>
      </c>
      <c r="B21" s="325">
        <v>-0.14000000000000001</v>
      </c>
      <c r="C21" s="325"/>
      <c r="D21" s="325"/>
      <c r="E21" s="325"/>
      <c r="F21" s="325"/>
      <c r="G21" s="325"/>
      <c r="H21" s="325"/>
      <c r="I21" s="325"/>
      <c r="J21" s="325"/>
      <c r="K21" s="325">
        <v>0.71</v>
      </c>
      <c r="L21" s="325"/>
      <c r="M21" s="325">
        <v>-0.09</v>
      </c>
      <c r="N21" s="317">
        <f>'Setup&amp;WS'!$J$6*B21+'Setup&amp;WS'!$J$7*C21+'Setup&amp;WS'!$J$8*D21+'Setup&amp;WS'!$J$9*E21+'Setup&amp;WS'!$J$10*F21+'Setup&amp;WS'!$J$11*G21+'Setup&amp;WS'!$J$12*H21+'Setup&amp;WS'!$J$13*I21+'Setup&amp;WS'!$J$14*K21+'Setup&amp;WS'!$J$15*L21+'Setup&amp;WS'!$J$16*M21</f>
        <v>20.07</v>
      </c>
      <c r="O21" s="1"/>
      <c r="P21" s="1"/>
      <c r="Q21" s="1"/>
      <c r="T21" s="627"/>
      <c r="U21" s="598" t="s">
        <v>245</v>
      </c>
      <c r="V21" s="626">
        <f>T21+'Tyre&amp;Fuel'!$E$30</f>
        <v>0</v>
      </c>
      <c r="W21" s="319">
        <v>35</v>
      </c>
      <c r="X21" s="320">
        <v>50</v>
      </c>
      <c r="Y21" s="321">
        <v>65</v>
      </c>
      <c r="Z21" s="322">
        <v>80</v>
      </c>
      <c r="AA21" s="326"/>
      <c r="AB21" s="593"/>
      <c r="AC21" s="329" t="s">
        <v>312</v>
      </c>
      <c r="AD21" s="330">
        <v>5</v>
      </c>
      <c r="AF21" s="331">
        <v>5</v>
      </c>
      <c r="AH21" s="1">
        <v>16</v>
      </c>
      <c r="AI21" s="350" t="s">
        <v>269</v>
      </c>
    </row>
    <row r="22" spans="1:35" x14ac:dyDescent="0.3">
      <c r="A22" s="312" t="s">
        <v>309</v>
      </c>
      <c r="B22" s="325"/>
      <c r="C22" s="325"/>
      <c r="D22" s="325"/>
      <c r="E22" s="325"/>
      <c r="F22" s="325"/>
      <c r="G22" s="325"/>
      <c r="H22" s="325"/>
      <c r="I22" s="325">
        <v>1.0900000000000001</v>
      </c>
      <c r="J22" s="325"/>
      <c r="K22" s="325"/>
      <c r="L22" s="325"/>
      <c r="M22" s="325">
        <v>-0.14000000000000001</v>
      </c>
      <c r="N22" s="317">
        <f>'Setup&amp;WS'!$J$6*B22+'Setup&amp;WS'!$J$7*C22+'Setup&amp;WS'!$J$8*D22+'Setup&amp;WS'!$J$9*E22+'Setup&amp;WS'!$J$10*F22+'Setup&amp;WS'!$J$11*G22+'Setup&amp;WS'!$J$12*H22+'Setup&amp;WS'!$J$13*I22+'Setup&amp;WS'!$J$14*K22+'Setup&amp;WS'!$J$15*L22+'Setup&amp;WS'!$J$16*M22</f>
        <v>40.710000000000008</v>
      </c>
      <c r="O22" s="1"/>
      <c r="P22" s="1"/>
      <c r="Q22" s="1"/>
      <c r="T22" s="627"/>
      <c r="U22" s="599" t="s">
        <v>246</v>
      </c>
      <c r="V22" s="626">
        <f>T22+'Tyre&amp;Fuel'!$E$30</f>
        <v>0</v>
      </c>
      <c r="W22" s="319">
        <v>40</v>
      </c>
      <c r="X22" s="320">
        <v>50</v>
      </c>
      <c r="Y22" s="321">
        <v>60</v>
      </c>
      <c r="Z22" s="322">
        <v>70</v>
      </c>
      <c r="AA22" s="326"/>
      <c r="AB22" s="593"/>
      <c r="AC22" s="329" t="s">
        <v>313</v>
      </c>
      <c r="AD22" s="330">
        <v>25</v>
      </c>
      <c r="AF22" s="331">
        <v>10</v>
      </c>
      <c r="AH22" s="1">
        <v>17</v>
      </c>
      <c r="AI22" s="604" t="s">
        <v>266</v>
      </c>
    </row>
    <row r="23" spans="1:35" x14ac:dyDescent="0.3">
      <c r="A23" s="312" t="s">
        <v>310</v>
      </c>
      <c r="B23" s="325">
        <v>0.34</v>
      </c>
      <c r="C23" s="325"/>
      <c r="D23" s="325"/>
      <c r="E23" s="325"/>
      <c r="F23" s="325">
        <v>0.23</v>
      </c>
      <c r="G23" s="325">
        <v>-0.12</v>
      </c>
      <c r="H23" s="325"/>
      <c r="I23" s="325"/>
      <c r="J23" s="325"/>
      <c r="K23" s="325"/>
      <c r="L23" s="325">
        <v>-0.7</v>
      </c>
      <c r="M23" s="325"/>
      <c r="N23" s="317">
        <f>'Setup&amp;WS'!$J$6*B23+'Setup&amp;WS'!$J$7*C23+'Setup&amp;WS'!$J$8*D23+'Setup&amp;WS'!$J$9*E23+'Setup&amp;WS'!$J$10*F23+'Setup&amp;WS'!$J$11*G23+'Setup&amp;WS'!$J$12*H23+'Setup&amp;WS'!$J$13*I23+'Setup&amp;WS'!$J$14*K23+'Setup&amp;WS'!$J$15*L23+'Setup&amp;WS'!$J$16*M23</f>
        <v>-41.399999999999991</v>
      </c>
      <c r="O23" s="1"/>
      <c r="T23" s="627"/>
      <c r="U23" s="602" t="s">
        <v>247</v>
      </c>
      <c r="V23" s="626">
        <f>T23+'Tyre&amp;Fuel'!$E$30</f>
        <v>0</v>
      </c>
      <c r="W23" s="319">
        <v>65</v>
      </c>
      <c r="X23" s="320">
        <v>75</v>
      </c>
      <c r="Y23" s="321">
        <v>85</v>
      </c>
      <c r="Z23" s="322">
        <v>95</v>
      </c>
      <c r="AA23" s="326"/>
      <c r="AB23" s="593"/>
      <c r="AC23" s="329" t="s">
        <v>314</v>
      </c>
      <c r="AD23" s="330">
        <v>50</v>
      </c>
      <c r="AE23" s="608" t="s">
        <v>827</v>
      </c>
      <c r="AF23" s="331">
        <v>15</v>
      </c>
      <c r="AH23" s="1">
        <v>18</v>
      </c>
      <c r="AI23" s="817" t="s">
        <v>243</v>
      </c>
    </row>
    <row r="24" spans="1:35" x14ac:dyDescent="0.3">
      <c r="T24" s="627"/>
      <c r="U24" s="598" t="s">
        <v>248</v>
      </c>
      <c r="V24" s="626">
        <f>T24+'Tyre&amp;Fuel'!$E$30</f>
        <v>0</v>
      </c>
      <c r="W24" s="319">
        <v>65</v>
      </c>
      <c r="X24" s="320">
        <v>75</v>
      </c>
      <c r="Y24" s="321">
        <v>85</v>
      </c>
      <c r="Z24" s="322">
        <v>95</v>
      </c>
      <c r="AA24" s="326"/>
      <c r="AB24" s="595"/>
      <c r="AC24" s="329" t="s">
        <v>812</v>
      </c>
      <c r="AD24" s="330">
        <v>75</v>
      </c>
      <c r="AE24" s="609">
        <f>VLOOKUP('Tyre&amp;Fuel'!D28,Tables!U2:AA63,2,0)</f>
        <v>105</v>
      </c>
      <c r="AF24" s="331">
        <v>20</v>
      </c>
    </row>
    <row r="25" spans="1:35" x14ac:dyDescent="0.3">
      <c r="A25" s="1030" t="s">
        <v>315</v>
      </c>
      <c r="B25" s="1030"/>
      <c r="C25" s="1030"/>
      <c r="D25" s="1030"/>
      <c r="E25" s="1030"/>
      <c r="F25" s="1030"/>
      <c r="G25" s="1030"/>
      <c r="H25" s="1030"/>
      <c r="I25" s="1030"/>
      <c r="J25" s="1030"/>
      <c r="K25" s="1030"/>
      <c r="L25" s="1030"/>
      <c r="M25" s="1030"/>
      <c r="N25" s="1030"/>
      <c r="T25" s="627"/>
      <c r="U25" s="599" t="s">
        <v>249</v>
      </c>
      <c r="V25" s="626">
        <f>T25+'Tyre&amp;Fuel'!$E$30</f>
        <v>0</v>
      </c>
      <c r="W25" s="319">
        <v>41</v>
      </c>
      <c r="X25" s="320">
        <v>53</v>
      </c>
      <c r="Y25" s="321">
        <v>64</v>
      </c>
      <c r="Z25" s="322">
        <v>76</v>
      </c>
      <c r="AA25" s="323" t="e">
        <f>#REF!</f>
        <v>#REF!</v>
      </c>
      <c r="AB25" s="596">
        <v>0.97</v>
      </c>
      <c r="AD25" s="330">
        <v>100</v>
      </c>
      <c r="AF25" s="331">
        <v>25</v>
      </c>
    </row>
    <row r="26" spans="1:35" x14ac:dyDescent="0.3">
      <c r="B26" s="316" t="s">
        <v>316</v>
      </c>
      <c r="C26" s="316" t="s">
        <v>317</v>
      </c>
      <c r="D26" s="316" t="s">
        <v>318</v>
      </c>
      <c r="E26" s="316" t="s">
        <v>319</v>
      </c>
      <c r="F26" s="316" t="s">
        <v>320</v>
      </c>
      <c r="T26" s="627"/>
      <c r="U26" s="350" t="s">
        <v>250</v>
      </c>
      <c r="V26" s="626">
        <f>T26+'Tyre&amp;Fuel'!$E$30</f>
        <v>0</v>
      </c>
      <c r="W26" s="319">
        <v>42</v>
      </c>
      <c r="X26" s="320">
        <v>55</v>
      </c>
      <c r="Y26" s="321">
        <v>68</v>
      </c>
      <c r="Z26" s="322">
        <v>82</v>
      </c>
      <c r="AA26" s="326"/>
      <c r="AB26" s="593"/>
      <c r="AF26" s="331">
        <v>30</v>
      </c>
    </row>
    <row r="27" spans="1:35" x14ac:dyDescent="0.3">
      <c r="A27" s="312" t="s">
        <v>292</v>
      </c>
      <c r="B27" s="325"/>
      <c r="C27" s="325"/>
      <c r="D27" s="325"/>
      <c r="E27" s="325"/>
      <c r="F27" s="325"/>
      <c r="G27" s="317"/>
      <c r="T27" s="627">
        <v>105</v>
      </c>
      <c r="U27" s="350" t="s">
        <v>251</v>
      </c>
      <c r="V27" s="626">
        <f>T27+'Tyre&amp;Fuel'!$E$30</f>
        <v>105</v>
      </c>
      <c r="W27" s="319">
        <v>45</v>
      </c>
      <c r="X27" s="320">
        <v>60</v>
      </c>
      <c r="Y27" s="321">
        <v>75</v>
      </c>
      <c r="Z27" s="322">
        <v>90</v>
      </c>
      <c r="AA27" s="323" t="e">
        <f>#REF!</f>
        <v>#REF!</v>
      </c>
      <c r="AB27" s="593"/>
      <c r="AC27" s="1022" t="s">
        <v>805</v>
      </c>
      <c r="AD27" s="1023"/>
      <c r="AF27" s="331">
        <v>35</v>
      </c>
    </row>
    <row r="28" spans="1:35" x14ac:dyDescent="0.3">
      <c r="A28" s="312" t="s">
        <v>293</v>
      </c>
      <c r="B28" s="325"/>
      <c r="C28" s="325"/>
      <c r="D28" s="325">
        <v>0.29521804804429003</v>
      </c>
      <c r="E28" s="325"/>
      <c r="F28" s="325"/>
      <c r="G28" s="317">
        <f>'Setup&amp;WS'!E8*D28*IF('Setup&amp;WS'!R5&lt;&gt;"Indianapolis Oval",1,0.39)</f>
        <v>11.21828582568302</v>
      </c>
      <c r="T28" s="627"/>
      <c r="U28" s="351" t="s">
        <v>285</v>
      </c>
      <c r="V28" s="626">
        <f>T28+'Tyre&amp;Fuel'!$E$30</f>
        <v>0</v>
      </c>
      <c r="W28" s="319">
        <v>44</v>
      </c>
      <c r="X28" s="320">
        <v>54</v>
      </c>
      <c r="Y28" s="321">
        <v>64</v>
      </c>
      <c r="Z28" s="322">
        <v>74</v>
      </c>
      <c r="AA28" s="326">
        <v>3</v>
      </c>
      <c r="AB28" s="593"/>
      <c r="AC28" s="592">
        <v>1</v>
      </c>
      <c r="AD28" s="548">
        <f>Patrocinador!B9-Patrocinador!B10</f>
        <v>0</v>
      </c>
      <c r="AF28" s="331">
        <v>40</v>
      </c>
    </row>
    <row r="29" spans="1:35" x14ac:dyDescent="0.3">
      <c r="A29" s="312" t="s">
        <v>294</v>
      </c>
      <c r="B29" s="325"/>
      <c r="C29" s="325">
        <v>-0.498</v>
      </c>
      <c r="D29" s="325"/>
      <c r="E29" s="325"/>
      <c r="F29" s="325"/>
      <c r="G29" s="317">
        <f>'Setup&amp;WS'!E7*C29*IF('Setup&amp;WS'!R5&lt;&gt;"Indianapolis Oval",1,0.39)</f>
        <v>-103.086</v>
      </c>
      <c r="T29" s="627"/>
      <c r="U29" s="599" t="s">
        <v>252</v>
      </c>
      <c r="V29" s="626">
        <f>T29+'Tyre&amp;Fuel'!$E$30</f>
        <v>0</v>
      </c>
      <c r="W29" s="319">
        <v>40</v>
      </c>
      <c r="X29" s="320">
        <v>50</v>
      </c>
      <c r="Y29" s="321">
        <v>60</v>
      </c>
      <c r="Z29" s="322">
        <v>70</v>
      </c>
      <c r="AA29" s="323" t="e">
        <f>#REF!</f>
        <v>#REF!</v>
      </c>
      <c r="AB29" s="593"/>
      <c r="AC29" s="592">
        <v>2</v>
      </c>
      <c r="AD29" s="548">
        <f>(Patrocinador!B10*Patrocinador!B11-Patrocinador!B9)</f>
        <v>0</v>
      </c>
      <c r="AF29" s="331">
        <v>45</v>
      </c>
      <c r="AI29" s="393"/>
    </row>
    <row r="30" spans="1:35" x14ac:dyDescent="0.3">
      <c r="A30" s="312" t="s">
        <v>309</v>
      </c>
      <c r="B30" s="325">
        <v>0.5</v>
      </c>
      <c r="C30" s="325"/>
      <c r="D30" s="325"/>
      <c r="E30" s="325"/>
      <c r="F30" s="325"/>
      <c r="G30" s="317">
        <f>'Setup&amp;WS'!E6*B30*IF('Setup&amp;WS'!R5&lt;&gt;"Indianapolis Oval",1,0.39)</f>
        <v>45.5</v>
      </c>
      <c r="T30" s="627"/>
      <c r="U30" s="350" t="s">
        <v>253</v>
      </c>
      <c r="V30" s="626">
        <f>T30+'Tyre&amp;Fuel'!$E$30</f>
        <v>0</v>
      </c>
      <c r="W30" s="319">
        <v>45</v>
      </c>
      <c r="X30" s="320">
        <v>55</v>
      </c>
      <c r="Y30" s="321">
        <v>65</v>
      </c>
      <c r="Z30" s="322">
        <v>75</v>
      </c>
      <c r="AA30" s="326"/>
      <c r="AB30" s="593"/>
      <c r="AC30" s="592">
        <v>3</v>
      </c>
      <c r="AD30" s="548">
        <f>(Patrocinador!B10*Patrocinador!B11-Patrocinador!B9)/2</f>
        <v>0</v>
      </c>
      <c r="AF30" s="331">
        <v>50</v>
      </c>
      <c r="AI30" s="393"/>
    </row>
    <row r="31" spans="1:35" x14ac:dyDescent="0.3">
      <c r="A31" s="312" t="s">
        <v>310</v>
      </c>
      <c r="B31" s="325"/>
      <c r="C31" s="325"/>
      <c r="D31" s="325"/>
      <c r="E31" s="325">
        <v>0.75</v>
      </c>
      <c r="F31" s="325">
        <v>2</v>
      </c>
      <c r="G31" s="317">
        <f>'Setup&amp;WS'!E9*E31*IF('Setup&amp;WS'!R5&lt;&gt;"Indianapolis Oval",1,0.39)+'Setup&amp;WS'!E15*F31+IF('Setup&amp;WS'!T7&lt;&gt;"Dry",'Setup&amp;WS'!E10*0.11,0)</f>
        <v>166.78</v>
      </c>
      <c r="H31" s="1"/>
      <c r="T31" s="627"/>
      <c r="U31" s="599" t="s">
        <v>254</v>
      </c>
      <c r="V31" s="626">
        <f>T31+'Tyre&amp;Fuel'!$E$30</f>
        <v>0</v>
      </c>
      <c r="W31" s="319">
        <v>45</v>
      </c>
      <c r="X31" s="320">
        <v>55</v>
      </c>
      <c r="Y31" s="321">
        <v>65</v>
      </c>
      <c r="Z31" s="322">
        <v>75</v>
      </c>
      <c r="AA31" s="326"/>
      <c r="AB31" s="593"/>
      <c r="AF31" s="331">
        <v>55</v>
      </c>
      <c r="AI31" s="393"/>
    </row>
    <row r="32" spans="1:35" x14ac:dyDescent="0.3">
      <c r="T32" s="627"/>
      <c r="U32" s="599" t="s">
        <v>255</v>
      </c>
      <c r="V32" s="626">
        <f>T32+'Tyre&amp;Fuel'!$E$30</f>
        <v>0</v>
      </c>
      <c r="W32" s="319">
        <v>45</v>
      </c>
      <c r="X32" s="320">
        <v>55</v>
      </c>
      <c r="Y32" s="321">
        <v>65</v>
      </c>
      <c r="Z32" s="322">
        <v>75</v>
      </c>
      <c r="AA32" s="326"/>
      <c r="AB32" s="593"/>
      <c r="AC32" s="1022" t="s">
        <v>806</v>
      </c>
      <c r="AD32" s="1023"/>
      <c r="AF32" s="331">
        <v>60</v>
      </c>
      <c r="AI32" s="393"/>
    </row>
    <row r="33" spans="1:35" x14ac:dyDescent="0.3">
      <c r="A33" s="1030" t="s">
        <v>321</v>
      </c>
      <c r="B33" s="1030"/>
      <c r="C33" s="1030"/>
      <c r="D33" s="1030"/>
      <c r="E33" s="1030"/>
      <c r="F33" s="1030"/>
      <c r="G33" s="1030"/>
      <c r="H33" s="1030"/>
      <c r="I33" s="1030"/>
      <c r="J33" s="1030"/>
      <c r="K33" s="1030"/>
      <c r="L33" s="1030"/>
      <c r="M33" s="1030"/>
      <c r="N33" s="1030"/>
      <c r="T33" s="627"/>
      <c r="U33" s="350" t="s">
        <v>256</v>
      </c>
      <c r="V33" s="626">
        <f>T33+'Tyre&amp;Fuel'!$E$30</f>
        <v>0</v>
      </c>
      <c r="W33" s="319">
        <v>45</v>
      </c>
      <c r="X33" s="320">
        <v>55</v>
      </c>
      <c r="Y33" s="321">
        <v>65</v>
      </c>
      <c r="Z33" s="322">
        <v>75</v>
      </c>
      <c r="AA33" s="326"/>
      <c r="AB33" s="593">
        <v>0.95</v>
      </c>
      <c r="AC33" s="592">
        <v>1</v>
      </c>
      <c r="AD33" s="548">
        <f>Patrocinador!B19-Patrocinador!B20</f>
        <v>7.2000000000000028</v>
      </c>
      <c r="AF33" s="331">
        <v>65</v>
      </c>
      <c r="AI33" s="393"/>
    </row>
    <row r="34" spans="1:35" x14ac:dyDescent="0.3">
      <c r="B34" s="316" t="s">
        <v>322</v>
      </c>
      <c r="C34" s="316" t="s">
        <v>323</v>
      </c>
      <c r="E34" s="226"/>
      <c r="F34" s="226"/>
      <c r="T34" s="627"/>
      <c r="U34" s="603" t="s">
        <v>257</v>
      </c>
      <c r="V34" s="626">
        <f>T34+'Tyre&amp;Fuel'!$E$30</f>
        <v>0</v>
      </c>
      <c r="W34" s="319">
        <v>45</v>
      </c>
      <c r="X34" s="320">
        <v>55</v>
      </c>
      <c r="Y34" s="321">
        <v>65</v>
      </c>
      <c r="Z34" s="322">
        <v>75</v>
      </c>
      <c r="AA34" s="326"/>
      <c r="AB34" s="593"/>
      <c r="AC34" s="592">
        <v>2</v>
      </c>
      <c r="AD34" s="548">
        <f>(Patrocinador!B20*Patrocinador!B21-Patrocinador!B19)</f>
        <v>32.799999999999997</v>
      </c>
      <c r="AF34" s="331">
        <v>70</v>
      </c>
      <c r="AI34" s="393"/>
    </row>
    <row r="35" spans="1:35" x14ac:dyDescent="0.3">
      <c r="A35" s="312" t="s">
        <v>324</v>
      </c>
      <c r="B35" s="332">
        <v>0.16880000000000001</v>
      </c>
      <c r="C35" s="325">
        <f>B35*'Setup&amp;WS'!E6</f>
        <v>15.360800000000001</v>
      </c>
      <c r="E35" s="226"/>
      <c r="F35" s="333"/>
      <c r="G35" s="333"/>
      <c r="T35" s="627"/>
      <c r="U35" s="598" t="s">
        <v>258</v>
      </c>
      <c r="V35" s="626">
        <f>T35+'Tyre&amp;Fuel'!$E$30</f>
        <v>0</v>
      </c>
      <c r="W35" s="319">
        <v>50</v>
      </c>
      <c r="X35" s="320">
        <v>60</v>
      </c>
      <c r="Y35" s="321">
        <v>70</v>
      </c>
      <c r="Z35" s="322">
        <v>80</v>
      </c>
      <c r="AA35" s="323" t="e">
        <f>#REF!</f>
        <v>#REF!</v>
      </c>
      <c r="AB35" s="593"/>
      <c r="AC35" s="592">
        <v>3</v>
      </c>
      <c r="AD35" s="548">
        <f>(Patrocinador!B21*Patrocinador!B22-Patrocinador!B20)/2</f>
        <v>-20</v>
      </c>
      <c r="AF35" s="331">
        <v>75</v>
      </c>
      <c r="AI35" s="818"/>
    </row>
    <row r="36" spans="1:35" x14ac:dyDescent="0.3">
      <c r="A36" s="312" t="s">
        <v>325</v>
      </c>
      <c r="B36" s="332">
        <v>0.249</v>
      </c>
      <c r="C36" s="325">
        <f>B36*'Setup&amp;WS'!E7</f>
        <v>51.542999999999999</v>
      </c>
      <c r="E36" s="226"/>
      <c r="F36" s="333"/>
      <c r="G36" s="333"/>
      <c r="T36" s="627">
        <v>102</v>
      </c>
      <c r="U36" s="599" t="s">
        <v>259</v>
      </c>
      <c r="V36" s="626">
        <f>T36+'Tyre&amp;Fuel'!$E$30</f>
        <v>102</v>
      </c>
      <c r="W36" s="319">
        <v>45</v>
      </c>
      <c r="X36" s="320">
        <v>55</v>
      </c>
      <c r="Y36" s="321">
        <v>70</v>
      </c>
      <c r="Z36" s="322">
        <v>90</v>
      </c>
      <c r="AA36" s="323" t="e">
        <f>#REF!</f>
        <v>#REF!</v>
      </c>
      <c r="AB36" s="593">
        <v>0.96</v>
      </c>
      <c r="AF36" s="331">
        <v>80</v>
      </c>
      <c r="AI36" s="393"/>
    </row>
    <row r="37" spans="1:35" x14ac:dyDescent="0.3">
      <c r="A37" s="312" t="s">
        <v>326</v>
      </c>
      <c r="B37" s="332">
        <v>0.14549999999999999</v>
      </c>
      <c r="C37" s="325">
        <f>B37*'Setup&amp;WS'!E8</f>
        <v>5.5289999999999999</v>
      </c>
      <c r="E37" s="226"/>
      <c r="F37" s="333"/>
      <c r="G37" s="333"/>
      <c r="T37" s="627"/>
      <c r="U37" s="351" t="s">
        <v>818</v>
      </c>
      <c r="V37" s="626">
        <f>T37+'Tyre&amp;Fuel'!$E$30</f>
        <v>0</v>
      </c>
      <c r="W37" s="319"/>
      <c r="X37" s="320"/>
      <c r="Y37" s="321"/>
      <c r="Z37" s="322"/>
      <c r="AA37" s="326"/>
      <c r="AB37" s="593"/>
      <c r="AC37" s="1022" t="s">
        <v>807</v>
      </c>
      <c r="AD37" s="1023"/>
      <c r="AF37" s="331">
        <v>85</v>
      </c>
      <c r="AI37" s="393"/>
    </row>
    <row r="38" spans="1:35" x14ac:dyDescent="0.3">
      <c r="A38" s="312" t="s">
        <v>327</v>
      </c>
      <c r="B38" s="332">
        <v>8.4699999999999998E-2</v>
      </c>
      <c r="C38" s="325">
        <f>B38*'Setup&amp;WS'!E9</f>
        <v>4.0655999999999999</v>
      </c>
      <c r="E38" s="226"/>
      <c r="F38" s="333"/>
      <c r="G38" s="333"/>
      <c r="T38" s="627"/>
      <c r="U38" s="350" t="s">
        <v>260</v>
      </c>
      <c r="V38" s="626">
        <f>T38+'Tyre&amp;Fuel'!$E$30</f>
        <v>0</v>
      </c>
      <c r="W38" s="319">
        <v>35</v>
      </c>
      <c r="X38" s="320">
        <v>47</v>
      </c>
      <c r="Y38" s="321">
        <v>58</v>
      </c>
      <c r="Z38" s="322">
        <v>70</v>
      </c>
      <c r="AA38" s="326"/>
      <c r="AB38" s="593"/>
      <c r="AC38" s="592">
        <v>1</v>
      </c>
      <c r="AD38" s="549">
        <f>Patrocinador!B29-Patrocinador!B30</f>
        <v>0</v>
      </c>
      <c r="AF38" s="331">
        <v>90</v>
      </c>
      <c r="AI38" s="393"/>
    </row>
    <row r="39" spans="1:35" x14ac:dyDescent="0.3">
      <c r="A39" s="312" t="s">
        <v>328</v>
      </c>
      <c r="B39" s="332">
        <v>0.1245</v>
      </c>
      <c r="C39" s="325">
        <f>B39*'Setup&amp;WS'!E10</f>
        <v>12.201000000000001</v>
      </c>
      <c r="F39" s="333"/>
      <c r="G39" s="333"/>
      <c r="T39" s="627"/>
      <c r="U39" s="599" t="s">
        <v>261</v>
      </c>
      <c r="V39" s="626">
        <f>T39+'Tyre&amp;Fuel'!$E$30</f>
        <v>0</v>
      </c>
      <c r="W39" s="319">
        <v>55</v>
      </c>
      <c r="X39" s="320">
        <v>70</v>
      </c>
      <c r="Y39" s="321">
        <v>80</v>
      </c>
      <c r="Z39" s="322">
        <v>95</v>
      </c>
      <c r="AA39" s="323" t="e">
        <f>#REF!</f>
        <v>#REF!</v>
      </c>
      <c r="AB39" s="593">
        <v>0.97</v>
      </c>
      <c r="AC39" s="592">
        <v>2</v>
      </c>
      <c r="AD39" s="548">
        <f>(Patrocinador!B30*Patrocinador!B31-Patrocinador!B29)</f>
        <v>35</v>
      </c>
      <c r="AF39" s="331">
        <v>95</v>
      </c>
    </row>
    <row r="40" spans="1:35" x14ac:dyDescent="0.3">
      <c r="A40" s="312" t="s">
        <v>329</v>
      </c>
      <c r="B40" s="332">
        <v>0.14399999999999999</v>
      </c>
      <c r="C40" s="325">
        <f>B40*'Setup&amp;WS'!E11</f>
        <v>11.808</v>
      </c>
      <c r="F40" s="333"/>
      <c r="G40" s="333"/>
      <c r="T40" s="627"/>
      <c r="U40" s="599" t="s">
        <v>262</v>
      </c>
      <c r="V40" s="626">
        <f>T40+'Tyre&amp;Fuel'!$E$30</f>
        <v>0</v>
      </c>
      <c r="W40" s="319">
        <v>55</v>
      </c>
      <c r="X40" s="320">
        <v>65</v>
      </c>
      <c r="Y40" s="321">
        <v>80</v>
      </c>
      <c r="Z40" s="322">
        <v>90</v>
      </c>
      <c r="AA40" s="326"/>
      <c r="AB40" s="593"/>
      <c r="AC40" s="592">
        <v>3</v>
      </c>
      <c r="AD40" s="548">
        <f>(Patrocinador!B31*Patrocinador!B32-Patrocinador!B30)/2</f>
        <v>-17.5</v>
      </c>
      <c r="AF40" s="1">
        <v>100</v>
      </c>
    </row>
    <row r="41" spans="1:35" x14ac:dyDescent="0.3">
      <c r="A41" s="312" t="s">
        <v>330</v>
      </c>
      <c r="B41" s="332">
        <v>8.2900000000000001E-2</v>
      </c>
      <c r="C41" s="325">
        <f>B41*'Setup&amp;WS'!E12</f>
        <v>2.9015</v>
      </c>
      <c r="F41" s="333"/>
      <c r="G41" s="333"/>
      <c r="T41" s="627">
        <v>80</v>
      </c>
      <c r="U41" s="598" t="s">
        <v>263</v>
      </c>
      <c r="V41" s="626">
        <f>T41+'Tyre&amp;Fuel'!$E$30</f>
        <v>80</v>
      </c>
      <c r="W41" s="319">
        <v>35</v>
      </c>
      <c r="X41" s="320">
        <v>82</v>
      </c>
      <c r="Y41" s="321">
        <v>65</v>
      </c>
      <c r="Z41" s="322">
        <v>80</v>
      </c>
      <c r="AA41" s="326"/>
      <c r="AB41" s="593"/>
    </row>
    <row r="42" spans="1:35" x14ac:dyDescent="0.3">
      <c r="A42" s="312" t="s">
        <v>331</v>
      </c>
      <c r="B42" s="332">
        <v>8.3900000000000002E-2</v>
      </c>
      <c r="C42" s="325">
        <f>B42*'Setup&amp;WS'!E13</f>
        <v>0</v>
      </c>
      <c r="D42" s="316" t="s">
        <v>332</v>
      </c>
      <c r="F42" s="333"/>
      <c r="G42" s="333"/>
      <c r="T42" s="627"/>
      <c r="U42" s="598" t="s">
        <v>264</v>
      </c>
      <c r="V42" s="626">
        <f>T42+'Tyre&amp;Fuel'!$E$30</f>
        <v>0</v>
      </c>
      <c r="W42" s="319">
        <v>50</v>
      </c>
      <c r="X42" s="320">
        <v>61</v>
      </c>
      <c r="Y42" s="321">
        <v>72</v>
      </c>
      <c r="Z42" s="322">
        <v>85</v>
      </c>
      <c r="AA42" s="326"/>
      <c r="AB42" s="593"/>
      <c r="AC42" s="1022" t="s">
        <v>808</v>
      </c>
      <c r="AD42" s="1023"/>
    </row>
    <row r="43" spans="1:35" x14ac:dyDescent="0.3">
      <c r="A43" s="312" t="s">
        <v>320</v>
      </c>
      <c r="B43" s="332">
        <v>-8.3000000000000004E-2</v>
      </c>
      <c r="C43" s="325">
        <f>B43*'Setup&amp;WS'!E15</f>
        <v>-4.9800000000000004</v>
      </c>
      <c r="D43" s="317">
        <f>SUM(C35:C43)</f>
        <v>98.428899999999985</v>
      </c>
      <c r="F43" s="333"/>
      <c r="G43" s="333"/>
      <c r="T43" s="627"/>
      <c r="U43" s="350" t="s">
        <v>265</v>
      </c>
      <c r="V43" s="626">
        <f>T43+'Tyre&amp;Fuel'!$E$30</f>
        <v>0</v>
      </c>
      <c r="W43" s="334">
        <v>45</v>
      </c>
      <c r="X43" s="334">
        <v>55</v>
      </c>
      <c r="Y43" s="334">
        <v>65</v>
      </c>
      <c r="Z43" s="334">
        <v>75</v>
      </c>
      <c r="AA43" s="334"/>
      <c r="AB43" s="593"/>
      <c r="AC43" s="592">
        <v>1</v>
      </c>
      <c r="AD43" s="548">
        <f>Patrocinador!B39-Patrocinador!B40</f>
        <v>6.6</v>
      </c>
    </row>
    <row r="44" spans="1:35" x14ac:dyDescent="0.3">
      <c r="T44" s="627"/>
      <c r="U44" s="604" t="s">
        <v>266</v>
      </c>
      <c r="V44" s="626">
        <f>T44+'Tyre&amp;Fuel'!$E$30</f>
        <v>0</v>
      </c>
      <c r="W44" s="319">
        <v>55</v>
      </c>
      <c r="X44" s="320">
        <v>70</v>
      </c>
      <c r="Y44" s="321">
        <v>85</v>
      </c>
      <c r="Z44" s="322">
        <v>95</v>
      </c>
      <c r="AA44" s="326"/>
      <c r="AB44" s="593"/>
      <c r="AC44" s="592">
        <v>2</v>
      </c>
      <c r="AD44" s="548">
        <f>(Patrocinador!B40*Patrocinador!B41-Patrocinador!B39)</f>
        <v>11.4</v>
      </c>
    </row>
    <row r="45" spans="1:35" x14ac:dyDescent="0.3">
      <c r="A45" s="1030" t="s">
        <v>333</v>
      </c>
      <c r="B45" s="1030"/>
      <c r="C45" s="1030"/>
      <c r="D45" s="1030"/>
      <c r="E45" s="1030"/>
      <c r="F45" s="1030"/>
      <c r="G45" s="1030"/>
      <c r="H45" s="1030"/>
      <c r="I45" s="1030"/>
      <c r="J45" s="1030"/>
      <c r="K45" s="1030"/>
      <c r="L45" s="1030"/>
      <c r="M45" s="1030"/>
      <c r="N45" s="1030"/>
      <c r="T45" s="627"/>
      <c r="U45" s="599" t="s">
        <v>267</v>
      </c>
      <c r="V45" s="626">
        <f>T45+'Tyre&amp;Fuel'!$E$30</f>
        <v>0</v>
      </c>
      <c r="W45" s="319">
        <v>40</v>
      </c>
      <c r="X45" s="320">
        <v>55</v>
      </c>
      <c r="Y45" s="321">
        <v>70</v>
      </c>
      <c r="Z45" s="322">
        <v>90</v>
      </c>
      <c r="AA45" s="326"/>
      <c r="AB45" s="593"/>
      <c r="AC45" s="592">
        <v>3</v>
      </c>
      <c r="AD45" s="548">
        <f>(Patrocinador!B41*Patrocinador!B42-Patrocinador!B40)/2</f>
        <v>-4.5</v>
      </c>
    </row>
    <row r="46" spans="1:35" x14ac:dyDescent="0.3">
      <c r="B46" s="312" t="s">
        <v>316</v>
      </c>
      <c r="C46" s="316" t="s">
        <v>334</v>
      </c>
      <c r="D46" s="316" t="s">
        <v>319</v>
      </c>
      <c r="E46" s="316" t="s">
        <v>335</v>
      </c>
      <c r="F46" s="312" t="s">
        <v>336</v>
      </c>
      <c r="G46" s="312" t="s">
        <v>337</v>
      </c>
      <c r="T46" s="627"/>
      <c r="U46" s="605" t="s">
        <v>268</v>
      </c>
      <c r="V46" s="626">
        <f>T46+'Tyre&amp;Fuel'!$E$30</f>
        <v>0</v>
      </c>
      <c r="W46" s="319">
        <v>45</v>
      </c>
      <c r="X46" s="320">
        <v>60</v>
      </c>
      <c r="Y46" s="321">
        <v>70</v>
      </c>
      <c r="Z46" s="322">
        <v>85</v>
      </c>
      <c r="AA46" s="326"/>
      <c r="AB46" s="593"/>
    </row>
    <row r="47" spans="1:35" x14ac:dyDescent="0.3">
      <c r="A47" s="312" t="s">
        <v>338</v>
      </c>
      <c r="B47" s="335">
        <v>-1.01165457155397E-4</v>
      </c>
      <c r="C47" s="332">
        <v>7.0608061378709094E-5</v>
      </c>
      <c r="D47" s="332">
        <v>-8.6645502152733194E-5</v>
      </c>
      <c r="E47" s="332">
        <v>-1.6391545280336901E-4</v>
      </c>
      <c r="F47" s="335">
        <v>-1.26912680856842E-2</v>
      </c>
      <c r="G47" s="335">
        <v>-8.3557977071091003E-3</v>
      </c>
      <c r="H47" s="336">
        <f>B47*'Setup&amp;WS'!E6+C47*'Setup&amp;WS'!E8+D47*'Setup&amp;WS'!E9+E47*'Setup&amp;WS'!E10+F47*'Setup&amp;WS'!I7+G47*'Setup&amp;WS'!I16</f>
        <v>-0.13198097771077805</v>
      </c>
      <c r="T47" s="627"/>
      <c r="U47" s="350" t="s">
        <v>269</v>
      </c>
      <c r="V47" s="626">
        <f>T47+'Tyre&amp;Fuel'!$E$30</f>
        <v>0</v>
      </c>
      <c r="W47" s="319">
        <v>35</v>
      </c>
      <c r="X47" s="320">
        <v>50</v>
      </c>
      <c r="Y47" s="321">
        <v>65</v>
      </c>
      <c r="Z47" s="322">
        <v>80</v>
      </c>
      <c r="AA47" s="326"/>
      <c r="AB47" s="593"/>
      <c r="AC47" s="1022" t="s">
        <v>809</v>
      </c>
      <c r="AD47" s="1023"/>
    </row>
    <row r="48" spans="1:35" x14ac:dyDescent="0.3">
      <c r="B48" s="1"/>
      <c r="C48" s="1"/>
      <c r="D48" s="1"/>
      <c r="G48" s="1"/>
      <c r="H48" s="1"/>
      <c r="T48" s="627"/>
      <c r="U48" s="598" t="s">
        <v>270</v>
      </c>
      <c r="V48" s="626">
        <f>T48+'Tyre&amp;Fuel'!$E$30</f>
        <v>0</v>
      </c>
      <c r="W48" s="319">
        <v>60</v>
      </c>
      <c r="X48" s="320">
        <v>70</v>
      </c>
      <c r="Y48" s="321">
        <v>90</v>
      </c>
      <c r="Z48" s="322">
        <v>95</v>
      </c>
      <c r="AA48" s="326"/>
      <c r="AB48" s="593"/>
      <c r="AC48" s="592">
        <v>1</v>
      </c>
      <c r="AD48" s="549">
        <f>Patrocinador!B49-Patrocinador!B50</f>
        <v>-1</v>
      </c>
    </row>
    <row r="49" spans="1:30" x14ac:dyDescent="0.3">
      <c r="B49" s="1"/>
      <c r="C49" s="338"/>
      <c r="D49" s="338"/>
      <c r="E49" s="338"/>
      <c r="F49" s="338"/>
      <c r="G49" s="338"/>
      <c r="H49" s="338"/>
      <c r="I49" s="338"/>
      <c r="J49" s="338"/>
      <c r="K49" s="338"/>
      <c r="L49" s="338"/>
      <c r="T49" s="627"/>
      <c r="U49" s="350" t="s">
        <v>271</v>
      </c>
      <c r="V49" s="626">
        <f>T49+'Tyre&amp;Fuel'!$E$30</f>
        <v>0</v>
      </c>
      <c r="W49" s="319">
        <v>50</v>
      </c>
      <c r="X49" s="320">
        <v>62</v>
      </c>
      <c r="Y49" s="321">
        <v>73</v>
      </c>
      <c r="Z49" s="322">
        <v>85</v>
      </c>
      <c r="AA49" s="326"/>
      <c r="AB49" s="593"/>
      <c r="AC49" s="592">
        <v>2</v>
      </c>
      <c r="AD49" s="548">
        <f>(Patrocinador!B50*Patrocinador!B51-Patrocinador!B49)</f>
        <v>52</v>
      </c>
    </row>
    <row r="50" spans="1:30" x14ac:dyDescent="0.3">
      <c r="B50" s="1"/>
      <c r="E50" s="226"/>
      <c r="F50" s="226"/>
      <c r="T50" s="627"/>
      <c r="U50" s="350" t="s">
        <v>272</v>
      </c>
      <c r="V50" s="626">
        <f>T50+'Tyre&amp;Fuel'!$E$30</f>
        <v>0</v>
      </c>
      <c r="W50" s="334">
        <v>45</v>
      </c>
      <c r="X50" s="334">
        <v>60</v>
      </c>
      <c r="Y50" s="334">
        <v>70</v>
      </c>
      <c r="Z50" s="334">
        <v>80</v>
      </c>
      <c r="AA50" s="337" t="e">
        <f>#REF!</f>
        <v>#REF!</v>
      </c>
      <c r="AB50" s="593"/>
      <c r="AC50" s="592">
        <v>3</v>
      </c>
      <c r="AD50" s="548">
        <f>(Patrocinador!B51*Patrocinador!B52-Patrocinador!B50)/2</f>
        <v>-25.5</v>
      </c>
    </row>
    <row r="51" spans="1:30" x14ac:dyDescent="0.3">
      <c r="B51" s="1"/>
      <c r="C51" s="340"/>
      <c r="D51" s="340"/>
      <c r="E51" s="340"/>
      <c r="F51" s="340"/>
      <c r="G51" s="340"/>
      <c r="H51" s="340"/>
      <c r="I51" s="341"/>
      <c r="J51" s="341"/>
      <c r="K51" s="341"/>
      <c r="L51" s="341"/>
      <c r="T51" s="627">
        <v>48</v>
      </c>
      <c r="U51" s="350" t="s">
        <v>273</v>
      </c>
      <c r="V51" s="626">
        <f>T51+'Tyre&amp;Fuel'!$E$30</f>
        <v>48</v>
      </c>
      <c r="W51" s="319">
        <v>40</v>
      </c>
      <c r="X51" s="320">
        <v>50</v>
      </c>
      <c r="Y51" s="321">
        <v>63</v>
      </c>
      <c r="Z51" s="322">
        <v>75</v>
      </c>
      <c r="AA51" s="323" t="e">
        <f>#REF!</f>
        <v>#REF!</v>
      </c>
      <c r="AB51" s="593"/>
    </row>
    <row r="52" spans="1:30" x14ac:dyDescent="0.3">
      <c r="T52" s="627"/>
      <c r="U52" s="599" t="s">
        <v>274</v>
      </c>
      <c r="V52" s="626">
        <f>T52+'Tyre&amp;Fuel'!$E$30</f>
        <v>0</v>
      </c>
      <c r="W52" s="339">
        <v>35</v>
      </c>
      <c r="X52" s="339">
        <v>60</v>
      </c>
      <c r="Y52" s="339">
        <v>71</v>
      </c>
      <c r="Z52" s="339">
        <v>85</v>
      </c>
      <c r="AA52" s="339"/>
      <c r="AB52" s="593">
        <v>0.95</v>
      </c>
      <c r="AC52" s="1022" t="s">
        <v>810</v>
      </c>
      <c r="AD52" s="1023"/>
    </row>
    <row r="53" spans="1:30" x14ac:dyDescent="0.3">
      <c r="A53" s="1030" t="s">
        <v>339</v>
      </c>
      <c r="B53" s="1030"/>
      <c r="C53" s="1030"/>
      <c r="D53" s="1030"/>
      <c r="E53" s="1030"/>
      <c r="F53" s="1030"/>
      <c r="G53" s="1030"/>
      <c r="H53" s="1030"/>
      <c r="I53" s="1030"/>
      <c r="J53" s="1030"/>
      <c r="K53" s="1030"/>
      <c r="L53" s="1030"/>
      <c r="M53" s="1030"/>
      <c r="N53" s="1030"/>
      <c r="T53" s="627"/>
      <c r="U53" s="350" t="s">
        <v>275</v>
      </c>
      <c r="V53" s="626">
        <f>T53+'Tyre&amp;Fuel'!$E$30</f>
        <v>0</v>
      </c>
      <c r="W53" s="319">
        <v>45</v>
      </c>
      <c r="X53" s="320">
        <v>57</v>
      </c>
      <c r="Y53" s="321">
        <v>68</v>
      </c>
      <c r="Z53" s="322">
        <v>83</v>
      </c>
      <c r="AA53" s="326"/>
      <c r="AB53" s="593"/>
      <c r="AC53" s="592">
        <v>1</v>
      </c>
      <c r="AD53" s="548">
        <f>Patrocinador!B59-Patrocinador!B60</f>
        <v>0</v>
      </c>
    </row>
    <row r="54" spans="1:30" x14ac:dyDescent="0.3">
      <c r="B54" s="316" t="s">
        <v>340</v>
      </c>
      <c r="C54" s="316" t="s">
        <v>322</v>
      </c>
      <c r="F54" s="342" t="s">
        <v>341</v>
      </c>
      <c r="T54" s="627"/>
      <c r="U54" s="603" t="s">
        <v>276</v>
      </c>
      <c r="V54" s="626">
        <f>T54+'Tyre&amp;Fuel'!$E$30</f>
        <v>0</v>
      </c>
      <c r="W54" s="319">
        <v>35</v>
      </c>
      <c r="X54" s="320">
        <v>45</v>
      </c>
      <c r="Y54" s="321">
        <v>55</v>
      </c>
      <c r="Z54" s="322">
        <v>65</v>
      </c>
      <c r="AA54" s="326"/>
      <c r="AB54" s="593"/>
      <c r="AC54" s="592">
        <v>2</v>
      </c>
      <c r="AD54" s="548">
        <f>(Patrocinador!B60*Patrocinador!B61-Patrocinador!B59)</f>
        <v>60</v>
      </c>
    </row>
    <row r="55" spans="1:30" x14ac:dyDescent="0.3">
      <c r="A55" s="312" t="s">
        <v>163</v>
      </c>
      <c r="B55" s="325">
        <v>0</v>
      </c>
      <c r="C55" s="343">
        <v>0.998163750229071</v>
      </c>
      <c r="E55" s="336">
        <f>$B$82*$C$82*$D$82*$F$82*$G$82*$H$82*$I$82*($E$81^B55)*(C55^$K$80)</f>
        <v>0.6686153249585659</v>
      </c>
      <c r="F55" s="344">
        <f>IF('Tyre&amp;Fuel'!C5="Pipirelli",E55*$B$77*VLOOKUP('Setup&amp;WS'!$R$5,Tracks!$A$4:$AD$886,30),IF('Tyre&amp;Fuel'!C5="Avonn",E55*$B$77*VLOOKUP('Setup&amp;WS'!$R$5,Tracks!$A$4:$BC$886,55),IF('Tyre&amp;Fuel'!C5="Yokomama",E55*$B$77*VLOOKUP('Setup&amp;WS'!$R$5,Tracks!$A$4:$BJ$886,62),IF('Tyre&amp;Fuel'!C5="Dunnolop",E55*$B$77*VLOOKUP('Setup&amp;WS'!$R$5,Tracks!$A$4:$BQ$886,69),IF('Tyre&amp;Fuel'!C5="Contimental",E55*$B$77*VLOOKUP('Setup&amp;WS'!$R$5,Tracks!$A$4:$BX$886,76),IF('Tyre&amp;Fuel'!C5="Hancock",E55*$B$77*VLOOKUP('Setup&amp;WS'!$R$5,Tracks!$A$4:$CL$886,90),IF('Tyre&amp;Fuel'!C5="Michelini",E55*$B$77*VLOOKUP('Setup&amp;WS'!$R$5,Tracks!$A$4:$CS$886,97),IF('Tyre&amp;Fuel'!C5="Bridgerock",E55*$B$77*VLOOKUP('Setup&amp;WS'!$R$5,Tracks!$A$4:$CZ$886,104,0)))))))))</f>
        <v>92.844465765372931</v>
      </c>
      <c r="T55" s="627"/>
      <c r="U55" s="599" t="s">
        <v>277</v>
      </c>
      <c r="V55" s="626">
        <f>T55+'Tyre&amp;Fuel'!$E$30</f>
        <v>0</v>
      </c>
      <c r="W55" s="319">
        <v>45</v>
      </c>
      <c r="X55" s="320">
        <v>56</v>
      </c>
      <c r="Y55" s="321">
        <v>67</v>
      </c>
      <c r="Z55" s="322">
        <v>80</v>
      </c>
      <c r="AA55" s="326"/>
      <c r="AB55" s="593"/>
      <c r="AC55" s="592">
        <v>3</v>
      </c>
      <c r="AD55" s="548">
        <f>(Patrocinador!B61*Patrocinador!B62-Patrocinador!B60)/2</f>
        <v>-30</v>
      </c>
    </row>
    <row r="56" spans="1:30" x14ac:dyDescent="0.3">
      <c r="A56" s="312" t="s">
        <v>162</v>
      </c>
      <c r="B56" s="325">
        <v>1</v>
      </c>
      <c r="C56" s="343">
        <v>0.99706484481765401</v>
      </c>
      <c r="E56" s="336">
        <f>$B$82*$C$82*$D$82*$F$82*$G$82*$H$82*$I$82*($E$81^B56)*(C56^$K$80)</f>
        <v>0.90617014766902693</v>
      </c>
      <c r="F56" s="344">
        <f>E56*$B$77*VLOOKUP('Setup&amp;WS'!$R$5,Tracks!$A$4:$AD$886,30,0)</f>
        <v>125.83152092434258</v>
      </c>
      <c r="T56" s="627"/>
      <c r="U56" s="599" t="s">
        <v>278</v>
      </c>
      <c r="V56" s="626">
        <f>T56+'Tyre&amp;Fuel'!$E$30</f>
        <v>0</v>
      </c>
      <c r="W56" s="319">
        <v>40</v>
      </c>
      <c r="X56" s="320">
        <v>51</v>
      </c>
      <c r="Y56" s="321">
        <v>62</v>
      </c>
      <c r="Z56" s="322">
        <v>75</v>
      </c>
      <c r="AA56" s="326"/>
      <c r="AB56" s="593"/>
    </row>
    <row r="57" spans="1:30" x14ac:dyDescent="0.3">
      <c r="A57" s="312" t="s">
        <v>168</v>
      </c>
      <c r="B57" s="325">
        <v>2</v>
      </c>
      <c r="C57" s="343">
        <v>0.99638034655434904</v>
      </c>
      <c r="E57" s="336">
        <f>$B$82*$C$82*$D$82*$F$82*$G$82*$H$82*$I$82*($E$81^B57)*(C57^$K$80)</f>
        <v>1.228126705856454</v>
      </c>
      <c r="F57" s="344">
        <f>E57*$B$77*VLOOKUP('Setup&amp;WS'!$R$5,Tracks!$A$4:$AD$886,30,0)</f>
        <v>170.53866945765247</v>
      </c>
      <c r="T57" s="627"/>
      <c r="U57" s="598" t="s">
        <v>279</v>
      </c>
      <c r="V57" s="626">
        <f>T57+'Tyre&amp;Fuel'!$E$30</f>
        <v>0</v>
      </c>
      <c r="W57" s="319">
        <v>40</v>
      </c>
      <c r="X57" s="320">
        <v>50</v>
      </c>
      <c r="Y57" s="321">
        <v>60</v>
      </c>
      <c r="Z57" s="322">
        <v>70</v>
      </c>
      <c r="AA57" s="326"/>
      <c r="AB57" s="593"/>
    </row>
    <row r="58" spans="1:30" x14ac:dyDescent="0.3">
      <c r="A58" s="312" t="s">
        <v>174</v>
      </c>
      <c r="B58" s="325">
        <v>3</v>
      </c>
      <c r="C58" s="343">
        <v>0.99586252604811198</v>
      </c>
      <c r="E58" s="336">
        <f>$B$82*$C$82*$D$82*$F$82*$G$82*$H$82*$I$82*($E$81^B58)*(C58^$K$80)</f>
        <v>1.6644724056709059</v>
      </c>
      <c r="F58" s="344">
        <f>E58*$B$77*VLOOKUP('Setup&amp;WS'!$R$5,Tracks!$A$4:$AD$886,30,0)</f>
        <v>231.12998688041887</v>
      </c>
      <c r="T58" s="627"/>
      <c r="U58" s="599" t="s">
        <v>280</v>
      </c>
      <c r="V58" s="626">
        <f>T58+'Tyre&amp;Fuel'!$E$30</f>
        <v>0</v>
      </c>
      <c r="W58" s="319">
        <v>40</v>
      </c>
      <c r="X58" s="320">
        <v>53</v>
      </c>
      <c r="Y58" s="321">
        <v>67</v>
      </c>
      <c r="Z58" s="322">
        <v>80</v>
      </c>
      <c r="AA58" s="326"/>
      <c r="AB58" s="593"/>
    </row>
    <row r="59" spans="1:30" x14ac:dyDescent="0.3">
      <c r="A59" s="894" t="s">
        <v>176</v>
      </c>
      <c r="B59" s="895">
        <v>5</v>
      </c>
      <c r="C59" s="896">
        <v>0.99418785438452295</v>
      </c>
      <c r="E59" s="336">
        <f>$B$82*$C$82*$D$82*$F$82*$G$82*$H$82*$I$82*($E$81^B59)*(C59^$K$80)</f>
        <v>3.0573379584026958</v>
      </c>
      <c r="F59" s="344">
        <f>E59*$B$77*VLOOKUP('Setup&amp;WS'!$R$5,Tracks!$A$4:$AD$886,30,0)*0.73</f>
        <v>309.91743104851798</v>
      </c>
      <c r="T59" s="627"/>
      <c r="U59" s="350" t="s">
        <v>281</v>
      </c>
      <c r="V59" s="626">
        <f>T59+'Tyre&amp;Fuel'!$E$30</f>
        <v>0</v>
      </c>
      <c r="W59" s="319">
        <v>40</v>
      </c>
      <c r="X59" s="320">
        <v>52</v>
      </c>
      <c r="Y59" s="321">
        <v>63</v>
      </c>
      <c r="Z59" s="322">
        <v>75</v>
      </c>
      <c r="AA59" s="326"/>
      <c r="AB59" s="593"/>
    </row>
    <row r="60" spans="1:30" x14ac:dyDescent="0.3">
      <c r="A60" s="897"/>
      <c r="B60" s="898"/>
      <c r="C60" s="898"/>
      <c r="D60" s="899" t="s">
        <v>342</v>
      </c>
      <c r="T60" s="627">
        <v>92</v>
      </c>
      <c r="U60" s="599" t="s">
        <v>282</v>
      </c>
      <c r="V60" s="626">
        <f>T60+'Tyre&amp;Fuel'!$E$30</f>
        <v>92</v>
      </c>
      <c r="W60" s="339">
        <v>35</v>
      </c>
      <c r="X60" s="339">
        <v>47</v>
      </c>
      <c r="Y60" s="339">
        <v>60</v>
      </c>
      <c r="Z60" s="339">
        <v>75</v>
      </c>
      <c r="AA60" s="339" t="e">
        <f>#REF!</f>
        <v>#REF!</v>
      </c>
      <c r="AB60" s="593"/>
    </row>
    <row r="61" spans="1:30" x14ac:dyDescent="0.3">
      <c r="A61" s="899" t="s">
        <v>343</v>
      </c>
      <c r="B61" s="900">
        <v>1</v>
      </c>
      <c r="C61" s="898"/>
      <c r="D61" s="901">
        <v>0</v>
      </c>
      <c r="T61" s="627"/>
      <c r="U61" s="599" t="s">
        <v>42</v>
      </c>
      <c r="V61" s="626">
        <f>T61+'Tyre&amp;Fuel'!$E$30</f>
        <v>0</v>
      </c>
      <c r="W61" s="319">
        <v>34</v>
      </c>
      <c r="X61" s="320">
        <v>44</v>
      </c>
      <c r="Y61" s="321">
        <v>54</v>
      </c>
      <c r="Z61" s="322">
        <v>64</v>
      </c>
      <c r="AA61" s="323">
        <v>2</v>
      </c>
      <c r="AB61" s="593"/>
    </row>
    <row r="62" spans="1:30" x14ac:dyDescent="0.3">
      <c r="A62" s="899" t="s">
        <v>344</v>
      </c>
      <c r="B62" s="900">
        <v>8</v>
      </c>
      <c r="C62" s="898"/>
      <c r="D62" s="901">
        <v>0.02</v>
      </c>
      <c r="T62" s="627"/>
      <c r="U62" s="598" t="s">
        <v>283</v>
      </c>
      <c r="V62" s="626">
        <f>T62+'Tyre&amp;Fuel'!$E$30</f>
        <v>0</v>
      </c>
      <c r="W62" s="345">
        <v>45</v>
      </c>
      <c r="X62" s="346">
        <v>55</v>
      </c>
      <c r="Y62" s="347">
        <v>65</v>
      </c>
      <c r="Z62" s="348">
        <v>75</v>
      </c>
      <c r="AA62" s="349"/>
      <c r="AB62" s="593"/>
    </row>
    <row r="63" spans="1:30" x14ac:dyDescent="0.3">
      <c r="A63" s="899" t="s">
        <v>150</v>
      </c>
      <c r="B63" s="900">
        <v>3.48</v>
      </c>
      <c r="C63" s="898"/>
      <c r="D63" s="901">
        <v>0.05</v>
      </c>
      <c r="T63" s="627">
        <v>65</v>
      </c>
      <c r="U63" s="350" t="s">
        <v>284</v>
      </c>
      <c r="V63" s="626">
        <f>T63+'Tyre&amp;Fuel'!$E$30</f>
        <v>65</v>
      </c>
      <c r="W63" s="319">
        <v>43</v>
      </c>
      <c r="X63" s="320">
        <v>53</v>
      </c>
      <c r="Y63" s="321">
        <v>63</v>
      </c>
      <c r="Z63" s="322">
        <v>73</v>
      </c>
      <c r="AA63" s="326"/>
      <c r="AB63" s="593"/>
    </row>
    <row r="64" spans="1:30" x14ac:dyDescent="0.3">
      <c r="A64" s="899" t="s">
        <v>345</v>
      </c>
      <c r="B64" s="900">
        <v>4</v>
      </c>
      <c r="C64" s="898"/>
      <c r="D64" s="901">
        <v>6.2E-2</v>
      </c>
      <c r="T64" s="627"/>
      <c r="U64" s="351"/>
      <c r="V64" s="626">
        <f>T64+'Tyre&amp;Fuel'!$E$30</f>
        <v>0</v>
      </c>
      <c r="W64" s="319"/>
      <c r="X64" s="320"/>
      <c r="Y64" s="321"/>
      <c r="Z64" s="322"/>
      <c r="AA64" s="326"/>
      <c r="AB64" s="593"/>
    </row>
    <row r="65" spans="1:28" x14ac:dyDescent="0.3">
      <c r="A65" s="899" t="s">
        <v>346</v>
      </c>
      <c r="B65" s="900">
        <v>8</v>
      </c>
      <c r="C65" s="898"/>
      <c r="D65" s="901">
        <v>3.3000000000000002E-2</v>
      </c>
      <c r="L65" s="226" t="s">
        <v>163</v>
      </c>
      <c r="M65" s="226">
        <v>0</v>
      </c>
      <c r="N65" s="226">
        <f>PRODUCT($B$82,$C$82,$D$82,$F$82,$G$82,$H$82,$I$82,$E$81^M65,VLOOKUP(L65,$A$55:$C$59,3,0)^IF('Tyre&amp;Fuel'!I6&lt;&gt;"",'Tyre&amp;Fuel'!I6,'Tyre&amp;Fuel'!$C$4))</f>
        <v>0.6686153249585659</v>
      </c>
      <c r="O65" s="226">
        <f>N65*VLOOKUP('Setup&amp;WS'!$R$5,Tracks!$A$4:$AD$886,30,0)*$B$77*IF('Tyre&amp;Fuel'!C6="Rain",0.73,1)</f>
        <v>92.844465765372917</v>
      </c>
      <c r="T65" s="627"/>
      <c r="U65" s="351"/>
      <c r="V65" s="626">
        <f>T65+'Tyre&amp;Fuel'!$E$30</f>
        <v>0</v>
      </c>
      <c r="W65" s="319"/>
      <c r="X65" s="320"/>
      <c r="Y65" s="321"/>
      <c r="Z65" s="322"/>
      <c r="AA65" s="326"/>
      <c r="AB65" s="593"/>
    </row>
    <row r="66" spans="1:28" x14ac:dyDescent="0.3">
      <c r="A66" s="899" t="s">
        <v>347</v>
      </c>
      <c r="B66" s="900">
        <v>7</v>
      </c>
      <c r="C66" s="898"/>
      <c r="D66" s="901">
        <v>0.09</v>
      </c>
      <c r="L66" s="226" t="s">
        <v>162</v>
      </c>
      <c r="M66" s="226">
        <v>1</v>
      </c>
      <c r="N66" s="226">
        <f>PRODUCT($B$82,$C$82,$D$82,$F$82,$G$82,$H$82,$I$82,$E$81^M66,VLOOKUP(L66,$A$55:$C$59,3,0)^IF('Tyre&amp;Fuel'!I7&lt;&gt;"",'Tyre&amp;Fuel'!I7,'Tyre&amp;Fuel'!$C$4))</f>
        <v>0.90617014766902693</v>
      </c>
      <c r="O66" s="226">
        <f>N66*VLOOKUP('Setup&amp;WS'!$R$5,Tracks!$A$4:$AD$886,30,0)*$B$77*IF('Tyre&amp;Fuel'!C7="Rain",0.73,1)</f>
        <v>125.83152092434258</v>
      </c>
      <c r="T66" s="627"/>
      <c r="U66" s="351"/>
      <c r="V66" s="626">
        <f>T66+'Tyre&amp;Fuel'!$E$30</f>
        <v>0</v>
      </c>
      <c r="W66" s="319"/>
      <c r="X66" s="320"/>
      <c r="Y66" s="321"/>
      <c r="Z66" s="322"/>
      <c r="AA66" s="326"/>
      <c r="AB66" s="593"/>
    </row>
    <row r="67" spans="1:28" x14ac:dyDescent="0.3">
      <c r="A67" s="899" t="s">
        <v>348</v>
      </c>
      <c r="B67" s="900">
        <v>1</v>
      </c>
      <c r="C67" s="898"/>
      <c r="D67" s="901">
        <v>0</v>
      </c>
      <c r="L67" s="226" t="s">
        <v>168</v>
      </c>
      <c r="M67" s="226">
        <v>2</v>
      </c>
      <c r="N67" s="226">
        <f>PRODUCT($B$82,$C$82,$D$82,$F$82,$G$82,$H$82,$I$82,$E$81^M67,VLOOKUP(L67,$A$55:$C$59,3,0)^IF('Tyre&amp;Fuel'!I8&lt;&gt;"",'Tyre&amp;Fuel'!I8,'Tyre&amp;Fuel'!$C$4))</f>
        <v>1.228126705856454</v>
      </c>
      <c r="O67" s="226">
        <f>N67*VLOOKUP('Setup&amp;WS'!$R$5,Tracks!$A$4:$AD$886,30,0)*$B$77*IF('Tyre&amp;Fuel'!C8="Rain",0.73,1)</f>
        <v>170.53866945765247</v>
      </c>
      <c r="T67" s="627"/>
      <c r="U67" s="351"/>
      <c r="V67" s="626">
        <f>T67+'Tyre&amp;Fuel'!$E$30</f>
        <v>0</v>
      </c>
      <c r="W67" s="319"/>
      <c r="X67" s="320"/>
      <c r="Y67" s="321"/>
      <c r="Z67" s="322"/>
      <c r="AA67" s="326"/>
      <c r="AB67" s="593"/>
    </row>
    <row r="68" spans="1:28" x14ac:dyDescent="0.3">
      <c r="A68" s="899" t="s">
        <v>349</v>
      </c>
      <c r="B68" s="900">
        <v>6</v>
      </c>
      <c r="C68" s="898"/>
      <c r="D68" s="901">
        <v>7.4999999999999997E-2</v>
      </c>
      <c r="L68" s="226" t="s">
        <v>174</v>
      </c>
      <c r="M68" s="226">
        <v>3</v>
      </c>
      <c r="N68" s="226">
        <f>PRODUCT($B$82,$C$82,$D$82,$F$82,$G$82,$H$82,$I$82,$E$81^M68,VLOOKUP(L68,$A$55:$C$59,3,0)^IF('Tyre&amp;Fuel'!I9&lt;&gt;"",'Tyre&amp;Fuel'!I9,'Tyre&amp;Fuel'!$C$4))</f>
        <v>1.6644724056709059</v>
      </c>
      <c r="O68" s="226">
        <f>N68*VLOOKUP('Setup&amp;WS'!$R$5,Tracks!$A$4:$AD$886,30,0)*$B$77*IF('Tyre&amp;Fuel'!C9="Rain",0.73,1)</f>
        <v>231.1299868804189</v>
      </c>
    </row>
    <row r="69" spans="1:28" x14ac:dyDescent="0.3">
      <c r="A69" s="899" t="s">
        <v>350</v>
      </c>
      <c r="B69" s="900">
        <v>8</v>
      </c>
      <c r="C69" s="898"/>
      <c r="D69" s="901">
        <v>0.14000000000000001</v>
      </c>
    </row>
    <row r="71" spans="1:28" x14ac:dyDescent="0.3">
      <c r="A71" s="316" t="s">
        <v>351</v>
      </c>
      <c r="B71" s="325">
        <v>4</v>
      </c>
      <c r="D71" s="1031" t="s">
        <v>352</v>
      </c>
      <c r="E71" s="1031"/>
      <c r="F71" s="1031"/>
      <c r="G71" s="1031"/>
    </row>
    <row r="72" spans="1:28" x14ac:dyDescent="0.3">
      <c r="A72" s="316" t="s">
        <v>353</v>
      </c>
      <c r="B72" s="325">
        <v>3</v>
      </c>
      <c r="D72" s="1031" t="s">
        <v>354</v>
      </c>
      <c r="E72" s="1031"/>
      <c r="F72" s="1033" t="str">
        <f>VLOOKUP('Setup&amp;WS'!R5,Tracks!A4:F886,6,0)</f>
        <v>Very high</v>
      </c>
      <c r="G72" s="1033"/>
    </row>
    <row r="73" spans="1:28" x14ac:dyDescent="0.3">
      <c r="A73" s="316" t="s">
        <v>168</v>
      </c>
      <c r="B73" s="325">
        <v>2</v>
      </c>
    </row>
    <row r="74" spans="1:28" x14ac:dyDescent="0.3">
      <c r="A74" s="316" t="s">
        <v>355</v>
      </c>
      <c r="B74" s="325">
        <v>1</v>
      </c>
    </row>
    <row r="75" spans="1:28" x14ac:dyDescent="0.3">
      <c r="A75" s="316" t="s">
        <v>356</v>
      </c>
      <c r="B75" s="325">
        <v>0</v>
      </c>
    </row>
    <row r="77" spans="1:28" x14ac:dyDescent="0.3">
      <c r="A77" s="312" t="s">
        <v>357</v>
      </c>
      <c r="B77" s="1040">
        <v>129.77645817206201</v>
      </c>
      <c r="C77" s="1040"/>
      <c r="D77" s="1040"/>
      <c r="E77" s="1040"/>
      <c r="G77" s="1"/>
      <c r="H77" s="1"/>
      <c r="I77" s="1"/>
      <c r="J77" s="1"/>
      <c r="K77" s="1"/>
      <c r="L77" s="1"/>
    </row>
    <row r="78" spans="1:28" x14ac:dyDescent="0.3">
      <c r="B78" s="1"/>
      <c r="C78" s="1"/>
      <c r="D78" s="1"/>
      <c r="G78" s="1"/>
      <c r="H78" s="1"/>
      <c r="I78" s="1"/>
      <c r="J78" s="1"/>
      <c r="K78" s="1"/>
      <c r="L78" s="1"/>
    </row>
    <row r="79" spans="1:28" x14ac:dyDescent="0.3">
      <c r="B79" s="352" t="s">
        <v>358</v>
      </c>
      <c r="C79" s="316" t="s">
        <v>359</v>
      </c>
      <c r="D79" s="316" t="s">
        <v>360</v>
      </c>
      <c r="E79" s="316" t="s">
        <v>361</v>
      </c>
      <c r="F79" s="312" t="s">
        <v>306</v>
      </c>
      <c r="G79" s="312" t="s">
        <v>334</v>
      </c>
      <c r="H79" s="316" t="s">
        <v>319</v>
      </c>
      <c r="I79" s="316" t="s">
        <v>362</v>
      </c>
      <c r="J79" s="316"/>
      <c r="K79" s="316" t="s">
        <v>25</v>
      </c>
    </row>
    <row r="80" spans="1:28" x14ac:dyDescent="0.3">
      <c r="A80" s="312" t="s">
        <v>363</v>
      </c>
      <c r="B80" s="325">
        <f>VLOOKUP(F72,A71:B75,2,0)</f>
        <v>4</v>
      </c>
      <c r="C80" s="325">
        <f>'Setup&amp;WS'!R9</f>
        <v>4.25</v>
      </c>
      <c r="D80" s="325">
        <f>VLOOKUP('Tyre&amp;Fuel'!C5,A61:B69,2,0)</f>
        <v>1</v>
      </c>
      <c r="E80" s="325">
        <f>VLOOKUP('Tyre&amp;Fuel'!C6,A55:C59,2,0)</f>
        <v>2</v>
      </c>
      <c r="F80" s="325">
        <f>'Setup&amp;WS'!I15</f>
        <v>5</v>
      </c>
      <c r="G80" s="325">
        <f>'Setup&amp;WS'!E8</f>
        <v>38</v>
      </c>
      <c r="H80" s="325">
        <f>'Setup&amp;WS'!E9</f>
        <v>48</v>
      </c>
      <c r="I80" s="325">
        <f>'Setup&amp;WS'!E15</f>
        <v>60</v>
      </c>
      <c r="J80" s="325"/>
      <c r="K80" s="325">
        <f>'Tyre&amp;Fuel'!C4</f>
        <v>0</v>
      </c>
    </row>
    <row r="81" spans="1:15" x14ac:dyDescent="0.3">
      <c r="A81" s="312" t="s">
        <v>338</v>
      </c>
      <c r="B81" s="343">
        <v>0.89641617623862402</v>
      </c>
      <c r="C81" s="343">
        <v>0.98846362200000004</v>
      </c>
      <c r="D81" s="343">
        <v>1.0488763560000001</v>
      </c>
      <c r="E81" s="343">
        <v>1.355293715</v>
      </c>
      <c r="F81" s="343">
        <v>1.0093392940000001</v>
      </c>
      <c r="G81" s="343">
        <v>0.999670155</v>
      </c>
      <c r="H81" s="343">
        <v>1.0002293600000001</v>
      </c>
      <c r="I81" s="343">
        <v>0.99985832900000005</v>
      </c>
      <c r="J81" s="343"/>
      <c r="K81" s="343">
        <f>VLOOKUP('Tyre&amp;Fuel'!C6,A55:C59,3,0)</f>
        <v>0.99638034655434904</v>
      </c>
    </row>
    <row r="82" spans="1:15" x14ac:dyDescent="0.3">
      <c r="A82" s="312" t="s">
        <v>364</v>
      </c>
      <c r="B82" s="325">
        <f t="shared" ref="B82:I82" si="0">B81^B80</f>
        <v>0.64571182520196557</v>
      </c>
      <c r="C82" s="325">
        <f t="shared" si="0"/>
        <v>0.95188160862133309</v>
      </c>
      <c r="D82" s="325">
        <f t="shared" si="0"/>
        <v>1.0488763560000001</v>
      </c>
      <c r="E82" s="325">
        <f t="shared" si="0"/>
        <v>1.836821053918501</v>
      </c>
      <c r="F82" s="325">
        <f t="shared" si="0"/>
        <v>1.0475768781915118</v>
      </c>
      <c r="G82" s="325">
        <f t="shared" si="0"/>
        <v>0.98754207293423169</v>
      </c>
      <c r="H82" s="325">
        <f t="shared" si="0"/>
        <v>1.0110688288069936</v>
      </c>
      <c r="I82" s="325">
        <f t="shared" si="0"/>
        <v>0.99153516798374164</v>
      </c>
      <c r="J82" s="325"/>
      <c r="K82" s="325">
        <f>K81^K80</f>
        <v>1</v>
      </c>
      <c r="L82" s="336">
        <f>PRODUCT(B82:K82)</f>
        <v>1.2281267058564538</v>
      </c>
    </row>
    <row r="84" spans="1:15" x14ac:dyDescent="0.3">
      <c r="A84" s="1030" t="s">
        <v>365</v>
      </c>
      <c r="B84" s="1030"/>
      <c r="C84" s="1030"/>
      <c r="D84" s="1030"/>
      <c r="E84" s="1030"/>
      <c r="F84" s="1030"/>
      <c r="G84" s="1030"/>
      <c r="H84" s="1030"/>
      <c r="I84" s="1030"/>
      <c r="J84" s="1030"/>
      <c r="K84" s="1030"/>
      <c r="L84" s="1030"/>
      <c r="M84" s="1030"/>
      <c r="N84" s="1030"/>
    </row>
    <row r="86" spans="1:15" x14ac:dyDescent="0.3">
      <c r="A86" s="1038" t="s">
        <v>366</v>
      </c>
      <c r="B86" s="353">
        <f>ROUNDDOWN(VLOOKUP('Setup&amp;WS'!R5,Tracks!$A$4:$H$886,8,0)/('Tyre&amp;Fuel'!$C$7+1),0)</f>
        <v>26</v>
      </c>
      <c r="C86" s="354">
        <f>IF('Tyre&amp;Fuel'!$C$7&gt;=1,ROUNDDOWN(VLOOKUP('Setup&amp;WS'!R5,Tracks!$A$4:$H$886,8,0)/('Tyre&amp;Fuel'!$C$7+1),0),"-")</f>
        <v>26</v>
      </c>
      <c r="D86" s="354">
        <f>IF('Tyre&amp;Fuel'!$C$7&gt;=2,ROUNDDOWN(VLOOKUP('Setup&amp;WS'!R5,Tracks!$A$4:$H$886,8,0)/('Tyre&amp;Fuel'!$C$7+1),0),"-")</f>
        <v>26</v>
      </c>
      <c r="E86" s="354" t="str">
        <f>IF('Tyre&amp;Fuel'!$C$7&gt;=3,ROUNDDOWN(VLOOKUP('Setup&amp;WS'!R5,Tracks!$A$4:$H$886,8,0)/('Tyre&amp;Fuel'!$C$7+1),0),"-")</f>
        <v>-</v>
      </c>
      <c r="F86" s="355" t="str">
        <f>IF('Tyre&amp;Fuel'!$C$7&gt;=4,ROUNDDOWN(VLOOKUP('Setup&amp;WS'!R5,Tracks!$A$4:$H$886,8,0)/('Tyre&amp;Fuel'!$C$7+1),0),"-")</f>
        <v>-</v>
      </c>
      <c r="G86" s="355" t="str">
        <f>IF('Tyre&amp;Fuel'!$C$7&gt;=5,ROUNDDOWN(VLOOKUP('Setup&amp;WS'!R5,Tracks!$A$4:$H$886,8,0)/('Tyre&amp;Fuel'!$C$7+1),0),"-")</f>
        <v>-</v>
      </c>
      <c r="H86" s="355" t="str">
        <f>IF('Tyre&amp;Fuel'!$C$7&gt;=6,ROUNDDOWN(VLOOKUP('Setup&amp;WS'!$R$5,Tracks!$A$4:$H$886,8,0)/('Tyre&amp;Fuel'!$C$7+1),0),"-")</f>
        <v>-</v>
      </c>
      <c r="I86" s="355" t="str">
        <f>IF('Tyre&amp;Fuel'!$C$7&gt;=7,ROUNDDOWN(VLOOKUP('Setup&amp;WS'!$R$5,Tracks!$A$4:$H$886,8,0)/('Tyre&amp;Fuel'!$C$7+1),0),"-")</f>
        <v>-</v>
      </c>
      <c r="J86" s="355"/>
      <c r="K86" s="355" t="str">
        <f>IF('Tyre&amp;Fuel'!$C$7&gt;=8,ROUNDDOWN(VLOOKUP('Setup&amp;WS'!$R$5,Tracks!$A$4:$H$886,8,0)/('Tyre&amp;Fuel'!$C$7+1),0),"-")</f>
        <v>-</v>
      </c>
      <c r="L86" s="355" t="str">
        <f>IF('Tyre&amp;Fuel'!$C$7&gt;=9,ROUNDDOWN(VLOOKUP('Setup&amp;WS'!$R$5,Tracks!$A$4:$H$886,8,0)/('Tyre&amp;Fuel'!$C$7+1),0),"-")</f>
        <v>-</v>
      </c>
      <c r="M86" s="355" t="str">
        <f>IF('Tyre&amp;Fuel'!$C$7&gt;=10,ROUNDDOWN(VLOOKUP('Setup&amp;WS'!$R$5,Tracks!$A$4:$H$886,8,0)/('Tyre&amp;Fuel'!$C$7+1),0),"-")</f>
        <v>-</v>
      </c>
      <c r="N86" s="355" t="str">
        <f>IF('Tyre&amp;Fuel'!$C$7&gt;=11,ROUNDDOWN(VLOOKUP('Setup&amp;WS'!$R$5,Tracks!$A$4:$H$886,8,0)/('Tyre&amp;Fuel'!$C$7+1),0),"-")</f>
        <v>-</v>
      </c>
      <c r="O86" s="355" t="str">
        <f>IF('Tyre&amp;Fuel'!$C$7&gt;=12,ROUNDDOWN(VLOOKUP('Setup&amp;WS'!$R$5,Tracks!$A$4:$H$886,8,0)/('Tyre&amp;Fuel'!$C$7+1),0),"-")</f>
        <v>-</v>
      </c>
    </row>
    <row r="87" spans="1:15" x14ac:dyDescent="0.3">
      <c r="A87" s="1038"/>
      <c r="B87" s="356">
        <f>IF(VLOOKUP('Setup&amp;WS'!R5,Tracks!$A$4:$H$886,8,0)-SUM($B$86:$O$86)&gt;0,1,0)</f>
        <v>1</v>
      </c>
      <c r="C87" s="356">
        <f>IF(VLOOKUP('Setup&amp;WS'!R5,Tracks!$A$4:$H$886,8,0)-SUM($B$86:$O$86)&gt;1,1,0)</f>
        <v>0</v>
      </c>
      <c r="D87" s="357">
        <f>IF(VLOOKUP('Setup&amp;WS'!R5,Tracks!$A$4:$H$886,8,0)-SUM($B$86:$O$86)&gt;2,1,0)</f>
        <v>0</v>
      </c>
      <c r="E87" s="357">
        <f>IF(VLOOKUP('Setup&amp;WS'!R5,Tracks!$A$4:$H$886,8,0)-SUM($B$86:$O$86)&gt;3,1,0)</f>
        <v>0</v>
      </c>
      <c r="F87" s="358">
        <f>IF(VLOOKUP('Setup&amp;WS'!R5,Tracks!$A$4:$H$886,8,0)-SUM($B$86:$O$86)&gt;4,1,0)</f>
        <v>0</v>
      </c>
      <c r="G87" s="358">
        <f>IF(VLOOKUP('Setup&amp;WS'!R5,Tracks!$A$4:$H$886,8,0)-SUM($B$86:$O$86)&gt;5,1,0)</f>
        <v>0</v>
      </c>
      <c r="H87" s="358">
        <f>IF(VLOOKUP('Setup&amp;WS'!$R$5,Tracks!$A$4:$H$886,8,0)-SUM($B$86:$O$86)&gt;6,1,0)</f>
        <v>0</v>
      </c>
      <c r="I87" s="358">
        <f>IF(VLOOKUP('Setup&amp;WS'!$R$5,Tracks!$A$4:$H$886,8,0)-SUM($B$86:$O$86)&gt;7,1,0)</f>
        <v>0</v>
      </c>
      <c r="J87" s="358"/>
      <c r="K87" s="358">
        <f>IF(VLOOKUP('Setup&amp;WS'!$R$5,Tracks!$A$4:$H$886,8,0)-SUM($B$86:$O$86)&gt;8,1,0)</f>
        <v>0</v>
      </c>
      <c r="L87" s="358">
        <f>IF(VLOOKUP('Setup&amp;WS'!$R$5,Tracks!$A$4:$H$886,8,0)-SUM($B$86:$O$86)&gt;9,1,0)</f>
        <v>0</v>
      </c>
      <c r="M87" s="358">
        <f>IF(VLOOKUP('Setup&amp;WS'!$R$5,Tracks!$A$4:$H$886,8,0)-SUM($B$86:$O$86)&gt;10,1,0)</f>
        <v>0</v>
      </c>
      <c r="N87" s="358">
        <f>IF(VLOOKUP('Setup&amp;WS'!$R$5,Tracks!$A$4:$H$886,8,0)-SUM($B$86:$O$86)&gt;11,1,0)</f>
        <v>0</v>
      </c>
      <c r="O87" s="358">
        <f>IF(VLOOKUP('Setup&amp;WS'!$R$5,Tracks!$A$4:$H$886,8,0)-SUM($B$86:$O$86)&gt;12,1,0)</f>
        <v>0</v>
      </c>
    </row>
    <row r="89" spans="1:15" x14ac:dyDescent="0.3">
      <c r="A89" s="1030" t="s">
        <v>367</v>
      </c>
      <c r="B89" s="1030"/>
      <c r="C89" s="1030"/>
      <c r="D89" s="1030"/>
      <c r="E89" s="1030"/>
      <c r="F89" s="1030"/>
      <c r="G89" s="1030"/>
      <c r="H89" s="1030"/>
      <c r="I89" s="1030"/>
      <c r="J89" s="1030"/>
      <c r="K89" s="1030"/>
      <c r="L89" s="1030"/>
      <c r="M89" s="1030"/>
      <c r="N89" s="1030"/>
    </row>
    <row r="91" spans="1:15" x14ac:dyDescent="0.3">
      <c r="A91" s="316" t="s">
        <v>289</v>
      </c>
      <c r="B91" s="317">
        <f>(0.998789138^'Setup&amp;WS'!E6)*(0.998751839^'Setup&amp;WS'!E7)*(0.998707677^'Setup&amp;WS'!E9)</f>
        <v>0.64995150088964149</v>
      </c>
    </row>
    <row r="92" spans="1:15" x14ac:dyDescent="0.3">
      <c r="B92" s="1"/>
    </row>
    <row r="93" spans="1:15" x14ac:dyDescent="0.3">
      <c r="B93" s="318" t="s">
        <v>368</v>
      </c>
      <c r="C93" s="318" t="s">
        <v>322</v>
      </c>
      <c r="E93" s="359"/>
      <c r="F93" s="359"/>
      <c r="G93" s="359"/>
      <c r="H93" s="359"/>
      <c r="I93" s="359"/>
      <c r="J93" s="359"/>
      <c r="K93" s="359"/>
      <c r="L93" s="359"/>
      <c r="M93" s="359"/>
      <c r="N93" s="359"/>
      <c r="O93" s="359"/>
    </row>
    <row r="94" spans="1:15" x14ac:dyDescent="0.3">
      <c r="A94" s="1041" t="s">
        <v>369</v>
      </c>
      <c r="B94" s="325">
        <v>1</v>
      </c>
      <c r="C94" s="332">
        <v>1.0193267939999999</v>
      </c>
    </row>
    <row r="95" spans="1:15" x14ac:dyDescent="0.3">
      <c r="A95" s="1041"/>
      <c r="B95" s="325">
        <v>2</v>
      </c>
      <c r="C95" s="332">
        <v>1.009955816</v>
      </c>
    </row>
    <row r="96" spans="1:15" x14ac:dyDescent="0.3">
      <c r="A96" s="1041"/>
      <c r="B96" s="325">
        <v>3</v>
      </c>
      <c r="C96" s="332">
        <v>1.007326162</v>
      </c>
    </row>
    <row r="97" spans="1:14" x14ac:dyDescent="0.3">
      <c r="A97" s="1041"/>
      <c r="B97" s="325">
        <v>4</v>
      </c>
      <c r="C97" s="332">
        <v>1.005314145</v>
      </c>
    </row>
    <row r="98" spans="1:14" x14ac:dyDescent="0.3">
      <c r="A98" s="1041"/>
      <c r="B98" s="325">
        <v>5</v>
      </c>
      <c r="C98" s="332">
        <v>1.004326864</v>
      </c>
    </row>
    <row r="99" spans="1:14" x14ac:dyDescent="0.3">
      <c r="A99" s="1041"/>
      <c r="B99" s="325">
        <v>6</v>
      </c>
      <c r="C99" s="332">
        <v>1.004506914</v>
      </c>
    </row>
    <row r="100" spans="1:14" x14ac:dyDescent="0.3">
      <c r="A100" s="1041"/>
      <c r="B100" s="325">
        <v>7</v>
      </c>
      <c r="C100" s="332">
        <v>1.0053048250000001</v>
      </c>
    </row>
    <row r="101" spans="1:14" x14ac:dyDescent="0.3">
      <c r="A101" s="1041"/>
      <c r="B101" s="325">
        <v>8</v>
      </c>
      <c r="C101" s="332">
        <v>1.0095000000000001</v>
      </c>
    </row>
    <row r="102" spans="1:14" x14ac:dyDescent="0.3">
      <c r="A102" s="1041"/>
      <c r="B102" s="325">
        <v>9</v>
      </c>
      <c r="C102" s="332">
        <v>1.01571955</v>
      </c>
    </row>
    <row r="104" spans="1:14" x14ac:dyDescent="0.3">
      <c r="A104" s="1030" t="s">
        <v>370</v>
      </c>
      <c r="B104" s="1030"/>
      <c r="C104" s="1030"/>
      <c r="D104" s="1030"/>
      <c r="E104" s="1030"/>
      <c r="F104" s="1030"/>
      <c r="G104" s="1030"/>
      <c r="H104" s="1030"/>
      <c r="I104" s="1030"/>
      <c r="J104" s="1030"/>
      <c r="K104" s="1030"/>
      <c r="L104" s="1030"/>
      <c r="M104" s="1030"/>
      <c r="N104" s="1030"/>
    </row>
    <row r="106" spans="1:14" x14ac:dyDescent="0.3">
      <c r="B106" s="1"/>
      <c r="C106" s="316" t="s">
        <v>86</v>
      </c>
      <c r="D106" s="316" t="s">
        <v>371</v>
      </c>
      <c r="G106" s="1"/>
      <c r="H106" s="1031" t="s">
        <v>372</v>
      </c>
      <c r="I106" s="1031"/>
      <c r="J106" s="360"/>
    </row>
    <row r="107" spans="1:14" x14ac:dyDescent="0.3">
      <c r="A107" s="1032" t="s">
        <v>373</v>
      </c>
      <c r="B107" s="1032"/>
      <c r="C107" s="332">
        <v>3.1470799100151797E-2</v>
      </c>
      <c r="D107" s="332">
        <v>3.5539390660964502E-2</v>
      </c>
      <c r="F107" s="332">
        <f>IF($H$107="Yes",C107,D107)</f>
        <v>3.5539390660964502E-2</v>
      </c>
      <c r="G107" s="1"/>
      <c r="H107" s="1033" t="str">
        <f>IF(SUM('Setup&amp;WS'!O11:O15)&gt;0,"Yes","No")</f>
        <v>No</v>
      </c>
      <c r="I107" s="1033"/>
      <c r="J107" s="362"/>
    </row>
    <row r="108" spans="1:14" x14ac:dyDescent="0.3">
      <c r="A108" s="1032" t="s">
        <v>374</v>
      </c>
      <c r="B108" s="1032"/>
      <c r="C108" s="332">
        <v>-9.4545618459636896E-2</v>
      </c>
      <c r="D108" s="332">
        <v>-7.9797767686843504E-2</v>
      </c>
      <c r="F108" s="332">
        <f>IF($H$107="Yes",C108,D108)</f>
        <v>-7.9797767686843504E-2</v>
      </c>
    </row>
    <row r="109" spans="1:14" x14ac:dyDescent="0.3">
      <c r="A109" s="1029" t="s">
        <v>375</v>
      </c>
      <c r="B109" s="1029"/>
      <c r="C109" s="332">
        <v>-3.5538342026769199E-2</v>
      </c>
      <c r="D109" s="325">
        <v>0</v>
      </c>
      <c r="F109" s="332">
        <f>IF($H$107="Yes",C109,D109)</f>
        <v>0</v>
      </c>
    </row>
    <row r="110" spans="1:14" x14ac:dyDescent="0.3">
      <c r="A110" s="1028" t="s">
        <v>376</v>
      </c>
      <c r="B110" s="1028"/>
      <c r="C110" s="332">
        <v>-9.4469512881002592E-3</v>
      </c>
      <c r="D110" s="325">
        <v>0</v>
      </c>
      <c r="F110" s="332">
        <f>IF($H$107="Yes",C110,D110)</f>
        <v>0</v>
      </c>
    </row>
    <row r="111" spans="1:14" x14ac:dyDescent="0.3">
      <c r="A111" s="1028" t="s">
        <v>377</v>
      </c>
      <c r="B111" s="1028"/>
      <c r="C111" s="332">
        <v>-1.12688398024834E-2</v>
      </c>
      <c r="D111" s="325">
        <v>0</v>
      </c>
      <c r="F111" s="332">
        <f>IF($H$107="Yes",C111,D111)</f>
        <v>0</v>
      </c>
    </row>
    <row r="112" spans="1:14" x14ac:dyDescent="0.3">
      <c r="A112" s="226"/>
    </row>
    <row r="113" spans="1:40" x14ac:dyDescent="0.3">
      <c r="A113" s="1029" t="s">
        <v>378</v>
      </c>
      <c r="B113" s="1029"/>
      <c r="C113" s="325">
        <v>24.26</v>
      </c>
    </row>
    <row r="115" spans="1:40" x14ac:dyDescent="0.3">
      <c r="A115" s="1030" t="s">
        <v>379</v>
      </c>
      <c r="B115" s="1030"/>
      <c r="C115" s="1030"/>
      <c r="D115" s="1030"/>
      <c r="E115" s="1030"/>
      <c r="F115" s="1030"/>
      <c r="G115" s="1030"/>
      <c r="H115" s="1030"/>
      <c r="I115" s="1030"/>
      <c r="J115" s="1030"/>
      <c r="K115" s="1030"/>
      <c r="L115" s="1030"/>
      <c r="M115" s="1030"/>
      <c r="N115" s="1030"/>
      <c r="O115" s="226" t="s">
        <v>380</v>
      </c>
    </row>
    <row r="117" spans="1:40" x14ac:dyDescent="0.3">
      <c r="A117" s="1034" t="s">
        <v>381</v>
      </c>
      <c r="B117" s="1034"/>
      <c r="C117" s="1034"/>
      <c r="D117" s="1034"/>
      <c r="E117" s="1034"/>
      <c r="F117" s="1034"/>
      <c r="G117" s="1034"/>
      <c r="H117" s="1034"/>
      <c r="I117" s="364">
        <v>25</v>
      </c>
      <c r="J117" s="364"/>
      <c r="K117" s="1034" t="s">
        <v>293</v>
      </c>
      <c r="L117" s="1034"/>
      <c r="M117" s="1034"/>
      <c r="N117" s="1034"/>
      <c r="O117" s="1034"/>
      <c r="P117" s="1034"/>
      <c r="Q117" s="1034"/>
      <c r="R117" s="1034"/>
      <c r="S117" s="364">
        <v>44</v>
      </c>
      <c r="T117" s="364"/>
      <c r="U117" s="1034" t="s">
        <v>382</v>
      </c>
      <c r="V117" s="1034"/>
      <c r="W117" s="1034"/>
      <c r="X117" s="1034"/>
      <c r="Y117" s="1034"/>
      <c r="Z117" s="1034"/>
      <c r="AA117" s="1034"/>
      <c r="AB117" s="1034"/>
      <c r="AC117" s="364">
        <v>31</v>
      </c>
      <c r="AD117" s="364"/>
      <c r="AE117" s="1034" t="s">
        <v>383</v>
      </c>
      <c r="AF117" s="1034"/>
      <c r="AG117" s="1034"/>
      <c r="AH117" s="1034"/>
      <c r="AI117" s="1034"/>
      <c r="AJ117" s="1034"/>
      <c r="AK117" s="1034"/>
      <c r="AL117" s="1034"/>
      <c r="AM117" s="1">
        <v>31</v>
      </c>
    </row>
    <row r="118" spans="1:40" x14ac:dyDescent="0.3">
      <c r="A118" s="363" t="s">
        <v>368</v>
      </c>
      <c r="B118" s="365" t="s">
        <v>384</v>
      </c>
      <c r="C118" s="365" t="s">
        <v>385</v>
      </c>
      <c r="D118" s="365" t="s">
        <v>386</v>
      </c>
      <c r="E118" s="365" t="s">
        <v>387</v>
      </c>
      <c r="F118" s="365" t="s">
        <v>388</v>
      </c>
      <c r="G118" s="365" t="s">
        <v>389</v>
      </c>
      <c r="H118" s="365" t="s">
        <v>121</v>
      </c>
      <c r="I118" s="364"/>
      <c r="J118" s="364"/>
      <c r="K118" s="363" t="s">
        <v>368</v>
      </c>
      <c r="L118" s="365" t="s">
        <v>384</v>
      </c>
      <c r="M118" s="365" t="s">
        <v>385</v>
      </c>
      <c r="N118" s="365" t="s">
        <v>386</v>
      </c>
      <c r="O118" s="365" t="s">
        <v>387</v>
      </c>
      <c r="P118" s="365" t="s">
        <v>388</v>
      </c>
      <c r="Q118" s="365" t="s">
        <v>389</v>
      </c>
      <c r="R118" s="365" t="s">
        <v>121</v>
      </c>
      <c r="S118" s="364"/>
      <c r="T118" s="364"/>
      <c r="U118" s="363" t="s">
        <v>368</v>
      </c>
      <c r="V118" s="365" t="s">
        <v>384</v>
      </c>
      <c r="W118" s="365" t="s">
        <v>385</v>
      </c>
      <c r="X118" s="365" t="s">
        <v>386</v>
      </c>
      <c r="Y118" s="365" t="s">
        <v>387</v>
      </c>
      <c r="Z118" s="365" t="s">
        <v>388</v>
      </c>
      <c r="AA118" s="365" t="s">
        <v>389</v>
      </c>
      <c r="AB118" s="365" t="s">
        <v>121</v>
      </c>
      <c r="AC118" s="364"/>
      <c r="AD118" s="364"/>
      <c r="AE118" s="363" t="s">
        <v>368</v>
      </c>
      <c r="AF118" s="365" t="s">
        <v>384</v>
      </c>
      <c r="AG118" s="365" t="s">
        <v>385</v>
      </c>
      <c r="AH118" s="365" t="s">
        <v>386</v>
      </c>
      <c r="AI118" s="365" t="s">
        <v>387</v>
      </c>
      <c r="AJ118" s="365" t="s">
        <v>388</v>
      </c>
      <c r="AK118" s="365" t="s">
        <v>389</v>
      </c>
      <c r="AL118" s="365" t="s">
        <v>121</v>
      </c>
    </row>
    <row r="119" spans="1:40" x14ac:dyDescent="0.3">
      <c r="A119" s="366">
        <v>1</v>
      </c>
      <c r="B119" s="367">
        <v>1292539</v>
      </c>
      <c r="C119" s="368">
        <v>1</v>
      </c>
      <c r="D119" s="368">
        <v>2</v>
      </c>
      <c r="E119" s="368">
        <v>1</v>
      </c>
      <c r="F119" s="368">
        <f>SUM(C119)</f>
        <v>1</v>
      </c>
      <c r="G119" s="368">
        <f>SUM(D119)</f>
        <v>2</v>
      </c>
      <c r="H119" s="368">
        <f>SUM(E119)</f>
        <v>1</v>
      </c>
      <c r="I119" s="369">
        <f t="shared" ref="I119:I127" si="1">B119/(C119+D119+E119)</f>
        <v>323134.75</v>
      </c>
      <c r="J119" s="369">
        <f t="shared" ref="J119:J127" si="2">(I119+I118/A119)*I$117*0.01</f>
        <v>80783.6875</v>
      </c>
      <c r="K119" s="366">
        <v>1</v>
      </c>
      <c r="L119" s="367">
        <v>3311737</v>
      </c>
      <c r="M119" s="368">
        <v>6</v>
      </c>
      <c r="N119" s="368">
        <v>1</v>
      </c>
      <c r="O119" s="368">
        <v>2</v>
      </c>
      <c r="P119" s="368">
        <f>SUM(M119)</f>
        <v>6</v>
      </c>
      <c r="Q119" s="368">
        <f>SUM(N119)</f>
        <v>1</v>
      </c>
      <c r="R119" s="368">
        <f>SUM(O119)</f>
        <v>2</v>
      </c>
      <c r="S119" s="369">
        <f t="shared" ref="S119:S127" si="3">L119/(M119+N119+O119)</f>
        <v>367970.77777777775</v>
      </c>
      <c r="T119" s="369">
        <f t="shared" ref="T119:T127" si="4">(S119+S118/K119)*S$117*0.01</f>
        <v>161907.1422222222</v>
      </c>
      <c r="U119" s="366">
        <v>1</v>
      </c>
      <c r="V119" s="367">
        <v>1551354</v>
      </c>
      <c r="W119" s="368">
        <v>0</v>
      </c>
      <c r="X119" s="368">
        <v>2</v>
      </c>
      <c r="Y119" s="368">
        <v>1</v>
      </c>
      <c r="Z119" s="368">
        <f>SUM(W119)</f>
        <v>0</v>
      </c>
      <c r="AA119" s="368">
        <f>SUM(X119)</f>
        <v>2</v>
      </c>
      <c r="AB119" s="368">
        <f>SUM(Y119)</f>
        <v>1</v>
      </c>
      <c r="AC119" s="369">
        <f t="shared" ref="AC119:AC127" si="5">V119/(W119+X119+Y119)</f>
        <v>517118</v>
      </c>
      <c r="AD119" s="369">
        <f t="shared" ref="AD119:AD127" si="6">(AC119+AC118/U119)*AC$117*0.01</f>
        <v>160306.58000000002</v>
      </c>
      <c r="AE119" s="366">
        <v>1</v>
      </c>
      <c r="AF119" s="367">
        <v>1504126</v>
      </c>
      <c r="AG119" s="368">
        <v>0</v>
      </c>
      <c r="AH119" s="368">
        <v>2</v>
      </c>
      <c r="AI119" s="368">
        <v>1</v>
      </c>
      <c r="AJ119" s="368">
        <f>SUM(AG119)</f>
        <v>0</v>
      </c>
      <c r="AK119" s="368">
        <f>SUM(AH119)</f>
        <v>2</v>
      </c>
      <c r="AL119" s="368">
        <f>SUM(AI119)</f>
        <v>1</v>
      </c>
      <c r="AM119" s="369">
        <f t="shared" ref="AM119:AM127" si="7">AF119/(AG119+AH119+AI119)</f>
        <v>501375.33333333331</v>
      </c>
      <c r="AN119" s="369">
        <f t="shared" ref="AN119:AN127" si="8">(AM119+AM118/AE119)*AM$117*0.01</f>
        <v>155426.35333333333</v>
      </c>
    </row>
    <row r="120" spans="1:40" x14ac:dyDescent="0.3">
      <c r="A120" s="366">
        <v>2</v>
      </c>
      <c r="B120" s="367">
        <v>1600810</v>
      </c>
      <c r="C120" s="368">
        <v>1</v>
      </c>
      <c r="D120" s="368">
        <v>2</v>
      </c>
      <c r="E120" s="368">
        <v>2</v>
      </c>
      <c r="F120" s="368">
        <f t="shared" ref="F120:H127" si="9">SUM(F119+C120)</f>
        <v>2</v>
      </c>
      <c r="G120" s="368">
        <f t="shared" si="9"/>
        <v>4</v>
      </c>
      <c r="H120" s="368">
        <f t="shared" si="9"/>
        <v>3</v>
      </c>
      <c r="I120" s="369">
        <f t="shared" si="1"/>
        <v>320162</v>
      </c>
      <c r="J120" s="369">
        <f t="shared" si="2"/>
        <v>120432.34375</v>
      </c>
      <c r="K120" s="366">
        <v>2</v>
      </c>
      <c r="L120" s="367">
        <v>4101586</v>
      </c>
      <c r="M120" s="368">
        <v>6</v>
      </c>
      <c r="N120" s="368">
        <v>0</v>
      </c>
      <c r="O120" s="368">
        <v>2</v>
      </c>
      <c r="P120" s="368">
        <f t="shared" ref="P120:R127" si="10">SUM(P119+M120)</f>
        <v>12</v>
      </c>
      <c r="Q120" s="368">
        <f t="shared" si="10"/>
        <v>1</v>
      </c>
      <c r="R120" s="368">
        <f t="shared" si="10"/>
        <v>4</v>
      </c>
      <c r="S120" s="369">
        <f t="shared" si="3"/>
        <v>512698.25</v>
      </c>
      <c r="T120" s="369">
        <f t="shared" si="4"/>
        <v>306540.80111111113</v>
      </c>
      <c r="U120" s="366">
        <v>2</v>
      </c>
      <c r="V120" s="367">
        <v>1921352</v>
      </c>
      <c r="W120" s="368">
        <v>1</v>
      </c>
      <c r="X120" s="368">
        <v>3</v>
      </c>
      <c r="Y120" s="368">
        <v>1</v>
      </c>
      <c r="Z120" s="368">
        <f t="shared" ref="Z120:AB127" si="11">SUM(Z119+W120)</f>
        <v>1</v>
      </c>
      <c r="AA120" s="368">
        <f t="shared" si="11"/>
        <v>5</v>
      </c>
      <c r="AB120" s="368">
        <f t="shared" si="11"/>
        <v>2</v>
      </c>
      <c r="AC120" s="369">
        <f t="shared" si="5"/>
        <v>384270.4</v>
      </c>
      <c r="AD120" s="369">
        <f t="shared" si="6"/>
        <v>199277.11400000003</v>
      </c>
      <c r="AE120" s="366">
        <v>2</v>
      </c>
      <c r="AF120" s="367">
        <v>1862860</v>
      </c>
      <c r="AG120" s="368">
        <v>1</v>
      </c>
      <c r="AH120" s="368">
        <v>3</v>
      </c>
      <c r="AI120" s="368">
        <v>1</v>
      </c>
      <c r="AJ120" s="368">
        <f t="shared" ref="AJ120:AL127" si="12">SUM(AJ119+AG120)</f>
        <v>1</v>
      </c>
      <c r="AK120" s="368">
        <f t="shared" si="12"/>
        <v>5</v>
      </c>
      <c r="AL120" s="368">
        <f t="shared" si="12"/>
        <v>2</v>
      </c>
      <c r="AM120" s="369">
        <f t="shared" si="7"/>
        <v>372572</v>
      </c>
      <c r="AN120" s="369">
        <f t="shared" si="8"/>
        <v>193210.49666666664</v>
      </c>
    </row>
    <row r="121" spans="1:40" x14ac:dyDescent="0.3">
      <c r="A121" s="366">
        <v>3</v>
      </c>
      <c r="B121" s="367">
        <v>1982603</v>
      </c>
      <c r="C121" s="368">
        <v>0</v>
      </c>
      <c r="D121" s="368">
        <v>1</v>
      </c>
      <c r="E121" s="368">
        <v>1</v>
      </c>
      <c r="F121" s="368">
        <f t="shared" si="9"/>
        <v>2</v>
      </c>
      <c r="G121" s="368">
        <f t="shared" si="9"/>
        <v>5</v>
      </c>
      <c r="H121" s="368">
        <f t="shared" si="9"/>
        <v>4</v>
      </c>
      <c r="I121" s="369">
        <f t="shared" si="1"/>
        <v>991301.5</v>
      </c>
      <c r="J121" s="369">
        <f t="shared" si="2"/>
        <v>274505.54166666669</v>
      </c>
      <c r="K121" s="366">
        <v>3</v>
      </c>
      <c r="L121" s="367">
        <v>5079815</v>
      </c>
      <c r="M121" s="368">
        <v>5</v>
      </c>
      <c r="N121" s="368">
        <v>1</v>
      </c>
      <c r="O121" s="368">
        <v>2</v>
      </c>
      <c r="P121" s="368">
        <f t="shared" si="10"/>
        <v>17</v>
      </c>
      <c r="Q121" s="368">
        <f t="shared" si="10"/>
        <v>2</v>
      </c>
      <c r="R121" s="368">
        <f t="shared" si="10"/>
        <v>6</v>
      </c>
      <c r="S121" s="369">
        <f t="shared" si="3"/>
        <v>634976.875</v>
      </c>
      <c r="T121" s="369">
        <f t="shared" si="4"/>
        <v>354585.5683333333</v>
      </c>
      <c r="U121" s="366">
        <v>3</v>
      </c>
      <c r="V121" s="367">
        <v>2379594</v>
      </c>
      <c r="W121" s="368">
        <v>0</v>
      </c>
      <c r="X121" s="368">
        <v>2</v>
      </c>
      <c r="Y121" s="368">
        <v>2</v>
      </c>
      <c r="Z121" s="368">
        <f t="shared" si="11"/>
        <v>1</v>
      </c>
      <c r="AA121" s="368">
        <f t="shared" si="11"/>
        <v>7</v>
      </c>
      <c r="AB121" s="368">
        <f t="shared" si="11"/>
        <v>4</v>
      </c>
      <c r="AC121" s="369">
        <f t="shared" si="5"/>
        <v>594898.5</v>
      </c>
      <c r="AD121" s="369">
        <f t="shared" si="6"/>
        <v>224126.47633333332</v>
      </c>
      <c r="AE121" s="366">
        <v>3</v>
      </c>
      <c r="AF121" s="367">
        <v>2307152</v>
      </c>
      <c r="AG121" s="368">
        <v>0</v>
      </c>
      <c r="AH121" s="368">
        <v>2</v>
      </c>
      <c r="AI121" s="368">
        <v>2</v>
      </c>
      <c r="AJ121" s="368">
        <f t="shared" si="12"/>
        <v>1</v>
      </c>
      <c r="AK121" s="368">
        <f t="shared" si="12"/>
        <v>7</v>
      </c>
      <c r="AL121" s="368">
        <f t="shared" si="12"/>
        <v>4</v>
      </c>
      <c r="AM121" s="369">
        <f t="shared" si="7"/>
        <v>576788</v>
      </c>
      <c r="AN121" s="369">
        <f t="shared" si="8"/>
        <v>217303.38666666666</v>
      </c>
    </row>
    <row r="122" spans="1:40" x14ac:dyDescent="0.3">
      <c r="A122" s="366">
        <v>4</v>
      </c>
      <c r="B122" s="367">
        <v>2455453</v>
      </c>
      <c r="C122" s="368">
        <v>1</v>
      </c>
      <c r="D122" s="368">
        <v>2</v>
      </c>
      <c r="E122" s="368">
        <v>2</v>
      </c>
      <c r="F122" s="368">
        <f t="shared" si="9"/>
        <v>3</v>
      </c>
      <c r="G122" s="368">
        <f t="shared" si="9"/>
        <v>7</v>
      </c>
      <c r="H122" s="368">
        <f t="shared" si="9"/>
        <v>6</v>
      </c>
      <c r="I122" s="369">
        <f t="shared" si="1"/>
        <v>491090.6</v>
      </c>
      <c r="J122" s="369">
        <f t="shared" si="2"/>
        <v>184728.99374999999</v>
      </c>
      <c r="K122" s="366">
        <v>4</v>
      </c>
      <c r="L122" s="367">
        <v>6291350</v>
      </c>
      <c r="M122" s="368">
        <v>6</v>
      </c>
      <c r="N122" s="368">
        <v>0</v>
      </c>
      <c r="O122" s="368">
        <v>2</v>
      </c>
      <c r="P122" s="368">
        <f t="shared" si="10"/>
        <v>23</v>
      </c>
      <c r="Q122" s="368">
        <f t="shared" si="10"/>
        <v>2</v>
      </c>
      <c r="R122" s="368">
        <f t="shared" si="10"/>
        <v>8</v>
      </c>
      <c r="S122" s="369">
        <f t="shared" si="3"/>
        <v>786418.75</v>
      </c>
      <c r="T122" s="369">
        <f t="shared" si="4"/>
        <v>415871.70624999999</v>
      </c>
      <c r="U122" s="366">
        <v>4</v>
      </c>
      <c r="V122" s="367">
        <v>2947128</v>
      </c>
      <c r="W122" s="368">
        <v>0</v>
      </c>
      <c r="X122" s="368">
        <v>3</v>
      </c>
      <c r="Y122" s="368">
        <v>1</v>
      </c>
      <c r="Z122" s="368">
        <f t="shared" si="11"/>
        <v>1</v>
      </c>
      <c r="AA122" s="368">
        <f t="shared" si="11"/>
        <v>10</v>
      </c>
      <c r="AB122" s="368">
        <f t="shared" si="11"/>
        <v>5</v>
      </c>
      <c r="AC122" s="369">
        <f t="shared" si="5"/>
        <v>736782</v>
      </c>
      <c r="AD122" s="370">
        <f t="shared" si="6"/>
        <v>274507.05375000002</v>
      </c>
      <c r="AE122" s="366">
        <v>4</v>
      </c>
      <c r="AF122" s="367">
        <v>2857408</v>
      </c>
      <c r="AG122" s="368">
        <v>0</v>
      </c>
      <c r="AH122" s="368">
        <v>3</v>
      </c>
      <c r="AI122" s="368">
        <v>1</v>
      </c>
      <c r="AJ122" s="368">
        <f t="shared" si="12"/>
        <v>1</v>
      </c>
      <c r="AK122" s="368">
        <f t="shared" si="12"/>
        <v>10</v>
      </c>
      <c r="AL122" s="368">
        <f t="shared" si="12"/>
        <v>5</v>
      </c>
      <c r="AM122" s="369">
        <f t="shared" si="7"/>
        <v>714352</v>
      </c>
      <c r="AN122" s="370">
        <f t="shared" si="8"/>
        <v>266150.19</v>
      </c>
    </row>
    <row r="123" spans="1:40" x14ac:dyDescent="0.3">
      <c r="A123" s="366">
        <v>5</v>
      </c>
      <c r="B123" s="367">
        <v>3041079</v>
      </c>
      <c r="C123" s="368">
        <v>1</v>
      </c>
      <c r="D123" s="368">
        <v>2</v>
      </c>
      <c r="E123" s="368">
        <v>1</v>
      </c>
      <c r="F123" s="368">
        <f t="shared" si="9"/>
        <v>4</v>
      </c>
      <c r="G123" s="368">
        <f t="shared" si="9"/>
        <v>9</v>
      </c>
      <c r="H123" s="368">
        <f t="shared" si="9"/>
        <v>7</v>
      </c>
      <c r="I123" s="369">
        <f t="shared" si="1"/>
        <v>760269.75</v>
      </c>
      <c r="J123" s="370">
        <f t="shared" si="2"/>
        <v>214621.9675</v>
      </c>
      <c r="K123" s="366">
        <v>5</v>
      </c>
      <c r="L123" s="367">
        <v>7791837</v>
      </c>
      <c r="M123" s="368">
        <v>6</v>
      </c>
      <c r="N123" s="368">
        <v>1</v>
      </c>
      <c r="O123" s="368">
        <v>3</v>
      </c>
      <c r="P123" s="368">
        <f t="shared" si="10"/>
        <v>29</v>
      </c>
      <c r="Q123" s="368">
        <f t="shared" si="10"/>
        <v>3</v>
      </c>
      <c r="R123" s="368">
        <f t="shared" si="10"/>
        <v>11</v>
      </c>
      <c r="S123" s="369">
        <f t="shared" si="3"/>
        <v>779183.7</v>
      </c>
      <c r="T123" s="370">
        <f t="shared" si="4"/>
        <v>412045.67799999996</v>
      </c>
      <c r="U123" s="366">
        <v>5</v>
      </c>
      <c r="V123" s="367">
        <v>3650018</v>
      </c>
      <c r="W123" s="368">
        <v>0</v>
      </c>
      <c r="X123" s="368">
        <v>2</v>
      </c>
      <c r="Y123" s="368">
        <v>1</v>
      </c>
      <c r="Z123" s="368">
        <f t="shared" si="11"/>
        <v>1</v>
      </c>
      <c r="AA123" s="368">
        <f t="shared" si="11"/>
        <v>12</v>
      </c>
      <c r="AB123" s="368">
        <f t="shared" si="11"/>
        <v>6</v>
      </c>
      <c r="AC123" s="369">
        <f t="shared" si="5"/>
        <v>1216672.6666666667</v>
      </c>
      <c r="AD123" s="369">
        <f t="shared" si="6"/>
        <v>422849.01066666661</v>
      </c>
      <c r="AE123" s="366">
        <v>5</v>
      </c>
      <c r="AF123" s="367">
        <v>3538900</v>
      </c>
      <c r="AG123" s="368">
        <v>0</v>
      </c>
      <c r="AH123" s="368">
        <v>2</v>
      </c>
      <c r="AI123" s="368">
        <v>1</v>
      </c>
      <c r="AJ123" s="368">
        <f t="shared" si="12"/>
        <v>1</v>
      </c>
      <c r="AK123" s="368">
        <f t="shared" si="12"/>
        <v>12</v>
      </c>
      <c r="AL123" s="368">
        <f t="shared" si="12"/>
        <v>6</v>
      </c>
      <c r="AM123" s="369">
        <f t="shared" si="7"/>
        <v>1179633.3333333333</v>
      </c>
      <c r="AN123" s="369">
        <f t="shared" si="8"/>
        <v>409976.15733333328</v>
      </c>
    </row>
    <row r="124" spans="1:40" x14ac:dyDescent="0.3">
      <c r="A124" s="366">
        <v>6</v>
      </c>
      <c r="B124" s="367">
        <v>3766376</v>
      </c>
      <c r="C124" s="368">
        <v>1</v>
      </c>
      <c r="D124" s="368">
        <v>2</v>
      </c>
      <c r="E124" s="368">
        <v>1</v>
      </c>
      <c r="F124" s="368">
        <f t="shared" si="9"/>
        <v>5</v>
      </c>
      <c r="G124" s="368">
        <f t="shared" si="9"/>
        <v>11</v>
      </c>
      <c r="H124" s="368">
        <f t="shared" si="9"/>
        <v>8</v>
      </c>
      <c r="I124" s="369">
        <f t="shared" si="1"/>
        <v>941594</v>
      </c>
      <c r="J124" s="369">
        <f t="shared" si="2"/>
        <v>267076.40625</v>
      </c>
      <c r="K124" s="366">
        <v>6</v>
      </c>
      <c r="L124" s="367">
        <v>9650191</v>
      </c>
      <c r="M124" s="368">
        <v>6</v>
      </c>
      <c r="N124" s="368">
        <v>1</v>
      </c>
      <c r="O124" s="368">
        <v>2</v>
      </c>
      <c r="P124" s="368">
        <f t="shared" si="10"/>
        <v>35</v>
      </c>
      <c r="Q124" s="368">
        <f t="shared" si="10"/>
        <v>4</v>
      </c>
      <c r="R124" s="368">
        <f t="shared" si="10"/>
        <v>13</v>
      </c>
      <c r="S124" s="369">
        <f t="shared" si="3"/>
        <v>1072243.4444444445</v>
      </c>
      <c r="T124" s="370">
        <f t="shared" si="4"/>
        <v>528927.2535555556</v>
      </c>
      <c r="U124" s="366">
        <v>6</v>
      </c>
      <c r="V124" s="367">
        <v>4520547</v>
      </c>
      <c r="W124" s="368">
        <v>1</v>
      </c>
      <c r="X124" s="368">
        <v>2</v>
      </c>
      <c r="Y124" s="368">
        <v>1</v>
      </c>
      <c r="Z124" s="368">
        <f t="shared" si="11"/>
        <v>2</v>
      </c>
      <c r="AA124" s="368">
        <f t="shared" si="11"/>
        <v>14</v>
      </c>
      <c r="AB124" s="368">
        <f t="shared" si="11"/>
        <v>7</v>
      </c>
      <c r="AC124" s="369">
        <f t="shared" si="5"/>
        <v>1130136.75</v>
      </c>
      <c r="AD124" s="369">
        <f t="shared" si="6"/>
        <v>413203.81361111114</v>
      </c>
      <c r="AE124" s="366">
        <v>6</v>
      </c>
      <c r="AF124" s="367">
        <v>4382927</v>
      </c>
      <c r="AG124" s="368">
        <v>1</v>
      </c>
      <c r="AH124" s="368">
        <v>2</v>
      </c>
      <c r="AI124" s="368">
        <v>1</v>
      </c>
      <c r="AJ124" s="368">
        <f t="shared" si="12"/>
        <v>2</v>
      </c>
      <c r="AK124" s="368">
        <f t="shared" si="12"/>
        <v>14</v>
      </c>
      <c r="AL124" s="368">
        <f t="shared" si="12"/>
        <v>7</v>
      </c>
      <c r="AM124" s="369">
        <f t="shared" si="7"/>
        <v>1095731.75</v>
      </c>
      <c r="AN124" s="369">
        <f t="shared" si="8"/>
        <v>400624.56472222228</v>
      </c>
    </row>
    <row r="125" spans="1:40" x14ac:dyDescent="0.3">
      <c r="A125" s="366">
        <v>7</v>
      </c>
      <c r="B125" s="367">
        <v>4664657</v>
      </c>
      <c r="C125" s="368">
        <v>1</v>
      </c>
      <c r="D125" s="368">
        <v>2</v>
      </c>
      <c r="E125" s="368">
        <v>2</v>
      </c>
      <c r="F125" s="368">
        <f t="shared" si="9"/>
        <v>6</v>
      </c>
      <c r="G125" s="368">
        <f t="shared" si="9"/>
        <v>13</v>
      </c>
      <c r="H125" s="368">
        <f t="shared" si="9"/>
        <v>10</v>
      </c>
      <c r="I125" s="369">
        <f t="shared" si="1"/>
        <v>932931.4</v>
      </c>
      <c r="J125" s="370">
        <f t="shared" si="2"/>
        <v>266861.20714285714</v>
      </c>
      <c r="K125" s="366">
        <v>7</v>
      </c>
      <c r="L125" s="367">
        <v>11951761</v>
      </c>
      <c r="M125" s="368">
        <v>5</v>
      </c>
      <c r="N125" s="368">
        <v>0</v>
      </c>
      <c r="O125" s="368">
        <v>2</v>
      </c>
      <c r="P125" s="368">
        <f t="shared" si="10"/>
        <v>40</v>
      </c>
      <c r="Q125" s="368">
        <f t="shared" si="10"/>
        <v>4</v>
      </c>
      <c r="R125" s="368">
        <f t="shared" si="10"/>
        <v>15</v>
      </c>
      <c r="S125" s="369">
        <f t="shared" si="3"/>
        <v>1707394.4285714286</v>
      </c>
      <c r="T125" s="369">
        <f t="shared" si="4"/>
        <v>818651.70793650812</v>
      </c>
      <c r="U125" s="366">
        <v>7</v>
      </c>
      <c r="V125" s="367">
        <v>5598697</v>
      </c>
      <c r="W125" s="368">
        <v>0</v>
      </c>
      <c r="X125" s="368">
        <v>3</v>
      </c>
      <c r="Y125" s="368">
        <v>1</v>
      </c>
      <c r="Z125" s="368">
        <f t="shared" si="11"/>
        <v>2</v>
      </c>
      <c r="AA125" s="368">
        <f t="shared" si="11"/>
        <v>17</v>
      </c>
      <c r="AB125" s="368">
        <f t="shared" si="11"/>
        <v>8</v>
      </c>
      <c r="AC125" s="369">
        <f t="shared" si="5"/>
        <v>1399674.25</v>
      </c>
      <c r="AD125" s="369">
        <f t="shared" si="6"/>
        <v>483947.9307142857</v>
      </c>
      <c r="AE125" s="366">
        <v>7</v>
      </c>
      <c r="AF125" s="367">
        <v>5428256</v>
      </c>
      <c r="AG125" s="368">
        <v>0</v>
      </c>
      <c r="AH125" s="368">
        <v>3</v>
      </c>
      <c r="AI125" s="368">
        <v>1</v>
      </c>
      <c r="AJ125" s="368">
        <f t="shared" si="12"/>
        <v>2</v>
      </c>
      <c r="AK125" s="368">
        <f t="shared" si="12"/>
        <v>17</v>
      </c>
      <c r="AL125" s="368">
        <f t="shared" si="12"/>
        <v>8</v>
      </c>
      <c r="AM125" s="369">
        <f t="shared" si="7"/>
        <v>1357064</v>
      </c>
      <c r="AN125" s="369">
        <f t="shared" si="8"/>
        <v>469215.10321428569</v>
      </c>
    </row>
    <row r="126" spans="1:40" x14ac:dyDescent="0.3">
      <c r="A126" s="366">
        <v>8</v>
      </c>
      <c r="B126" s="367">
        <v>5777178</v>
      </c>
      <c r="C126" s="368">
        <v>0</v>
      </c>
      <c r="D126" s="368">
        <v>1</v>
      </c>
      <c r="E126" s="368">
        <v>1</v>
      </c>
      <c r="F126" s="368">
        <f t="shared" si="9"/>
        <v>6</v>
      </c>
      <c r="G126" s="368">
        <f t="shared" si="9"/>
        <v>14</v>
      </c>
      <c r="H126" s="368">
        <f t="shared" si="9"/>
        <v>11</v>
      </c>
      <c r="I126" s="369">
        <f t="shared" si="1"/>
        <v>2888589</v>
      </c>
      <c r="J126" s="369">
        <f t="shared" si="2"/>
        <v>751301.35625000007</v>
      </c>
      <c r="K126" s="366">
        <v>8</v>
      </c>
      <c r="L126" s="367">
        <v>14802256</v>
      </c>
      <c r="M126" s="368">
        <v>6</v>
      </c>
      <c r="N126" s="368">
        <v>1</v>
      </c>
      <c r="O126" s="368">
        <v>2</v>
      </c>
      <c r="P126" s="368">
        <f t="shared" si="10"/>
        <v>46</v>
      </c>
      <c r="Q126" s="368">
        <f t="shared" si="10"/>
        <v>5</v>
      </c>
      <c r="R126" s="368">
        <f t="shared" si="10"/>
        <v>17</v>
      </c>
      <c r="S126" s="369">
        <f t="shared" si="3"/>
        <v>1644695.111111111</v>
      </c>
      <c r="T126" s="369">
        <f t="shared" si="4"/>
        <v>817572.54246031749</v>
      </c>
      <c r="U126" s="366">
        <v>8</v>
      </c>
      <c r="V126" s="367">
        <v>6933986</v>
      </c>
      <c r="W126" s="368">
        <v>0</v>
      </c>
      <c r="X126" s="368">
        <v>2</v>
      </c>
      <c r="Y126" s="368">
        <v>2</v>
      </c>
      <c r="Z126" s="368">
        <f t="shared" si="11"/>
        <v>2</v>
      </c>
      <c r="AA126" s="368">
        <f t="shared" si="11"/>
        <v>19</v>
      </c>
      <c r="AB126" s="368">
        <f t="shared" si="11"/>
        <v>10</v>
      </c>
      <c r="AC126" s="369">
        <f t="shared" si="5"/>
        <v>1733496.5</v>
      </c>
      <c r="AD126" s="369">
        <f t="shared" si="6"/>
        <v>591621.29218750005</v>
      </c>
      <c r="AE126" s="366">
        <v>8</v>
      </c>
      <c r="AF126" s="367">
        <v>6722894</v>
      </c>
      <c r="AG126" s="368">
        <v>0</v>
      </c>
      <c r="AH126" s="368">
        <v>2</v>
      </c>
      <c r="AI126" s="368">
        <v>2</v>
      </c>
      <c r="AJ126" s="368">
        <f t="shared" si="12"/>
        <v>2</v>
      </c>
      <c r="AK126" s="368">
        <f t="shared" si="12"/>
        <v>19</v>
      </c>
      <c r="AL126" s="368">
        <f t="shared" si="12"/>
        <v>10</v>
      </c>
      <c r="AM126" s="369">
        <f t="shared" si="7"/>
        <v>1680723.5</v>
      </c>
      <c r="AN126" s="369">
        <f t="shared" si="8"/>
        <v>573610.51500000001</v>
      </c>
    </row>
    <row r="127" spans="1:40" x14ac:dyDescent="0.3">
      <c r="A127" s="366">
        <v>9</v>
      </c>
      <c r="B127" s="367">
        <v>7155035</v>
      </c>
      <c r="C127" s="368">
        <v>1</v>
      </c>
      <c r="D127" s="368">
        <v>2</v>
      </c>
      <c r="E127" s="368">
        <v>2</v>
      </c>
      <c r="F127" s="368">
        <f t="shared" si="9"/>
        <v>7</v>
      </c>
      <c r="G127" s="368">
        <f t="shared" si="9"/>
        <v>16</v>
      </c>
      <c r="H127" s="368">
        <f t="shared" si="9"/>
        <v>13</v>
      </c>
      <c r="I127" s="369">
        <f t="shared" si="1"/>
        <v>1431007</v>
      </c>
      <c r="J127" s="369">
        <f t="shared" si="2"/>
        <v>437990.33333333331</v>
      </c>
      <c r="K127" s="366">
        <v>9</v>
      </c>
      <c r="L127" s="367">
        <v>18332594</v>
      </c>
      <c r="M127" s="368">
        <v>6</v>
      </c>
      <c r="N127" s="368">
        <v>0</v>
      </c>
      <c r="O127" s="368">
        <v>2</v>
      </c>
      <c r="P127" s="368">
        <f t="shared" si="10"/>
        <v>52</v>
      </c>
      <c r="Q127" s="368">
        <f t="shared" si="10"/>
        <v>5</v>
      </c>
      <c r="R127" s="368">
        <f t="shared" si="10"/>
        <v>19</v>
      </c>
      <c r="S127" s="369">
        <f t="shared" si="3"/>
        <v>2291574.25</v>
      </c>
      <c r="T127" s="369">
        <f t="shared" si="4"/>
        <v>1088699.98654321</v>
      </c>
      <c r="U127" s="366">
        <v>9</v>
      </c>
      <c r="V127" s="367">
        <v>8587742</v>
      </c>
      <c r="W127" s="368">
        <v>0</v>
      </c>
      <c r="X127" s="368">
        <v>3</v>
      </c>
      <c r="Y127" s="368">
        <v>1</v>
      </c>
      <c r="Z127" s="368">
        <f t="shared" si="11"/>
        <v>2</v>
      </c>
      <c r="AA127" s="368">
        <f t="shared" si="11"/>
        <v>22</v>
      </c>
      <c r="AB127" s="368">
        <f t="shared" si="11"/>
        <v>11</v>
      </c>
      <c r="AC127" s="369">
        <f t="shared" si="5"/>
        <v>2146935.5</v>
      </c>
      <c r="AD127" s="369">
        <f t="shared" si="6"/>
        <v>725259.32888888882</v>
      </c>
      <c r="AE127" s="366">
        <v>9</v>
      </c>
      <c r="AF127" s="367">
        <v>8326304</v>
      </c>
      <c r="AG127" s="368">
        <v>0</v>
      </c>
      <c r="AH127" s="368">
        <v>3</v>
      </c>
      <c r="AI127" s="368">
        <v>1</v>
      </c>
      <c r="AJ127" s="368">
        <f t="shared" si="12"/>
        <v>2</v>
      </c>
      <c r="AK127" s="368">
        <f t="shared" si="12"/>
        <v>22</v>
      </c>
      <c r="AL127" s="368">
        <f t="shared" si="12"/>
        <v>11</v>
      </c>
      <c r="AM127" s="369">
        <f t="shared" si="7"/>
        <v>2081576</v>
      </c>
      <c r="AN127" s="369">
        <f t="shared" si="8"/>
        <v>703180.14722222229</v>
      </c>
    </row>
    <row r="128" spans="1:40" x14ac:dyDescent="0.3">
      <c r="A128" s="364"/>
      <c r="B128" s="364"/>
      <c r="C128" s="364"/>
      <c r="D128" s="364"/>
      <c r="E128" s="364"/>
      <c r="F128" s="364"/>
      <c r="G128" s="364"/>
      <c r="H128" s="364"/>
      <c r="I128" s="364"/>
      <c r="J128" s="364"/>
      <c r="K128" s="364"/>
      <c r="L128" s="364"/>
      <c r="M128" s="364"/>
      <c r="N128" s="364"/>
      <c r="O128" s="364"/>
      <c r="P128" s="364"/>
      <c r="Q128" s="364"/>
      <c r="R128" s="364"/>
      <c r="S128" s="364"/>
      <c r="T128" s="364"/>
      <c r="U128" s="364"/>
      <c r="V128" s="364"/>
      <c r="W128" s="364"/>
      <c r="X128" s="364"/>
      <c r="Y128" s="364"/>
      <c r="Z128" s="364"/>
      <c r="AA128" s="364"/>
      <c r="AB128" s="364"/>
      <c r="AC128" s="364"/>
      <c r="AD128" s="364"/>
      <c r="AE128" s="364"/>
      <c r="AF128" s="364"/>
      <c r="AG128" s="364"/>
      <c r="AH128" s="364"/>
      <c r="AI128" s="364"/>
      <c r="AJ128" s="364"/>
      <c r="AK128" s="364"/>
      <c r="AL128" s="364"/>
      <c r="AN128" s="364"/>
    </row>
    <row r="129" spans="1:40" x14ac:dyDescent="0.3">
      <c r="A129" s="1034" t="s">
        <v>390</v>
      </c>
      <c r="B129" s="1034"/>
      <c r="C129" s="1034"/>
      <c r="D129" s="1034"/>
      <c r="E129" s="1034"/>
      <c r="F129" s="1034"/>
      <c r="G129" s="1034"/>
      <c r="H129" s="1034"/>
      <c r="I129" s="364">
        <v>29</v>
      </c>
      <c r="J129" s="364"/>
      <c r="K129" s="1034" t="s">
        <v>391</v>
      </c>
      <c r="L129" s="1034"/>
      <c r="M129" s="1034"/>
      <c r="N129" s="1034"/>
      <c r="O129" s="1034"/>
      <c r="P129" s="1034"/>
      <c r="Q129" s="1034"/>
      <c r="R129" s="1034"/>
      <c r="S129" s="364">
        <v>23</v>
      </c>
      <c r="T129" s="364"/>
      <c r="U129" s="1034" t="s">
        <v>392</v>
      </c>
      <c r="V129" s="1034"/>
      <c r="W129" s="1034"/>
      <c r="X129" s="1034"/>
      <c r="Y129" s="1034"/>
      <c r="Z129" s="1034"/>
      <c r="AA129" s="1034"/>
      <c r="AB129" s="1034"/>
      <c r="AC129" s="364">
        <v>22</v>
      </c>
      <c r="AD129" s="364"/>
      <c r="AE129" s="1034" t="s">
        <v>309</v>
      </c>
      <c r="AF129" s="1034"/>
      <c r="AG129" s="1034"/>
      <c r="AH129" s="1034"/>
      <c r="AI129" s="1034"/>
      <c r="AJ129" s="1034"/>
      <c r="AK129" s="1034"/>
      <c r="AL129" s="1034"/>
      <c r="AM129" s="1">
        <v>34</v>
      </c>
      <c r="AN129" s="364"/>
    </row>
    <row r="130" spans="1:40" x14ac:dyDescent="0.3">
      <c r="A130" s="363" t="s">
        <v>368</v>
      </c>
      <c r="B130" s="365" t="s">
        <v>384</v>
      </c>
      <c r="C130" s="365" t="s">
        <v>385</v>
      </c>
      <c r="D130" s="365" t="s">
        <v>386</v>
      </c>
      <c r="E130" s="365" t="s">
        <v>387</v>
      </c>
      <c r="F130" s="365" t="s">
        <v>388</v>
      </c>
      <c r="G130" s="365" t="s">
        <v>389</v>
      </c>
      <c r="H130" s="365" t="s">
        <v>121</v>
      </c>
      <c r="I130" s="364"/>
      <c r="J130" s="364"/>
      <c r="K130" s="363" t="s">
        <v>368</v>
      </c>
      <c r="L130" s="365" t="s">
        <v>384</v>
      </c>
      <c r="M130" s="365" t="s">
        <v>385</v>
      </c>
      <c r="N130" s="365" t="s">
        <v>386</v>
      </c>
      <c r="O130" s="365" t="s">
        <v>387</v>
      </c>
      <c r="P130" s="365" t="s">
        <v>388</v>
      </c>
      <c r="Q130" s="365" t="s">
        <v>389</v>
      </c>
      <c r="R130" s="365" t="s">
        <v>121</v>
      </c>
      <c r="S130" s="364"/>
      <c r="T130" s="364"/>
      <c r="U130" s="363" t="s">
        <v>368</v>
      </c>
      <c r="V130" s="365" t="s">
        <v>384</v>
      </c>
      <c r="W130" s="365" t="s">
        <v>385</v>
      </c>
      <c r="X130" s="365" t="s">
        <v>386</v>
      </c>
      <c r="Y130" s="365" t="s">
        <v>387</v>
      </c>
      <c r="Z130" s="365" t="s">
        <v>388</v>
      </c>
      <c r="AA130" s="365" t="s">
        <v>389</v>
      </c>
      <c r="AB130" s="365" t="s">
        <v>121</v>
      </c>
      <c r="AC130" s="364"/>
      <c r="AD130" s="364"/>
      <c r="AE130" s="363" t="s">
        <v>368</v>
      </c>
      <c r="AF130" s="365" t="s">
        <v>384</v>
      </c>
      <c r="AG130" s="365" t="s">
        <v>385</v>
      </c>
      <c r="AH130" s="365" t="s">
        <v>386</v>
      </c>
      <c r="AI130" s="365" t="s">
        <v>387</v>
      </c>
      <c r="AJ130" s="365" t="s">
        <v>388</v>
      </c>
      <c r="AK130" s="365" t="s">
        <v>389</v>
      </c>
      <c r="AL130" s="365" t="s">
        <v>121</v>
      </c>
      <c r="AN130" s="364"/>
    </row>
    <row r="131" spans="1:40" x14ac:dyDescent="0.3">
      <c r="A131" s="366">
        <v>1</v>
      </c>
      <c r="B131" s="371">
        <v>510128</v>
      </c>
      <c r="C131" s="368">
        <v>0</v>
      </c>
      <c r="D131" s="368">
        <v>1</v>
      </c>
      <c r="E131" s="368">
        <v>1</v>
      </c>
      <c r="F131" s="368">
        <f>SUM(C131)</f>
        <v>0</v>
      </c>
      <c r="G131" s="368">
        <f>SUM(D131)</f>
        <v>1</v>
      </c>
      <c r="H131" s="368">
        <f>SUM(E131)</f>
        <v>1</v>
      </c>
      <c r="I131" s="369">
        <f t="shared" ref="I131:I139" si="13">B131/(C131+D131+E131)</f>
        <v>255064</v>
      </c>
      <c r="J131" s="369">
        <f t="shared" ref="J131:J139" si="14">(I131+I130/A131)*I$129*0.01</f>
        <v>73968.56</v>
      </c>
      <c r="K131" s="366">
        <v>1</v>
      </c>
      <c r="L131" s="371">
        <v>459831</v>
      </c>
      <c r="M131" s="368">
        <v>0</v>
      </c>
      <c r="N131" s="368">
        <v>1</v>
      </c>
      <c r="O131" s="368">
        <v>0</v>
      </c>
      <c r="P131" s="368">
        <f>SUM(M131)</f>
        <v>0</v>
      </c>
      <c r="Q131" s="368">
        <f>SUM(N131)</f>
        <v>1</v>
      </c>
      <c r="R131" s="368">
        <f>SUM(O131)</f>
        <v>0</v>
      </c>
      <c r="S131" s="369">
        <f t="shared" ref="S131:S139" si="15">L131/(M131+N131+O131)</f>
        <v>459831</v>
      </c>
      <c r="T131" s="369">
        <f t="shared" ref="T131:T139" si="16">(S131+S130/K131)*S$129*0.01</f>
        <v>105761.13</v>
      </c>
      <c r="U131" s="366">
        <v>1</v>
      </c>
      <c r="V131" s="371">
        <v>454545</v>
      </c>
      <c r="W131" s="368">
        <v>1</v>
      </c>
      <c r="X131" s="368">
        <v>0</v>
      </c>
      <c r="Y131" s="368">
        <v>0</v>
      </c>
      <c r="Z131" s="368">
        <f>SUM(W131)</f>
        <v>1</v>
      </c>
      <c r="AA131" s="368">
        <f>SUM(X131)</f>
        <v>0</v>
      </c>
      <c r="AB131" s="368">
        <f>SUM(Y131)</f>
        <v>0</v>
      </c>
      <c r="AC131" s="369">
        <f t="shared" ref="AC131:AC139" si="17">V131/(W131+X131+Y131)</f>
        <v>454545</v>
      </c>
      <c r="AD131" s="369">
        <f t="shared" ref="AD131:AD139" si="18">(AC131+AC130/U131)*AC$129*0.01</f>
        <v>99999.900000000009</v>
      </c>
      <c r="AE131" s="366">
        <v>1</v>
      </c>
      <c r="AF131" s="371">
        <v>3098104</v>
      </c>
      <c r="AG131" s="368">
        <v>3</v>
      </c>
      <c r="AH131" s="368">
        <v>1</v>
      </c>
      <c r="AI131" s="368">
        <v>4</v>
      </c>
      <c r="AJ131" s="368">
        <f>SUM(AG131)</f>
        <v>3</v>
      </c>
      <c r="AK131" s="368">
        <f>SUM(AH131)</f>
        <v>1</v>
      </c>
      <c r="AL131" s="368">
        <f>SUM(AI131)</f>
        <v>4</v>
      </c>
      <c r="AM131" s="369">
        <f t="shared" ref="AM131:AM139" si="19">AF131/(AG131+AH131+AI131)</f>
        <v>387263</v>
      </c>
      <c r="AN131" s="369">
        <f t="shared" ref="AN131:AN139" si="20">(AM131+AM130/AE131)*AM$129*0.01</f>
        <v>131669.42000000001</v>
      </c>
    </row>
    <row r="132" spans="1:40" x14ac:dyDescent="0.3">
      <c r="A132" s="366">
        <v>2</v>
      </c>
      <c r="B132" s="371">
        <v>631794</v>
      </c>
      <c r="C132" s="368">
        <v>0</v>
      </c>
      <c r="D132" s="368">
        <v>1</v>
      </c>
      <c r="E132" s="368">
        <v>0</v>
      </c>
      <c r="F132" s="368">
        <f t="shared" ref="F132:H139" si="21">SUM(F131+C132)</f>
        <v>0</v>
      </c>
      <c r="G132" s="368">
        <f t="shared" si="21"/>
        <v>2</v>
      </c>
      <c r="H132" s="368">
        <f t="shared" si="21"/>
        <v>1</v>
      </c>
      <c r="I132" s="369">
        <f t="shared" si="13"/>
        <v>631794</v>
      </c>
      <c r="J132" s="369">
        <f t="shared" si="14"/>
        <v>220204.54</v>
      </c>
      <c r="K132" s="366">
        <v>2</v>
      </c>
      <c r="L132" s="371">
        <v>569501</v>
      </c>
      <c r="M132" s="368">
        <v>1</v>
      </c>
      <c r="N132" s="368">
        <v>0</v>
      </c>
      <c r="O132" s="368">
        <v>0</v>
      </c>
      <c r="P132" s="368">
        <f t="shared" ref="P132:R139" si="22">SUM(P131+M132)</f>
        <v>1</v>
      </c>
      <c r="Q132" s="368">
        <f t="shared" si="22"/>
        <v>1</v>
      </c>
      <c r="R132" s="368">
        <f t="shared" si="22"/>
        <v>0</v>
      </c>
      <c r="S132" s="369">
        <f t="shared" si="15"/>
        <v>569501</v>
      </c>
      <c r="T132" s="369">
        <f t="shared" si="16"/>
        <v>183865.79500000001</v>
      </c>
      <c r="U132" s="366">
        <v>2</v>
      </c>
      <c r="V132" s="371">
        <v>562954</v>
      </c>
      <c r="W132" s="368">
        <v>1</v>
      </c>
      <c r="X132" s="368">
        <v>0</v>
      </c>
      <c r="Y132" s="368">
        <v>0</v>
      </c>
      <c r="Z132" s="368">
        <f t="shared" ref="Z132:AB139" si="23">SUM(Z131+W132)</f>
        <v>2</v>
      </c>
      <c r="AA132" s="368">
        <f t="shared" si="23"/>
        <v>0</v>
      </c>
      <c r="AB132" s="368">
        <f t="shared" si="23"/>
        <v>0</v>
      </c>
      <c r="AC132" s="369">
        <f t="shared" si="17"/>
        <v>562954</v>
      </c>
      <c r="AD132" s="369">
        <f t="shared" si="18"/>
        <v>173849.83000000002</v>
      </c>
      <c r="AE132" s="366">
        <v>2</v>
      </c>
      <c r="AF132" s="371">
        <v>3837002</v>
      </c>
      <c r="AG132" s="368">
        <v>3</v>
      </c>
      <c r="AH132" s="368">
        <v>0</v>
      </c>
      <c r="AI132" s="368">
        <v>4</v>
      </c>
      <c r="AJ132" s="368">
        <f t="shared" ref="AJ132:AL139" si="24">SUM(AJ131+AG132)</f>
        <v>6</v>
      </c>
      <c r="AK132" s="368">
        <f t="shared" si="24"/>
        <v>1</v>
      </c>
      <c r="AL132" s="368">
        <f t="shared" si="24"/>
        <v>8</v>
      </c>
      <c r="AM132" s="369">
        <f t="shared" si="19"/>
        <v>548143.14285714284</v>
      </c>
      <c r="AN132" s="369">
        <f t="shared" si="20"/>
        <v>252203.37857142859</v>
      </c>
    </row>
    <row r="133" spans="1:40" x14ac:dyDescent="0.3">
      <c r="A133" s="366">
        <v>3</v>
      </c>
      <c r="B133" s="371">
        <v>782476</v>
      </c>
      <c r="C133" s="368">
        <v>1</v>
      </c>
      <c r="D133" s="368">
        <v>2</v>
      </c>
      <c r="E133" s="368">
        <v>1</v>
      </c>
      <c r="F133" s="368">
        <f t="shared" si="21"/>
        <v>1</v>
      </c>
      <c r="G133" s="368">
        <f t="shared" si="21"/>
        <v>4</v>
      </c>
      <c r="H133" s="368">
        <f t="shared" si="21"/>
        <v>2</v>
      </c>
      <c r="I133" s="369">
        <f t="shared" si="13"/>
        <v>195619</v>
      </c>
      <c r="J133" s="369">
        <f t="shared" si="14"/>
        <v>117802.93000000001</v>
      </c>
      <c r="K133" s="366">
        <v>3</v>
      </c>
      <c r="L133" s="371">
        <v>705327</v>
      </c>
      <c r="M133" s="368">
        <v>0</v>
      </c>
      <c r="N133" s="368">
        <v>1</v>
      </c>
      <c r="O133" s="368">
        <v>0</v>
      </c>
      <c r="P133" s="368">
        <f t="shared" si="22"/>
        <v>1</v>
      </c>
      <c r="Q133" s="368">
        <f t="shared" si="22"/>
        <v>2</v>
      </c>
      <c r="R133" s="368">
        <f t="shared" si="22"/>
        <v>0</v>
      </c>
      <c r="S133" s="369">
        <f t="shared" si="15"/>
        <v>705327</v>
      </c>
      <c r="T133" s="369">
        <f t="shared" si="16"/>
        <v>205886.95333333334</v>
      </c>
      <c r="U133" s="366">
        <v>3</v>
      </c>
      <c r="V133" s="371">
        <v>697219</v>
      </c>
      <c r="W133" s="368">
        <v>2</v>
      </c>
      <c r="X133" s="368">
        <v>0</v>
      </c>
      <c r="Y133" s="368">
        <v>1</v>
      </c>
      <c r="Z133" s="368">
        <f t="shared" si="23"/>
        <v>4</v>
      </c>
      <c r="AA133" s="368">
        <f t="shared" si="23"/>
        <v>0</v>
      </c>
      <c r="AB133" s="368">
        <f t="shared" si="23"/>
        <v>1</v>
      </c>
      <c r="AC133" s="369">
        <f t="shared" si="17"/>
        <v>232406.33333333334</v>
      </c>
      <c r="AD133" s="369">
        <f t="shared" si="18"/>
        <v>92412.686666666676</v>
      </c>
      <c r="AE133" s="366">
        <v>3</v>
      </c>
      <c r="AF133" s="371">
        <v>4752127</v>
      </c>
      <c r="AG133" s="368">
        <v>4</v>
      </c>
      <c r="AH133" s="368">
        <v>1</v>
      </c>
      <c r="AI133" s="368">
        <v>4</v>
      </c>
      <c r="AJ133" s="368">
        <f t="shared" si="24"/>
        <v>10</v>
      </c>
      <c r="AK133" s="368">
        <f t="shared" si="24"/>
        <v>2</v>
      </c>
      <c r="AL133" s="368">
        <f t="shared" si="24"/>
        <v>12</v>
      </c>
      <c r="AM133" s="369">
        <f t="shared" si="19"/>
        <v>528014.11111111112</v>
      </c>
      <c r="AN133" s="370">
        <f t="shared" si="20"/>
        <v>241647.68730158731</v>
      </c>
    </row>
    <row r="134" spans="1:40" x14ac:dyDescent="0.3">
      <c r="A134" s="366">
        <v>4</v>
      </c>
      <c r="B134" s="371">
        <v>969097</v>
      </c>
      <c r="C134" s="368">
        <v>0</v>
      </c>
      <c r="D134" s="368">
        <v>1</v>
      </c>
      <c r="E134" s="368">
        <v>0</v>
      </c>
      <c r="F134" s="368">
        <f t="shared" si="21"/>
        <v>1</v>
      </c>
      <c r="G134" s="368">
        <f t="shared" si="21"/>
        <v>5</v>
      </c>
      <c r="H134" s="368">
        <f t="shared" si="21"/>
        <v>2</v>
      </c>
      <c r="I134" s="369">
        <f t="shared" si="13"/>
        <v>969097</v>
      </c>
      <c r="J134" s="369">
        <f t="shared" si="14"/>
        <v>295220.50750000001</v>
      </c>
      <c r="K134" s="366">
        <v>4</v>
      </c>
      <c r="L134" s="371">
        <v>873547</v>
      </c>
      <c r="M134" s="368">
        <v>0</v>
      </c>
      <c r="N134" s="368">
        <v>1</v>
      </c>
      <c r="O134" s="368">
        <v>0</v>
      </c>
      <c r="P134" s="368">
        <f t="shared" si="22"/>
        <v>1</v>
      </c>
      <c r="Q134" s="368">
        <f t="shared" si="22"/>
        <v>3</v>
      </c>
      <c r="R134" s="368">
        <f t="shared" si="22"/>
        <v>0</v>
      </c>
      <c r="S134" s="369">
        <f t="shared" si="15"/>
        <v>873547</v>
      </c>
      <c r="T134" s="369">
        <f t="shared" si="16"/>
        <v>241472.11250000002</v>
      </c>
      <c r="U134" s="366">
        <v>4</v>
      </c>
      <c r="V134" s="371">
        <v>863505</v>
      </c>
      <c r="W134" s="368">
        <v>1</v>
      </c>
      <c r="X134" s="368">
        <v>0</v>
      </c>
      <c r="Y134" s="368">
        <v>0</v>
      </c>
      <c r="Z134" s="368">
        <f t="shared" si="23"/>
        <v>5</v>
      </c>
      <c r="AA134" s="368">
        <f t="shared" si="23"/>
        <v>0</v>
      </c>
      <c r="AB134" s="368">
        <f t="shared" si="23"/>
        <v>1</v>
      </c>
      <c r="AC134" s="369">
        <f t="shared" si="17"/>
        <v>863505</v>
      </c>
      <c r="AD134" s="370">
        <f t="shared" si="18"/>
        <v>202753.44833333336</v>
      </c>
      <c r="AE134" s="366">
        <v>4</v>
      </c>
      <c r="AF134" s="371">
        <v>5885509</v>
      </c>
      <c r="AG134" s="368">
        <v>3</v>
      </c>
      <c r="AH134" s="368">
        <v>1</v>
      </c>
      <c r="AI134" s="368">
        <v>4</v>
      </c>
      <c r="AJ134" s="368">
        <f t="shared" si="24"/>
        <v>13</v>
      </c>
      <c r="AK134" s="368">
        <f t="shared" si="24"/>
        <v>3</v>
      </c>
      <c r="AL134" s="368">
        <f t="shared" si="24"/>
        <v>16</v>
      </c>
      <c r="AM134" s="369">
        <f t="shared" si="19"/>
        <v>735688.625</v>
      </c>
      <c r="AN134" s="369">
        <f t="shared" si="20"/>
        <v>295015.33194444445</v>
      </c>
    </row>
    <row r="135" spans="1:40" x14ac:dyDescent="0.3">
      <c r="A135" s="366">
        <v>5</v>
      </c>
      <c r="B135" s="371">
        <v>1200226</v>
      </c>
      <c r="C135" s="368">
        <v>0</v>
      </c>
      <c r="D135" s="368">
        <v>1</v>
      </c>
      <c r="E135" s="368">
        <v>1</v>
      </c>
      <c r="F135" s="368">
        <f t="shared" si="21"/>
        <v>1</v>
      </c>
      <c r="G135" s="368">
        <f t="shared" si="21"/>
        <v>6</v>
      </c>
      <c r="H135" s="368">
        <f t="shared" si="21"/>
        <v>3</v>
      </c>
      <c r="I135" s="369">
        <f t="shared" si="13"/>
        <v>600113</v>
      </c>
      <c r="J135" s="370">
        <f t="shared" si="14"/>
        <v>230240.39600000001</v>
      </c>
      <c r="K135" s="366">
        <v>5</v>
      </c>
      <c r="L135" s="371">
        <v>1081888</v>
      </c>
      <c r="M135" s="368">
        <v>1</v>
      </c>
      <c r="N135" s="368">
        <v>1</v>
      </c>
      <c r="O135" s="368">
        <v>0</v>
      </c>
      <c r="P135" s="368">
        <f t="shared" si="22"/>
        <v>2</v>
      </c>
      <c r="Q135" s="368">
        <f t="shared" si="22"/>
        <v>4</v>
      </c>
      <c r="R135" s="368">
        <f t="shared" si="22"/>
        <v>0</v>
      </c>
      <c r="S135" s="369">
        <f t="shared" si="15"/>
        <v>540944</v>
      </c>
      <c r="T135" s="370">
        <f t="shared" si="16"/>
        <v>164600.28200000001</v>
      </c>
      <c r="U135" s="366">
        <v>5</v>
      </c>
      <c r="V135" s="371">
        <v>1069451</v>
      </c>
      <c r="W135" s="368">
        <v>1</v>
      </c>
      <c r="X135" s="368">
        <v>0</v>
      </c>
      <c r="Y135" s="368">
        <v>0</v>
      </c>
      <c r="Z135" s="368">
        <f t="shared" si="23"/>
        <v>6</v>
      </c>
      <c r="AA135" s="368">
        <f t="shared" si="23"/>
        <v>0</v>
      </c>
      <c r="AB135" s="368">
        <f t="shared" si="23"/>
        <v>1</v>
      </c>
      <c r="AC135" s="369">
        <f t="shared" si="17"/>
        <v>1069451</v>
      </c>
      <c r="AD135" s="369">
        <f t="shared" si="18"/>
        <v>273273.44</v>
      </c>
      <c r="AE135" s="366">
        <v>5</v>
      </c>
      <c r="AF135" s="371">
        <v>7289203</v>
      </c>
      <c r="AG135" s="368">
        <v>3</v>
      </c>
      <c r="AH135" s="368">
        <v>1</v>
      </c>
      <c r="AI135" s="368">
        <v>5</v>
      </c>
      <c r="AJ135" s="368">
        <f t="shared" si="24"/>
        <v>16</v>
      </c>
      <c r="AK135" s="368">
        <f t="shared" si="24"/>
        <v>4</v>
      </c>
      <c r="AL135" s="368">
        <f t="shared" si="24"/>
        <v>21</v>
      </c>
      <c r="AM135" s="369">
        <f t="shared" si="19"/>
        <v>809911.4444444445</v>
      </c>
      <c r="AN135" s="370">
        <f t="shared" si="20"/>
        <v>325396.71761111112</v>
      </c>
    </row>
    <row r="136" spans="1:40" x14ac:dyDescent="0.3">
      <c r="A136" s="366">
        <v>6</v>
      </c>
      <c r="B136" s="371">
        <v>1486480</v>
      </c>
      <c r="C136" s="368">
        <v>0</v>
      </c>
      <c r="D136" s="368">
        <v>1</v>
      </c>
      <c r="E136" s="368">
        <v>0</v>
      </c>
      <c r="F136" s="368">
        <f t="shared" si="21"/>
        <v>1</v>
      </c>
      <c r="G136" s="368">
        <f t="shared" si="21"/>
        <v>7</v>
      </c>
      <c r="H136" s="368">
        <f t="shared" si="21"/>
        <v>3</v>
      </c>
      <c r="I136" s="369">
        <f t="shared" si="13"/>
        <v>1486480</v>
      </c>
      <c r="J136" s="369">
        <f t="shared" si="14"/>
        <v>460084.66166666662</v>
      </c>
      <c r="K136" s="366">
        <v>6</v>
      </c>
      <c r="L136" s="371">
        <v>1339918</v>
      </c>
      <c r="M136" s="368">
        <v>0</v>
      </c>
      <c r="N136" s="368">
        <v>0</v>
      </c>
      <c r="O136" s="368">
        <v>0</v>
      </c>
      <c r="P136" s="368">
        <f t="shared" si="22"/>
        <v>2</v>
      </c>
      <c r="Q136" s="368">
        <f t="shared" si="22"/>
        <v>4</v>
      </c>
      <c r="R136" s="368">
        <f t="shared" si="22"/>
        <v>0</v>
      </c>
      <c r="S136" s="369" t="e">
        <f t="shared" si="15"/>
        <v>#DIV/0!</v>
      </c>
      <c r="T136" s="369" t="e">
        <f t="shared" si="16"/>
        <v>#DIV/0!</v>
      </c>
      <c r="U136" s="366">
        <v>6</v>
      </c>
      <c r="V136" s="371">
        <v>1324515</v>
      </c>
      <c r="W136" s="368">
        <v>1</v>
      </c>
      <c r="X136" s="368">
        <v>0</v>
      </c>
      <c r="Y136" s="368">
        <v>0</v>
      </c>
      <c r="Z136" s="368">
        <f t="shared" si="23"/>
        <v>7</v>
      </c>
      <c r="AA136" s="368">
        <f t="shared" si="23"/>
        <v>0</v>
      </c>
      <c r="AB136" s="368">
        <f t="shared" si="23"/>
        <v>1</v>
      </c>
      <c r="AC136" s="369">
        <f t="shared" si="17"/>
        <v>1324515</v>
      </c>
      <c r="AD136" s="369">
        <f t="shared" si="18"/>
        <v>330606.50333333336</v>
      </c>
      <c r="AE136" s="366">
        <v>6</v>
      </c>
      <c r="AF136" s="371">
        <v>9027678</v>
      </c>
      <c r="AG136" s="368">
        <v>3</v>
      </c>
      <c r="AH136" s="368">
        <v>0</v>
      </c>
      <c r="AI136" s="368">
        <v>4</v>
      </c>
      <c r="AJ136" s="368">
        <f t="shared" si="24"/>
        <v>19</v>
      </c>
      <c r="AK136" s="368">
        <f t="shared" si="24"/>
        <v>4</v>
      </c>
      <c r="AL136" s="368">
        <f t="shared" si="24"/>
        <v>25</v>
      </c>
      <c r="AM136" s="369">
        <f t="shared" si="19"/>
        <v>1289668.2857142857</v>
      </c>
      <c r="AN136" s="369">
        <f t="shared" si="20"/>
        <v>484382.19899470895</v>
      </c>
    </row>
    <row r="137" spans="1:40" x14ac:dyDescent="0.3">
      <c r="A137" s="366">
        <v>7</v>
      </c>
      <c r="B137" s="371">
        <v>1841006</v>
      </c>
      <c r="C137" s="368">
        <v>0</v>
      </c>
      <c r="D137" s="368">
        <v>1</v>
      </c>
      <c r="E137" s="368">
        <v>1</v>
      </c>
      <c r="F137" s="368">
        <f t="shared" si="21"/>
        <v>1</v>
      </c>
      <c r="G137" s="368">
        <f t="shared" si="21"/>
        <v>8</v>
      </c>
      <c r="H137" s="368">
        <f t="shared" si="21"/>
        <v>4</v>
      </c>
      <c r="I137" s="369">
        <f t="shared" si="13"/>
        <v>920503</v>
      </c>
      <c r="J137" s="369">
        <f t="shared" si="14"/>
        <v>328528.61285714287</v>
      </c>
      <c r="K137" s="366">
        <v>7</v>
      </c>
      <c r="L137" s="371">
        <v>1659489</v>
      </c>
      <c r="M137" s="368">
        <v>0</v>
      </c>
      <c r="N137" s="368">
        <v>1</v>
      </c>
      <c r="O137" s="368">
        <v>0</v>
      </c>
      <c r="P137" s="368">
        <f t="shared" si="22"/>
        <v>2</v>
      </c>
      <c r="Q137" s="368">
        <f t="shared" si="22"/>
        <v>5</v>
      </c>
      <c r="R137" s="368">
        <f t="shared" si="22"/>
        <v>0</v>
      </c>
      <c r="S137" s="369">
        <f t="shared" si="15"/>
        <v>1659489</v>
      </c>
      <c r="T137" s="369" t="e">
        <f t="shared" si="16"/>
        <v>#DIV/0!</v>
      </c>
      <c r="U137" s="366">
        <v>7</v>
      </c>
      <c r="V137" s="371">
        <v>1640412</v>
      </c>
      <c r="W137" s="368">
        <v>1</v>
      </c>
      <c r="X137" s="368">
        <v>0</v>
      </c>
      <c r="Y137" s="368">
        <v>0</v>
      </c>
      <c r="Z137" s="368">
        <f t="shared" si="23"/>
        <v>8</v>
      </c>
      <c r="AA137" s="368">
        <f t="shared" si="23"/>
        <v>0</v>
      </c>
      <c r="AB137" s="368">
        <f t="shared" si="23"/>
        <v>1</v>
      </c>
      <c r="AC137" s="369">
        <f t="shared" si="17"/>
        <v>1640412</v>
      </c>
      <c r="AD137" s="369">
        <f t="shared" si="18"/>
        <v>402518.25428571436</v>
      </c>
      <c r="AE137" s="366">
        <v>7</v>
      </c>
      <c r="AF137" s="371">
        <v>11180779</v>
      </c>
      <c r="AG137" s="368">
        <v>3</v>
      </c>
      <c r="AH137" s="368">
        <v>1</v>
      </c>
      <c r="AI137" s="368">
        <v>4</v>
      </c>
      <c r="AJ137" s="368">
        <f t="shared" si="24"/>
        <v>22</v>
      </c>
      <c r="AK137" s="368">
        <f t="shared" si="24"/>
        <v>5</v>
      </c>
      <c r="AL137" s="368">
        <f t="shared" si="24"/>
        <v>29</v>
      </c>
      <c r="AM137" s="369">
        <f t="shared" si="19"/>
        <v>1397597.375</v>
      </c>
      <c r="AN137" s="369">
        <f t="shared" si="20"/>
        <v>537824.13852040819</v>
      </c>
    </row>
    <row r="138" spans="1:40" x14ac:dyDescent="0.3">
      <c r="A138" s="366">
        <v>8</v>
      </c>
      <c r="B138" s="371">
        <v>2280086</v>
      </c>
      <c r="C138" s="368">
        <v>1</v>
      </c>
      <c r="D138" s="368">
        <v>2</v>
      </c>
      <c r="E138" s="368">
        <v>0</v>
      </c>
      <c r="F138" s="368">
        <f t="shared" si="21"/>
        <v>2</v>
      </c>
      <c r="G138" s="368">
        <f t="shared" si="21"/>
        <v>10</v>
      </c>
      <c r="H138" s="368">
        <f t="shared" si="21"/>
        <v>4</v>
      </c>
      <c r="I138" s="369">
        <f t="shared" si="13"/>
        <v>760028.66666666663</v>
      </c>
      <c r="J138" s="369">
        <f t="shared" si="14"/>
        <v>253776.54708333334</v>
      </c>
      <c r="K138" s="366">
        <v>8</v>
      </c>
      <c r="L138" s="371">
        <v>2055277</v>
      </c>
      <c r="M138" s="368">
        <v>0</v>
      </c>
      <c r="N138" s="368">
        <v>1</v>
      </c>
      <c r="O138" s="368">
        <v>0</v>
      </c>
      <c r="P138" s="368">
        <f t="shared" si="22"/>
        <v>2</v>
      </c>
      <c r="Q138" s="368">
        <f t="shared" si="22"/>
        <v>6</v>
      </c>
      <c r="R138" s="368">
        <f t="shared" si="22"/>
        <v>0</v>
      </c>
      <c r="S138" s="369">
        <f t="shared" si="15"/>
        <v>2055277</v>
      </c>
      <c r="T138" s="369">
        <f t="shared" si="16"/>
        <v>520424.01874999999</v>
      </c>
      <c r="U138" s="366">
        <v>8</v>
      </c>
      <c r="V138" s="371">
        <v>2031650</v>
      </c>
      <c r="W138" s="368">
        <v>2</v>
      </c>
      <c r="X138" s="368">
        <v>0</v>
      </c>
      <c r="Y138" s="368">
        <v>1</v>
      </c>
      <c r="Z138" s="368">
        <f t="shared" si="23"/>
        <v>10</v>
      </c>
      <c r="AA138" s="368">
        <f t="shared" si="23"/>
        <v>0</v>
      </c>
      <c r="AB138" s="368">
        <f t="shared" si="23"/>
        <v>2</v>
      </c>
      <c r="AC138" s="369">
        <f t="shared" si="17"/>
        <v>677216.66666666663</v>
      </c>
      <c r="AD138" s="369">
        <f t="shared" si="18"/>
        <v>194098.99666666664</v>
      </c>
      <c r="AE138" s="366">
        <v>8</v>
      </c>
      <c r="AF138" s="371">
        <v>13847395</v>
      </c>
      <c r="AG138" s="368">
        <v>4</v>
      </c>
      <c r="AH138" s="368">
        <v>1</v>
      </c>
      <c r="AI138" s="368">
        <v>4</v>
      </c>
      <c r="AJ138" s="368">
        <f t="shared" si="24"/>
        <v>26</v>
      </c>
      <c r="AK138" s="368">
        <f t="shared" si="24"/>
        <v>6</v>
      </c>
      <c r="AL138" s="368">
        <f t="shared" si="24"/>
        <v>33</v>
      </c>
      <c r="AM138" s="369">
        <f t="shared" si="19"/>
        <v>1538599.4444444445</v>
      </c>
      <c r="AN138" s="369">
        <f t="shared" si="20"/>
        <v>582521.69954861118</v>
      </c>
    </row>
    <row r="139" spans="1:40" x14ac:dyDescent="0.3">
      <c r="A139" s="366">
        <v>9</v>
      </c>
      <c r="B139" s="371">
        <v>2883827</v>
      </c>
      <c r="C139" s="368">
        <v>0</v>
      </c>
      <c r="D139" s="368">
        <v>1</v>
      </c>
      <c r="E139" s="368">
        <v>1</v>
      </c>
      <c r="F139" s="368">
        <f t="shared" si="21"/>
        <v>2</v>
      </c>
      <c r="G139" s="368">
        <f t="shared" si="21"/>
        <v>11</v>
      </c>
      <c r="H139" s="368">
        <f t="shared" si="21"/>
        <v>5</v>
      </c>
      <c r="I139" s="369">
        <f t="shared" si="13"/>
        <v>1441913.5</v>
      </c>
      <c r="J139" s="369">
        <f t="shared" si="14"/>
        <v>442644.72759259259</v>
      </c>
      <c r="K139" s="366">
        <v>9</v>
      </c>
      <c r="L139" s="371">
        <v>2545461</v>
      </c>
      <c r="M139" s="368">
        <v>1</v>
      </c>
      <c r="N139" s="368">
        <v>0</v>
      </c>
      <c r="O139" s="368">
        <v>0</v>
      </c>
      <c r="P139" s="368">
        <f t="shared" si="22"/>
        <v>3</v>
      </c>
      <c r="Q139" s="368">
        <f t="shared" si="22"/>
        <v>6</v>
      </c>
      <c r="R139" s="368">
        <f t="shared" si="22"/>
        <v>0</v>
      </c>
      <c r="S139" s="369">
        <f t="shared" si="15"/>
        <v>2545461</v>
      </c>
      <c r="T139" s="369">
        <f t="shared" si="16"/>
        <v>637979.77555555559</v>
      </c>
      <c r="U139" s="366">
        <v>9</v>
      </c>
      <c r="V139" s="371">
        <v>2516199</v>
      </c>
      <c r="W139" s="368">
        <v>1</v>
      </c>
      <c r="X139" s="368">
        <v>0</v>
      </c>
      <c r="Y139" s="368">
        <v>0</v>
      </c>
      <c r="Z139" s="368">
        <f t="shared" si="23"/>
        <v>11</v>
      </c>
      <c r="AA139" s="368">
        <f t="shared" si="23"/>
        <v>0</v>
      </c>
      <c r="AB139" s="368">
        <f t="shared" si="23"/>
        <v>2</v>
      </c>
      <c r="AC139" s="369">
        <f t="shared" si="17"/>
        <v>2516199</v>
      </c>
      <c r="AD139" s="369">
        <f t="shared" si="18"/>
        <v>570117.9651851852</v>
      </c>
      <c r="AE139" s="366">
        <v>9</v>
      </c>
      <c r="AF139" s="371">
        <v>17149998</v>
      </c>
      <c r="AG139" s="368">
        <v>3</v>
      </c>
      <c r="AH139" s="368">
        <v>0</v>
      </c>
      <c r="AI139" s="368">
        <v>4</v>
      </c>
      <c r="AJ139" s="368">
        <f t="shared" si="24"/>
        <v>29</v>
      </c>
      <c r="AK139" s="368">
        <f t="shared" si="24"/>
        <v>6</v>
      </c>
      <c r="AL139" s="368">
        <f t="shared" si="24"/>
        <v>37</v>
      </c>
      <c r="AM139" s="369">
        <f t="shared" si="19"/>
        <v>2449999.7142857141</v>
      </c>
      <c r="AN139" s="369">
        <f t="shared" si="20"/>
        <v>891124.77075837739</v>
      </c>
    </row>
    <row r="140" spans="1:40" x14ac:dyDescent="0.3">
      <c r="A140" s="364"/>
      <c r="B140" s="364"/>
      <c r="C140" s="364"/>
      <c r="D140" s="364"/>
      <c r="E140" s="364"/>
      <c r="F140" s="364"/>
      <c r="G140" s="364"/>
      <c r="H140" s="364"/>
      <c r="I140" s="364"/>
      <c r="J140" s="364"/>
      <c r="K140" s="364"/>
      <c r="L140" s="364"/>
      <c r="M140" s="364"/>
      <c r="N140" s="364"/>
      <c r="O140" s="364"/>
      <c r="P140" s="364"/>
      <c r="Q140" s="364"/>
      <c r="R140" s="364"/>
      <c r="S140" s="364"/>
      <c r="T140" s="364"/>
      <c r="U140" s="364"/>
      <c r="V140" s="364"/>
      <c r="W140" s="364"/>
      <c r="X140" s="364"/>
      <c r="Y140" s="364"/>
      <c r="Z140" s="364"/>
      <c r="AA140" s="364"/>
      <c r="AB140" s="364"/>
      <c r="AC140" s="364"/>
      <c r="AD140" s="364"/>
      <c r="AE140" s="364"/>
      <c r="AF140" s="364"/>
      <c r="AG140" s="364"/>
      <c r="AH140" s="364"/>
      <c r="AI140" s="364"/>
      <c r="AJ140" s="364"/>
      <c r="AK140" s="364"/>
      <c r="AL140" s="364"/>
      <c r="AN140" s="364"/>
    </row>
    <row r="141" spans="1:40" x14ac:dyDescent="0.3">
      <c r="A141" s="1034" t="s">
        <v>393</v>
      </c>
      <c r="B141" s="1034"/>
      <c r="C141" s="1034"/>
      <c r="D141" s="1034"/>
      <c r="E141" s="1034"/>
      <c r="F141" s="1034"/>
      <c r="G141" s="1034"/>
      <c r="H141" s="1034"/>
      <c r="I141" s="364">
        <v>41</v>
      </c>
      <c r="J141" s="364"/>
      <c r="K141" s="1034" t="s">
        <v>310</v>
      </c>
      <c r="L141" s="1034"/>
      <c r="M141" s="1034"/>
      <c r="N141" s="1034"/>
      <c r="O141" s="1034"/>
      <c r="P141" s="1034"/>
      <c r="Q141" s="1034"/>
      <c r="R141" s="1034"/>
      <c r="S141" s="364">
        <v>32</v>
      </c>
      <c r="T141" s="364"/>
      <c r="U141" s="1034" t="s">
        <v>394</v>
      </c>
      <c r="V141" s="1034"/>
      <c r="W141" s="1034"/>
      <c r="X141" s="1034"/>
      <c r="Y141" s="1034"/>
      <c r="Z141" s="1034"/>
      <c r="AA141" s="1034"/>
      <c r="AB141" s="1034"/>
      <c r="AC141" s="364">
        <v>18</v>
      </c>
      <c r="AD141" s="364"/>
      <c r="AE141" s="364"/>
      <c r="AF141" s="364"/>
      <c r="AG141" s="364"/>
      <c r="AH141" s="364"/>
      <c r="AI141" s="364"/>
      <c r="AJ141" s="364"/>
      <c r="AK141" s="364"/>
      <c r="AL141" s="364"/>
      <c r="AN141" s="364"/>
    </row>
    <row r="142" spans="1:40" x14ac:dyDescent="0.3">
      <c r="A142" s="363" t="s">
        <v>368</v>
      </c>
      <c r="B142" s="365" t="s">
        <v>384</v>
      </c>
      <c r="C142" s="365" t="s">
        <v>385</v>
      </c>
      <c r="D142" s="365" t="s">
        <v>386</v>
      </c>
      <c r="E142" s="365" t="s">
        <v>387</v>
      </c>
      <c r="F142" s="365" t="s">
        <v>388</v>
      </c>
      <c r="G142" s="365" t="s">
        <v>389</v>
      </c>
      <c r="H142" s="365" t="s">
        <v>121</v>
      </c>
      <c r="I142" s="364"/>
      <c r="J142" s="364"/>
      <c r="K142" s="363" t="s">
        <v>368</v>
      </c>
      <c r="L142" s="365" t="s">
        <v>384</v>
      </c>
      <c r="M142" s="365" t="s">
        <v>385</v>
      </c>
      <c r="N142" s="365" t="s">
        <v>386</v>
      </c>
      <c r="O142" s="365" t="s">
        <v>387</v>
      </c>
      <c r="P142" s="365" t="s">
        <v>388</v>
      </c>
      <c r="Q142" s="365" t="s">
        <v>389</v>
      </c>
      <c r="R142" s="365" t="s">
        <v>121</v>
      </c>
      <c r="S142" s="364"/>
      <c r="T142" s="364"/>
      <c r="U142" s="363" t="s">
        <v>368</v>
      </c>
      <c r="V142" s="365" t="s">
        <v>384</v>
      </c>
      <c r="W142" s="365" t="s">
        <v>385</v>
      </c>
      <c r="X142" s="365" t="s">
        <v>386</v>
      </c>
      <c r="Y142" s="365" t="s">
        <v>387</v>
      </c>
      <c r="Z142" s="365" t="s">
        <v>388</v>
      </c>
      <c r="AA142" s="365" t="s">
        <v>389</v>
      </c>
      <c r="AB142" s="365" t="s">
        <v>121</v>
      </c>
      <c r="AC142" s="364"/>
      <c r="AD142" s="364"/>
      <c r="AE142" s="364"/>
      <c r="AF142" s="364"/>
      <c r="AG142" s="364"/>
      <c r="AH142" s="364"/>
      <c r="AI142" s="364"/>
      <c r="AJ142" s="364"/>
      <c r="AK142" s="364"/>
      <c r="AL142" s="364"/>
      <c r="AN142" s="364"/>
    </row>
    <row r="143" spans="1:40" x14ac:dyDescent="0.3">
      <c r="A143" s="366">
        <v>1</v>
      </c>
      <c r="B143" s="371">
        <v>697674</v>
      </c>
      <c r="C143" s="368">
        <v>0</v>
      </c>
      <c r="D143" s="368">
        <v>2</v>
      </c>
      <c r="E143" s="368">
        <v>0</v>
      </c>
      <c r="F143" s="368">
        <f>SUM(C143)</f>
        <v>0</v>
      </c>
      <c r="G143" s="368">
        <f>SUM(D143)</f>
        <v>2</v>
      </c>
      <c r="H143" s="368">
        <f>SUM(E143)</f>
        <v>0</v>
      </c>
      <c r="I143" s="369">
        <f t="shared" ref="I143:I151" si="25">B143/(C143+D143+E143)</f>
        <v>348837</v>
      </c>
      <c r="J143" s="369">
        <f t="shared" ref="J143:J151" si="26">(I143+I142/A143)*I$141*0.01</f>
        <v>143023.17000000001</v>
      </c>
      <c r="K143" s="366">
        <v>1</v>
      </c>
      <c r="L143" s="371">
        <v>1181545</v>
      </c>
      <c r="M143" s="368">
        <v>0</v>
      </c>
      <c r="N143" s="368">
        <v>1</v>
      </c>
      <c r="O143" s="368">
        <v>1</v>
      </c>
      <c r="P143" s="368">
        <f>SUM(M143)</f>
        <v>0</v>
      </c>
      <c r="Q143" s="368">
        <f>SUM(N143)</f>
        <v>1</v>
      </c>
      <c r="R143" s="368">
        <f>SUM(O143)</f>
        <v>1</v>
      </c>
      <c r="S143" s="369">
        <f t="shared" ref="S143:S151" si="27">L143/(M143+N143+O143)</f>
        <v>590772.5</v>
      </c>
      <c r="T143" s="369">
        <f t="shared" ref="T143:T151" si="28">(S143+S142/K143)*S$141*0.01</f>
        <v>189047.2</v>
      </c>
      <c r="U143" s="366">
        <v>1</v>
      </c>
      <c r="V143" s="371">
        <v>938416</v>
      </c>
      <c r="W143" s="368">
        <v>2</v>
      </c>
      <c r="X143" s="368">
        <v>0</v>
      </c>
      <c r="Y143" s="368">
        <v>2</v>
      </c>
      <c r="Z143" s="368">
        <f>SUM(W143)</f>
        <v>2</v>
      </c>
      <c r="AA143" s="368">
        <f>SUM(X143)</f>
        <v>0</v>
      </c>
      <c r="AB143" s="368">
        <f>SUM(Y143)</f>
        <v>2</v>
      </c>
      <c r="AC143" s="369">
        <f t="shared" ref="AC143:AC151" si="29">V143/(W143+X143+Y143)</f>
        <v>234604</v>
      </c>
      <c r="AD143" s="369">
        <f t="shared" ref="AD143:AD151" si="30">(AC143+AC142/U143)*AC$141*0.01</f>
        <v>42228.72</v>
      </c>
      <c r="AE143" s="364"/>
      <c r="AF143" s="364"/>
      <c r="AG143" s="364"/>
      <c r="AH143" s="364"/>
      <c r="AI143" s="364"/>
      <c r="AJ143" s="364"/>
      <c r="AK143" s="364"/>
      <c r="AL143" s="364"/>
      <c r="AN143" s="369"/>
    </row>
    <row r="144" spans="1:40" x14ac:dyDescent="0.3">
      <c r="A144" s="366">
        <v>2</v>
      </c>
      <c r="B144" s="371">
        <v>864069</v>
      </c>
      <c r="C144" s="368">
        <v>0</v>
      </c>
      <c r="D144" s="368">
        <v>2</v>
      </c>
      <c r="E144" s="368">
        <v>0</v>
      </c>
      <c r="F144" s="368">
        <f t="shared" ref="F144:H151" si="31">SUM(F143+C144)</f>
        <v>0</v>
      </c>
      <c r="G144" s="368">
        <f t="shared" si="31"/>
        <v>4</v>
      </c>
      <c r="H144" s="368">
        <f t="shared" si="31"/>
        <v>0</v>
      </c>
      <c r="I144" s="369">
        <f t="shared" si="25"/>
        <v>432034.5</v>
      </c>
      <c r="J144" s="369">
        <f t="shared" si="26"/>
        <v>248645.73</v>
      </c>
      <c r="K144" s="366">
        <v>2</v>
      </c>
      <c r="L144" s="371">
        <v>1463343</v>
      </c>
      <c r="M144" s="368">
        <v>0</v>
      </c>
      <c r="N144" s="368">
        <v>2</v>
      </c>
      <c r="O144" s="368">
        <v>1</v>
      </c>
      <c r="P144" s="368">
        <f t="shared" ref="P144:R151" si="32">SUM(P143+M144)</f>
        <v>0</v>
      </c>
      <c r="Q144" s="368">
        <f t="shared" si="32"/>
        <v>3</v>
      </c>
      <c r="R144" s="368">
        <f t="shared" si="32"/>
        <v>2</v>
      </c>
      <c r="S144" s="369">
        <f t="shared" si="27"/>
        <v>487781</v>
      </c>
      <c r="T144" s="369">
        <f t="shared" si="28"/>
        <v>250613.52000000002</v>
      </c>
      <c r="U144" s="366">
        <v>2</v>
      </c>
      <c r="V144" s="371">
        <v>1162228</v>
      </c>
      <c r="W144" s="368">
        <v>1</v>
      </c>
      <c r="X144" s="368">
        <v>0</v>
      </c>
      <c r="Y144" s="368">
        <v>1</v>
      </c>
      <c r="Z144" s="368">
        <f t="shared" ref="Z144:AB151" si="33">SUM(Z143+W144)</f>
        <v>3</v>
      </c>
      <c r="AA144" s="368">
        <f t="shared" si="33"/>
        <v>0</v>
      </c>
      <c r="AB144" s="368">
        <f t="shared" si="33"/>
        <v>3</v>
      </c>
      <c r="AC144" s="369">
        <f t="shared" si="29"/>
        <v>581114</v>
      </c>
      <c r="AD144" s="369">
        <f t="shared" si="30"/>
        <v>125714.88</v>
      </c>
      <c r="AE144" s="364"/>
      <c r="AF144" s="364"/>
      <c r="AG144" s="364"/>
      <c r="AH144" s="364"/>
      <c r="AI144" s="364"/>
      <c r="AJ144" s="364"/>
      <c r="AK144" s="364"/>
      <c r="AL144" s="364"/>
      <c r="AN144" s="369"/>
    </row>
    <row r="145" spans="1:40" x14ac:dyDescent="0.3">
      <c r="A145" s="366">
        <v>3</v>
      </c>
      <c r="B145" s="371">
        <v>1070150</v>
      </c>
      <c r="C145" s="368">
        <v>0</v>
      </c>
      <c r="D145" s="368">
        <v>2</v>
      </c>
      <c r="E145" s="368">
        <v>0</v>
      </c>
      <c r="F145" s="368">
        <f t="shared" si="31"/>
        <v>0</v>
      </c>
      <c r="G145" s="368">
        <f t="shared" si="31"/>
        <v>6</v>
      </c>
      <c r="H145" s="368">
        <f t="shared" si="31"/>
        <v>0</v>
      </c>
      <c r="I145" s="369">
        <f t="shared" si="25"/>
        <v>535075</v>
      </c>
      <c r="J145" s="369">
        <f t="shared" si="26"/>
        <v>278425.46500000003</v>
      </c>
      <c r="K145" s="366">
        <v>3</v>
      </c>
      <c r="L145" s="371">
        <v>1812351</v>
      </c>
      <c r="M145" s="368">
        <v>0</v>
      </c>
      <c r="N145" s="368">
        <v>2</v>
      </c>
      <c r="O145" s="368">
        <v>2</v>
      </c>
      <c r="P145" s="368">
        <f t="shared" si="32"/>
        <v>0</v>
      </c>
      <c r="Q145" s="368">
        <f t="shared" si="32"/>
        <v>5</v>
      </c>
      <c r="R145" s="368">
        <f t="shared" si="32"/>
        <v>4</v>
      </c>
      <c r="S145" s="369">
        <f t="shared" si="27"/>
        <v>453087.75</v>
      </c>
      <c r="T145" s="370">
        <f t="shared" si="28"/>
        <v>197018.05333333332</v>
      </c>
      <c r="U145" s="366">
        <v>3</v>
      </c>
      <c r="V145" s="371">
        <v>1439420</v>
      </c>
      <c r="W145" s="368">
        <v>1</v>
      </c>
      <c r="X145" s="368">
        <v>0</v>
      </c>
      <c r="Y145" s="368">
        <v>1</v>
      </c>
      <c r="Z145" s="368">
        <f t="shared" si="33"/>
        <v>4</v>
      </c>
      <c r="AA145" s="368">
        <f t="shared" si="33"/>
        <v>0</v>
      </c>
      <c r="AB145" s="368">
        <f t="shared" si="33"/>
        <v>4</v>
      </c>
      <c r="AC145" s="369">
        <f t="shared" si="29"/>
        <v>719710</v>
      </c>
      <c r="AD145" s="369">
        <f t="shared" si="30"/>
        <v>164414.64000000001</v>
      </c>
      <c r="AE145" s="364"/>
      <c r="AF145" s="364"/>
      <c r="AG145" s="364"/>
      <c r="AH145" s="364"/>
      <c r="AI145" s="364"/>
      <c r="AJ145" s="364"/>
      <c r="AK145" s="364"/>
      <c r="AL145" s="364"/>
      <c r="AN145" s="369"/>
    </row>
    <row r="146" spans="1:40" x14ac:dyDescent="0.3">
      <c r="A146" s="366">
        <v>4</v>
      </c>
      <c r="B146" s="371">
        <v>1325380</v>
      </c>
      <c r="C146" s="368">
        <v>0</v>
      </c>
      <c r="D146" s="368">
        <v>2</v>
      </c>
      <c r="E146" s="368">
        <v>0</v>
      </c>
      <c r="F146" s="368">
        <f t="shared" si="31"/>
        <v>0</v>
      </c>
      <c r="G146" s="368">
        <f t="shared" si="31"/>
        <v>8</v>
      </c>
      <c r="H146" s="368">
        <f t="shared" si="31"/>
        <v>0</v>
      </c>
      <c r="I146" s="369">
        <f t="shared" si="25"/>
        <v>662690</v>
      </c>
      <c r="J146" s="370">
        <f t="shared" si="26"/>
        <v>326548.08750000002</v>
      </c>
      <c r="K146" s="366">
        <v>4</v>
      </c>
      <c r="L146" s="371">
        <v>2244597</v>
      </c>
      <c r="M146" s="368">
        <v>0</v>
      </c>
      <c r="N146" s="368">
        <v>1</v>
      </c>
      <c r="O146" s="368">
        <v>1</v>
      </c>
      <c r="P146" s="368">
        <f t="shared" si="32"/>
        <v>0</v>
      </c>
      <c r="Q146" s="368">
        <f t="shared" si="32"/>
        <v>6</v>
      </c>
      <c r="R146" s="368">
        <f t="shared" si="32"/>
        <v>5</v>
      </c>
      <c r="S146" s="369">
        <f t="shared" si="27"/>
        <v>1122298.5</v>
      </c>
      <c r="T146" s="369">
        <f t="shared" si="28"/>
        <v>395382.54000000004</v>
      </c>
      <c r="U146" s="366">
        <v>4</v>
      </c>
      <c r="V146" s="371">
        <v>1782721</v>
      </c>
      <c r="W146" s="368">
        <v>2</v>
      </c>
      <c r="X146" s="368">
        <v>0</v>
      </c>
      <c r="Y146" s="368">
        <v>2</v>
      </c>
      <c r="Z146" s="368">
        <f t="shared" si="33"/>
        <v>6</v>
      </c>
      <c r="AA146" s="368">
        <f t="shared" si="33"/>
        <v>0</v>
      </c>
      <c r="AB146" s="368">
        <f t="shared" si="33"/>
        <v>6</v>
      </c>
      <c r="AC146" s="369">
        <f t="shared" si="29"/>
        <v>445680.25</v>
      </c>
      <c r="AD146" s="369">
        <f t="shared" si="30"/>
        <v>112609.395</v>
      </c>
      <c r="AE146" s="364"/>
      <c r="AF146" s="364"/>
      <c r="AG146" s="364"/>
      <c r="AH146" s="364"/>
      <c r="AI146" s="364"/>
      <c r="AJ146" s="364"/>
      <c r="AK146" s="364"/>
      <c r="AL146" s="364"/>
      <c r="AN146" s="369"/>
    </row>
    <row r="147" spans="1:40" x14ac:dyDescent="0.3">
      <c r="A147" s="366">
        <v>5</v>
      </c>
      <c r="B147" s="371">
        <v>1641484</v>
      </c>
      <c r="C147" s="368">
        <v>0</v>
      </c>
      <c r="D147" s="368">
        <v>2</v>
      </c>
      <c r="E147" s="368">
        <v>0</v>
      </c>
      <c r="F147" s="368">
        <f t="shared" si="31"/>
        <v>0</v>
      </c>
      <c r="G147" s="368">
        <f t="shared" si="31"/>
        <v>10</v>
      </c>
      <c r="H147" s="368">
        <f t="shared" si="31"/>
        <v>0</v>
      </c>
      <c r="I147" s="369">
        <f t="shared" si="25"/>
        <v>820742</v>
      </c>
      <c r="J147" s="369">
        <f t="shared" si="26"/>
        <v>390844.8</v>
      </c>
      <c r="K147" s="366">
        <v>5</v>
      </c>
      <c r="L147" s="371">
        <v>2779933</v>
      </c>
      <c r="M147" s="368">
        <v>0</v>
      </c>
      <c r="N147" s="368">
        <v>2</v>
      </c>
      <c r="O147" s="368">
        <v>1</v>
      </c>
      <c r="P147" s="368">
        <f t="shared" si="32"/>
        <v>0</v>
      </c>
      <c r="Q147" s="368">
        <f t="shared" si="32"/>
        <v>8</v>
      </c>
      <c r="R147" s="368">
        <f t="shared" si="32"/>
        <v>6</v>
      </c>
      <c r="S147" s="369">
        <f t="shared" si="27"/>
        <v>926644.33333333337</v>
      </c>
      <c r="T147" s="369">
        <f t="shared" si="28"/>
        <v>368353.2906666667</v>
      </c>
      <c r="U147" s="366">
        <v>5</v>
      </c>
      <c r="V147" s="371">
        <v>2207900</v>
      </c>
      <c r="W147" s="368">
        <v>1</v>
      </c>
      <c r="X147" s="368">
        <v>0</v>
      </c>
      <c r="Y147" s="368">
        <v>1</v>
      </c>
      <c r="Z147" s="368">
        <f t="shared" si="33"/>
        <v>7</v>
      </c>
      <c r="AA147" s="368">
        <f t="shared" si="33"/>
        <v>0</v>
      </c>
      <c r="AB147" s="368">
        <f t="shared" si="33"/>
        <v>7</v>
      </c>
      <c r="AC147" s="369">
        <f t="shared" si="29"/>
        <v>1103950</v>
      </c>
      <c r="AD147" s="369">
        <f t="shared" si="30"/>
        <v>214755.48900000003</v>
      </c>
      <c r="AE147" s="364"/>
      <c r="AF147" s="364"/>
      <c r="AG147" s="364"/>
      <c r="AH147" s="364"/>
      <c r="AI147" s="364"/>
      <c r="AJ147" s="364"/>
      <c r="AK147" s="364"/>
      <c r="AL147" s="364"/>
      <c r="AN147" s="369"/>
    </row>
    <row r="148" spans="1:40" x14ac:dyDescent="0.3">
      <c r="A148" s="366">
        <v>6</v>
      </c>
      <c r="B148" s="371">
        <v>2032978</v>
      </c>
      <c r="C148" s="368">
        <v>0</v>
      </c>
      <c r="D148" s="368">
        <v>2</v>
      </c>
      <c r="E148" s="368">
        <v>0</v>
      </c>
      <c r="F148" s="368">
        <f t="shared" si="31"/>
        <v>0</v>
      </c>
      <c r="G148" s="368">
        <f t="shared" si="31"/>
        <v>12</v>
      </c>
      <c r="H148" s="368">
        <f t="shared" si="31"/>
        <v>0</v>
      </c>
      <c r="I148" s="369">
        <f t="shared" si="25"/>
        <v>1016489</v>
      </c>
      <c r="J148" s="369">
        <f t="shared" si="26"/>
        <v>472844.52666666667</v>
      </c>
      <c r="K148" s="366">
        <v>6</v>
      </c>
      <c r="L148" s="371">
        <v>3442947</v>
      </c>
      <c r="M148" s="368">
        <v>0</v>
      </c>
      <c r="N148" s="368">
        <v>2</v>
      </c>
      <c r="O148" s="368">
        <v>1</v>
      </c>
      <c r="P148" s="368">
        <f t="shared" si="32"/>
        <v>0</v>
      </c>
      <c r="Q148" s="368">
        <f t="shared" si="32"/>
        <v>10</v>
      </c>
      <c r="R148" s="368">
        <f t="shared" si="32"/>
        <v>7</v>
      </c>
      <c r="S148" s="369">
        <f t="shared" si="27"/>
        <v>1147649</v>
      </c>
      <c r="T148" s="370">
        <f t="shared" si="28"/>
        <v>416668.7111111111</v>
      </c>
      <c r="U148" s="366">
        <v>6</v>
      </c>
      <c r="V148" s="371">
        <v>2734484</v>
      </c>
      <c r="W148" s="368">
        <v>1</v>
      </c>
      <c r="X148" s="368">
        <v>0</v>
      </c>
      <c r="Y148" s="368">
        <v>1</v>
      </c>
      <c r="Z148" s="368">
        <f t="shared" si="33"/>
        <v>8</v>
      </c>
      <c r="AA148" s="368">
        <f t="shared" si="33"/>
        <v>0</v>
      </c>
      <c r="AB148" s="368">
        <f t="shared" si="33"/>
        <v>8</v>
      </c>
      <c r="AC148" s="369">
        <f t="shared" si="29"/>
        <v>1367242</v>
      </c>
      <c r="AD148" s="369">
        <f t="shared" si="30"/>
        <v>279222.06</v>
      </c>
      <c r="AE148" s="364"/>
      <c r="AF148" s="364"/>
      <c r="AG148" s="364"/>
      <c r="AH148" s="364"/>
      <c r="AI148" s="364"/>
      <c r="AJ148" s="364"/>
      <c r="AK148" s="364"/>
      <c r="AL148" s="364"/>
      <c r="AN148" s="369"/>
    </row>
    <row r="149" spans="1:40" x14ac:dyDescent="0.3">
      <c r="A149" s="366">
        <v>7</v>
      </c>
      <c r="B149" s="371">
        <v>2517843</v>
      </c>
      <c r="C149" s="368">
        <v>0</v>
      </c>
      <c r="D149" s="368">
        <v>2</v>
      </c>
      <c r="E149" s="368">
        <v>0</v>
      </c>
      <c r="F149" s="368">
        <f t="shared" si="31"/>
        <v>0</v>
      </c>
      <c r="G149" s="368">
        <f t="shared" si="31"/>
        <v>14</v>
      </c>
      <c r="H149" s="368">
        <f t="shared" si="31"/>
        <v>0</v>
      </c>
      <c r="I149" s="369">
        <f t="shared" si="25"/>
        <v>1258921.5</v>
      </c>
      <c r="J149" s="369">
        <f t="shared" si="26"/>
        <v>575695.02785714285</v>
      </c>
      <c r="K149" s="366">
        <v>7</v>
      </c>
      <c r="L149" s="371">
        <v>4264090</v>
      </c>
      <c r="M149" s="368">
        <v>0</v>
      </c>
      <c r="N149" s="368">
        <v>1</v>
      </c>
      <c r="O149" s="368">
        <v>1</v>
      </c>
      <c r="P149" s="368">
        <f t="shared" si="32"/>
        <v>0</v>
      </c>
      <c r="Q149" s="368">
        <f t="shared" si="32"/>
        <v>11</v>
      </c>
      <c r="R149" s="368">
        <f t="shared" si="32"/>
        <v>8</v>
      </c>
      <c r="S149" s="369">
        <f t="shared" si="27"/>
        <v>2132045</v>
      </c>
      <c r="T149" s="369">
        <f t="shared" si="28"/>
        <v>734718.35428571433</v>
      </c>
      <c r="U149" s="366">
        <v>7</v>
      </c>
      <c r="V149" s="371">
        <v>3386659</v>
      </c>
      <c r="W149" s="368">
        <v>2</v>
      </c>
      <c r="X149" s="368">
        <v>0</v>
      </c>
      <c r="Y149" s="368">
        <v>2</v>
      </c>
      <c r="Z149" s="368">
        <f t="shared" si="33"/>
        <v>10</v>
      </c>
      <c r="AA149" s="368">
        <f t="shared" si="33"/>
        <v>0</v>
      </c>
      <c r="AB149" s="368">
        <f t="shared" si="33"/>
        <v>10</v>
      </c>
      <c r="AC149" s="369">
        <f t="shared" si="29"/>
        <v>846664.75</v>
      </c>
      <c r="AD149" s="369">
        <f t="shared" si="30"/>
        <v>187557.30642857144</v>
      </c>
      <c r="AE149" s="364"/>
      <c r="AF149" s="364"/>
      <c r="AG149" s="364"/>
      <c r="AH149" s="364"/>
      <c r="AI149" s="364"/>
      <c r="AJ149" s="364"/>
      <c r="AK149" s="364"/>
      <c r="AL149" s="364"/>
      <c r="AN149" s="369"/>
    </row>
    <row r="150" spans="1:40" x14ac:dyDescent="0.3">
      <c r="A150" s="366">
        <v>8</v>
      </c>
      <c r="B150" s="371">
        <v>3118348</v>
      </c>
      <c r="C150" s="368">
        <v>0</v>
      </c>
      <c r="D150" s="368">
        <v>2</v>
      </c>
      <c r="E150" s="368">
        <v>0</v>
      </c>
      <c r="F150" s="368">
        <f t="shared" si="31"/>
        <v>0</v>
      </c>
      <c r="G150" s="368">
        <f t="shared" si="31"/>
        <v>16</v>
      </c>
      <c r="H150" s="368">
        <f t="shared" si="31"/>
        <v>0</v>
      </c>
      <c r="I150" s="369">
        <f t="shared" si="25"/>
        <v>1559174</v>
      </c>
      <c r="J150" s="369">
        <f t="shared" si="26"/>
        <v>703781.06687500002</v>
      </c>
      <c r="K150" s="366">
        <v>8</v>
      </c>
      <c r="L150" s="371">
        <v>5281075</v>
      </c>
      <c r="M150" s="368">
        <v>0</v>
      </c>
      <c r="N150" s="368">
        <v>2</v>
      </c>
      <c r="O150" s="368">
        <v>2</v>
      </c>
      <c r="P150" s="368">
        <f t="shared" si="32"/>
        <v>0</v>
      </c>
      <c r="Q150" s="368">
        <f t="shared" si="32"/>
        <v>13</v>
      </c>
      <c r="R150" s="368">
        <f t="shared" si="32"/>
        <v>10</v>
      </c>
      <c r="S150" s="369">
        <f t="shared" si="27"/>
        <v>1320268.75</v>
      </c>
      <c r="T150" s="369">
        <f t="shared" si="28"/>
        <v>507767.8</v>
      </c>
      <c r="U150" s="366">
        <v>8</v>
      </c>
      <c r="V150" s="371">
        <v>4194377</v>
      </c>
      <c r="W150" s="368">
        <v>1</v>
      </c>
      <c r="X150" s="368">
        <v>0</v>
      </c>
      <c r="Y150" s="368">
        <v>1</v>
      </c>
      <c r="Z150" s="368">
        <f t="shared" si="33"/>
        <v>11</v>
      </c>
      <c r="AA150" s="368">
        <f t="shared" si="33"/>
        <v>0</v>
      </c>
      <c r="AB150" s="368">
        <f t="shared" si="33"/>
        <v>11</v>
      </c>
      <c r="AC150" s="369">
        <f t="shared" si="29"/>
        <v>2097188.5</v>
      </c>
      <c r="AD150" s="369">
        <f t="shared" si="30"/>
        <v>396543.88687500003</v>
      </c>
      <c r="AE150" s="364"/>
      <c r="AF150" s="364"/>
      <c r="AG150" s="364"/>
      <c r="AH150" s="364"/>
      <c r="AI150" s="364"/>
      <c r="AJ150" s="364"/>
      <c r="AK150" s="364"/>
      <c r="AL150" s="364"/>
      <c r="AN150" s="369"/>
    </row>
    <row r="151" spans="1:40" x14ac:dyDescent="0.3">
      <c r="A151" s="366">
        <v>9</v>
      </c>
      <c r="B151" s="371">
        <v>3862074</v>
      </c>
      <c r="C151" s="368">
        <v>0</v>
      </c>
      <c r="D151" s="368">
        <v>2</v>
      </c>
      <c r="E151" s="368">
        <v>0</v>
      </c>
      <c r="F151" s="368">
        <f t="shared" si="31"/>
        <v>0</v>
      </c>
      <c r="G151" s="368">
        <f t="shared" si="31"/>
        <v>18</v>
      </c>
      <c r="H151" s="368">
        <f t="shared" si="31"/>
        <v>0</v>
      </c>
      <c r="I151" s="369">
        <f t="shared" si="25"/>
        <v>1931037</v>
      </c>
      <c r="J151" s="369">
        <f t="shared" si="26"/>
        <v>862754.2077777778</v>
      </c>
      <c r="K151" s="366">
        <v>9</v>
      </c>
      <c r="L151" s="371">
        <v>6540612</v>
      </c>
      <c r="M151" s="368">
        <v>0</v>
      </c>
      <c r="N151" s="368">
        <v>1</v>
      </c>
      <c r="O151" s="368">
        <v>1</v>
      </c>
      <c r="P151" s="368">
        <f t="shared" si="32"/>
        <v>0</v>
      </c>
      <c r="Q151" s="368">
        <f t="shared" si="32"/>
        <v>14</v>
      </c>
      <c r="R151" s="368">
        <f t="shared" si="32"/>
        <v>11</v>
      </c>
      <c r="S151" s="369">
        <f t="shared" si="27"/>
        <v>3270306</v>
      </c>
      <c r="T151" s="369">
        <f t="shared" si="28"/>
        <v>1093440.8088888889</v>
      </c>
      <c r="U151" s="366">
        <v>9</v>
      </c>
      <c r="V151" s="371">
        <v>5194736</v>
      </c>
      <c r="W151" s="368">
        <v>2</v>
      </c>
      <c r="X151" s="368">
        <v>0</v>
      </c>
      <c r="Y151" s="368">
        <v>2</v>
      </c>
      <c r="Z151" s="368">
        <f t="shared" si="33"/>
        <v>13</v>
      </c>
      <c r="AA151" s="368">
        <f t="shared" si="33"/>
        <v>0</v>
      </c>
      <c r="AB151" s="368">
        <f t="shared" si="33"/>
        <v>13</v>
      </c>
      <c r="AC151" s="369">
        <f t="shared" si="29"/>
        <v>1298684</v>
      </c>
      <c r="AD151" s="369">
        <f t="shared" si="30"/>
        <v>275706.89</v>
      </c>
      <c r="AE151" s="364"/>
      <c r="AF151" s="364"/>
      <c r="AG151" s="364"/>
      <c r="AH151" s="364"/>
      <c r="AI151" s="364"/>
      <c r="AJ151" s="364"/>
      <c r="AK151" s="364"/>
      <c r="AL151" s="364"/>
      <c r="AN151" s="369"/>
    </row>
    <row r="153" spans="1:40" x14ac:dyDescent="0.3">
      <c r="A153" s="1030" t="s">
        <v>395</v>
      </c>
      <c r="B153" s="1030"/>
      <c r="C153" s="1030"/>
      <c r="D153" s="1030"/>
      <c r="E153" s="1030"/>
      <c r="F153" s="1030"/>
      <c r="G153" s="1030"/>
      <c r="H153" s="1030"/>
      <c r="I153" s="1030"/>
      <c r="J153" s="1030"/>
      <c r="K153" s="1030"/>
      <c r="L153" s="1030"/>
      <c r="M153" s="1030"/>
      <c r="N153" s="1030"/>
      <c r="P153" s="1035" t="s">
        <v>851</v>
      </c>
      <c r="Q153" s="1036"/>
      <c r="R153" s="1037"/>
    </row>
    <row r="154" spans="1:40" x14ac:dyDescent="0.3">
      <c r="P154" s="677" t="s">
        <v>218</v>
      </c>
      <c r="Q154" s="1020" t="s">
        <v>852</v>
      </c>
      <c r="R154" s="1020"/>
    </row>
    <row r="155" spans="1:40" x14ac:dyDescent="0.3">
      <c r="A155" s="372" t="s">
        <v>308</v>
      </c>
      <c r="B155" s="361" t="s">
        <v>381</v>
      </c>
      <c r="C155" s="361" t="s">
        <v>293</v>
      </c>
      <c r="D155" s="361" t="s">
        <v>382</v>
      </c>
      <c r="E155" s="361" t="s">
        <v>383</v>
      </c>
      <c r="F155" s="361" t="s">
        <v>390</v>
      </c>
      <c r="G155" s="361" t="s">
        <v>391</v>
      </c>
      <c r="H155" s="361" t="s">
        <v>392</v>
      </c>
      <c r="I155" s="361" t="s">
        <v>309</v>
      </c>
      <c r="J155" s="361" t="s">
        <v>294</v>
      </c>
      <c r="K155" s="361" t="s">
        <v>310</v>
      </c>
      <c r="L155" s="361" t="s">
        <v>394</v>
      </c>
      <c r="M155" s="361" t="s">
        <v>394</v>
      </c>
      <c r="P155" s="678" t="s">
        <v>849</v>
      </c>
      <c r="Q155" s="1019">
        <v>0</v>
      </c>
      <c r="R155" s="1019"/>
    </row>
    <row r="156" spans="1:40" x14ac:dyDescent="0.3">
      <c r="A156" s="361">
        <v>1</v>
      </c>
      <c r="B156" s="373">
        <v>1292539</v>
      </c>
      <c r="C156" s="373">
        <v>3311713</v>
      </c>
      <c r="D156" s="373">
        <v>1551354</v>
      </c>
      <c r="E156" s="373">
        <v>1504126</v>
      </c>
      <c r="F156" s="373">
        <v>510128</v>
      </c>
      <c r="G156" s="373">
        <v>459831</v>
      </c>
      <c r="H156" s="373">
        <v>454545</v>
      </c>
      <c r="I156" s="373">
        <v>3098104</v>
      </c>
      <c r="J156" s="373">
        <v>697674</v>
      </c>
      <c r="K156" s="373">
        <v>1181545</v>
      </c>
      <c r="L156" s="373">
        <v>938416</v>
      </c>
      <c r="M156" s="373">
        <v>938416</v>
      </c>
      <c r="O156" s="374"/>
      <c r="P156" s="679" t="s">
        <v>853</v>
      </c>
      <c r="Q156" s="1019">
        <v>200000</v>
      </c>
      <c r="R156" s="1019"/>
      <c r="S156" s="374"/>
      <c r="T156" s="374"/>
      <c r="V156" s="374"/>
      <c r="X156" s="374"/>
    </row>
    <row r="157" spans="1:40" x14ac:dyDescent="0.3">
      <c r="A157" s="361">
        <v>2</v>
      </c>
      <c r="B157" s="373">
        <v>1600810</v>
      </c>
      <c r="C157" s="373">
        <v>4101586</v>
      </c>
      <c r="D157" s="373">
        <v>1921352</v>
      </c>
      <c r="E157" s="373">
        <v>1862860</v>
      </c>
      <c r="F157" s="373">
        <v>631794</v>
      </c>
      <c r="G157" s="373">
        <v>569501</v>
      </c>
      <c r="H157" s="373">
        <v>562954</v>
      </c>
      <c r="I157" s="373">
        <v>3837002</v>
      </c>
      <c r="J157" s="373">
        <v>864069</v>
      </c>
      <c r="K157" s="373">
        <v>1463343</v>
      </c>
      <c r="L157" s="373">
        <v>1162228</v>
      </c>
      <c r="M157" s="373">
        <v>1162228</v>
      </c>
      <c r="O157" s="374"/>
      <c r="P157" s="680">
        <v>1</v>
      </c>
      <c r="Q157" s="1019">
        <v>250000</v>
      </c>
      <c r="R157" s="1019"/>
      <c r="S157" s="374"/>
      <c r="T157" s="374"/>
      <c r="V157" s="374"/>
      <c r="X157" s="374"/>
    </row>
    <row r="158" spans="1:40" x14ac:dyDescent="0.3">
      <c r="A158" s="361">
        <v>3</v>
      </c>
      <c r="B158" s="373">
        <v>1982603</v>
      </c>
      <c r="C158" s="373">
        <v>5079815</v>
      </c>
      <c r="D158" s="373">
        <v>2379594</v>
      </c>
      <c r="E158" s="373">
        <v>2307152</v>
      </c>
      <c r="F158" s="373">
        <v>782476</v>
      </c>
      <c r="G158" s="373">
        <v>705327</v>
      </c>
      <c r="H158" s="373">
        <v>697219</v>
      </c>
      <c r="I158" s="373">
        <v>4752127</v>
      </c>
      <c r="J158" s="373">
        <v>1070150</v>
      </c>
      <c r="K158" s="373">
        <v>1812351</v>
      </c>
      <c r="L158" s="373">
        <v>1439420</v>
      </c>
      <c r="M158" s="373">
        <v>1439420</v>
      </c>
      <c r="O158" s="374"/>
      <c r="P158" s="680">
        <v>2</v>
      </c>
      <c r="Q158" s="1019">
        <v>300000</v>
      </c>
      <c r="R158" s="1019"/>
      <c r="S158" s="374"/>
      <c r="T158" s="374"/>
      <c r="V158" s="374"/>
      <c r="X158" s="374"/>
    </row>
    <row r="159" spans="1:40" x14ac:dyDescent="0.3">
      <c r="A159" s="361">
        <v>4</v>
      </c>
      <c r="B159" s="373">
        <v>2455453</v>
      </c>
      <c r="C159" s="373">
        <v>6291350</v>
      </c>
      <c r="D159" s="373">
        <v>2947128</v>
      </c>
      <c r="E159" s="373">
        <v>2857408</v>
      </c>
      <c r="F159" s="373">
        <v>969097</v>
      </c>
      <c r="G159" s="373">
        <v>873547</v>
      </c>
      <c r="H159" s="373">
        <v>863505</v>
      </c>
      <c r="I159" s="373">
        <v>5885509</v>
      </c>
      <c r="J159" s="373">
        <v>1325380</v>
      </c>
      <c r="K159" s="373">
        <v>2244597</v>
      </c>
      <c r="L159" s="373">
        <v>1782721</v>
      </c>
      <c r="M159" s="373">
        <v>1782721</v>
      </c>
      <c r="O159" s="374"/>
      <c r="P159" s="680">
        <v>3</v>
      </c>
      <c r="Q159" s="1019">
        <v>350000</v>
      </c>
      <c r="R159" s="1019"/>
      <c r="S159" s="374"/>
      <c r="T159" s="374"/>
      <c r="V159" s="374"/>
      <c r="X159" s="374"/>
    </row>
    <row r="160" spans="1:40" x14ac:dyDescent="0.3">
      <c r="A160" s="361">
        <v>5</v>
      </c>
      <c r="B160" s="373">
        <v>3041079</v>
      </c>
      <c r="C160" s="373">
        <v>7791837</v>
      </c>
      <c r="D160" s="373">
        <v>3650018</v>
      </c>
      <c r="E160" s="373">
        <v>3538900</v>
      </c>
      <c r="F160" s="373">
        <v>1200226</v>
      </c>
      <c r="G160" s="373">
        <v>1081888</v>
      </c>
      <c r="H160" s="373">
        <v>1069451</v>
      </c>
      <c r="I160" s="373">
        <v>7289203</v>
      </c>
      <c r="J160" s="373">
        <v>1641484</v>
      </c>
      <c r="K160" s="373">
        <v>2779933</v>
      </c>
      <c r="L160" s="373">
        <v>2207900</v>
      </c>
      <c r="M160" s="373">
        <v>2207900</v>
      </c>
      <c r="O160" s="374"/>
      <c r="P160" s="680">
        <v>4</v>
      </c>
      <c r="Q160" s="1019">
        <v>400000</v>
      </c>
      <c r="R160" s="1019"/>
      <c r="S160" s="374"/>
      <c r="T160" s="374"/>
      <c r="V160" s="374"/>
      <c r="X160" s="374"/>
    </row>
    <row r="161" spans="1:25" x14ac:dyDescent="0.3">
      <c r="A161" s="361">
        <v>6</v>
      </c>
      <c r="B161" s="373">
        <v>3766376</v>
      </c>
      <c r="C161" s="373">
        <v>9650191</v>
      </c>
      <c r="D161" s="373">
        <v>4520547</v>
      </c>
      <c r="E161" s="373">
        <v>4382927</v>
      </c>
      <c r="F161" s="373">
        <v>1486481</v>
      </c>
      <c r="G161" s="373">
        <v>1339918</v>
      </c>
      <c r="H161" s="373">
        <v>1324515</v>
      </c>
      <c r="I161" s="373">
        <v>9027678</v>
      </c>
      <c r="J161" s="373">
        <v>2032978</v>
      </c>
      <c r="K161" s="373">
        <v>3442947</v>
      </c>
      <c r="L161" s="373">
        <v>2734484</v>
      </c>
      <c r="M161" s="373">
        <v>2734484</v>
      </c>
      <c r="O161" s="374"/>
      <c r="P161" s="680">
        <v>5</v>
      </c>
      <c r="Q161" s="1019">
        <v>450000</v>
      </c>
      <c r="R161" s="1019"/>
      <c r="S161" s="374"/>
      <c r="T161" s="374"/>
      <c r="V161" s="374"/>
      <c r="X161" s="374"/>
    </row>
    <row r="162" spans="1:25" x14ac:dyDescent="0.3">
      <c r="A162" s="361">
        <v>7</v>
      </c>
      <c r="B162" s="373">
        <v>4664657</v>
      </c>
      <c r="C162" s="373">
        <v>11951761</v>
      </c>
      <c r="D162" s="373">
        <v>5598697</v>
      </c>
      <c r="E162" s="373">
        <v>5428256</v>
      </c>
      <c r="F162" s="373">
        <v>1841006</v>
      </c>
      <c r="G162" s="373">
        <v>1659489</v>
      </c>
      <c r="H162" s="373">
        <v>1640412</v>
      </c>
      <c r="I162" s="373">
        <v>11180779</v>
      </c>
      <c r="J162" s="373">
        <v>2517843</v>
      </c>
      <c r="K162" s="373">
        <v>4264090</v>
      </c>
      <c r="L162" s="373">
        <v>3386659</v>
      </c>
      <c r="M162" s="373">
        <v>3386659</v>
      </c>
      <c r="O162" s="374"/>
      <c r="P162" s="680">
        <v>6</v>
      </c>
      <c r="Q162" s="1019">
        <v>500000</v>
      </c>
      <c r="R162" s="1019"/>
      <c r="S162" s="374"/>
      <c r="T162" s="374"/>
      <c r="V162" s="374"/>
      <c r="X162" s="374"/>
    </row>
    <row r="163" spans="1:25" x14ac:dyDescent="0.3">
      <c r="A163" s="361">
        <v>8</v>
      </c>
      <c r="B163" s="373">
        <v>5777178</v>
      </c>
      <c r="C163" s="373">
        <v>14802256</v>
      </c>
      <c r="D163" s="373">
        <v>6933986</v>
      </c>
      <c r="E163" s="373">
        <v>6722894</v>
      </c>
      <c r="F163" s="373">
        <v>2280086</v>
      </c>
      <c r="G163" s="373">
        <v>2055277</v>
      </c>
      <c r="H163" s="373">
        <v>2031650</v>
      </c>
      <c r="I163" s="373">
        <v>13847395</v>
      </c>
      <c r="J163" s="373">
        <v>3118348</v>
      </c>
      <c r="K163" s="373">
        <v>5281075</v>
      </c>
      <c r="L163" s="373">
        <v>4194377</v>
      </c>
      <c r="M163" s="373">
        <v>4194377</v>
      </c>
      <c r="O163" s="374"/>
      <c r="P163" s="680">
        <v>7</v>
      </c>
      <c r="Q163" s="1019">
        <v>550000</v>
      </c>
      <c r="R163" s="1019"/>
      <c r="S163" s="374"/>
      <c r="T163" s="374"/>
      <c r="V163" s="374"/>
      <c r="X163" s="374"/>
    </row>
    <row r="164" spans="1:25" x14ac:dyDescent="0.3">
      <c r="A164" s="361">
        <v>9</v>
      </c>
      <c r="B164" s="373">
        <f t="shared" ref="B164:I164" si="34">B163*1.2385</f>
        <v>7155034.9529999997</v>
      </c>
      <c r="C164" s="373">
        <f t="shared" si="34"/>
        <v>18332594.055999998</v>
      </c>
      <c r="D164" s="373">
        <f t="shared" si="34"/>
        <v>8587741.6610000003</v>
      </c>
      <c r="E164" s="373">
        <f t="shared" si="34"/>
        <v>8326304.2189999996</v>
      </c>
      <c r="F164" s="373">
        <f t="shared" si="34"/>
        <v>2823886.5109999999</v>
      </c>
      <c r="G164" s="373">
        <f t="shared" si="34"/>
        <v>2545460.5644999999</v>
      </c>
      <c r="H164" s="373">
        <f t="shared" si="34"/>
        <v>2516198.5249999999</v>
      </c>
      <c r="I164" s="373">
        <f t="shared" si="34"/>
        <v>17149998.7075</v>
      </c>
      <c r="J164" s="373">
        <f>J163*1.2385</f>
        <v>3862073.9979999997</v>
      </c>
      <c r="K164" s="373">
        <f>K163*1.2385</f>
        <v>6540611.3874999993</v>
      </c>
      <c r="L164" s="373">
        <f>L163*1.2385</f>
        <v>5194735.9145</v>
      </c>
      <c r="M164" s="373">
        <f>M163*1.2385</f>
        <v>5194735.9145</v>
      </c>
      <c r="O164" s="374"/>
      <c r="P164" s="680">
        <v>8</v>
      </c>
      <c r="Q164" s="1019">
        <v>600000</v>
      </c>
      <c r="R164" s="1019"/>
      <c r="S164" s="374"/>
      <c r="T164" s="374"/>
      <c r="V164" s="374"/>
      <c r="X164" s="374"/>
    </row>
    <row r="165" spans="1:25" x14ac:dyDescent="0.3">
      <c r="P165" s="680"/>
      <c r="Q165" s="1019">
        <v>0</v>
      </c>
      <c r="R165" s="1019"/>
    </row>
    <row r="166" spans="1:25" x14ac:dyDescent="0.3">
      <c r="A166" s="375" t="s">
        <v>405</v>
      </c>
      <c r="B166" s="375" t="s">
        <v>406</v>
      </c>
      <c r="C166" s="375" t="s">
        <v>55</v>
      </c>
      <c r="D166" s="376"/>
      <c r="E166" s="375" t="s">
        <v>405</v>
      </c>
      <c r="F166" s="377" t="s">
        <v>2</v>
      </c>
      <c r="G166" s="378"/>
      <c r="H166" s="379" t="s">
        <v>164</v>
      </c>
      <c r="I166" s="376"/>
      <c r="J166" s="376"/>
      <c r="K166" s="380" t="s">
        <v>407</v>
      </c>
      <c r="L166" s="381">
        <v>0</v>
      </c>
      <c r="N166" s="655" t="s">
        <v>837</v>
      </c>
      <c r="O166" s="655"/>
      <c r="P166" s="653">
        <v>0</v>
      </c>
      <c r="Q166"/>
      <c r="R166"/>
      <c r="S166" s="514" t="s">
        <v>758</v>
      </c>
      <c r="T166" s="378"/>
      <c r="U166" s="378"/>
      <c r="Y166" s="378"/>
    </row>
    <row r="167" spans="1:25" x14ac:dyDescent="0.3">
      <c r="A167" s="382" t="s">
        <v>797</v>
      </c>
      <c r="B167" s="381">
        <v>0</v>
      </c>
      <c r="C167" s="381">
        <v>0</v>
      </c>
      <c r="D167" s="376"/>
      <c r="E167" s="380" t="s">
        <v>409</v>
      </c>
      <c r="F167" s="383">
        <v>0</v>
      </c>
      <c r="G167" s="378"/>
      <c r="H167" s="379" t="s">
        <v>109</v>
      </c>
      <c r="I167" s="376"/>
      <c r="J167" s="376"/>
      <c r="K167" s="380" t="s">
        <v>410</v>
      </c>
      <c r="L167" s="380">
        <v>1000000</v>
      </c>
      <c r="N167" s="656" t="s">
        <v>838</v>
      </c>
      <c r="O167" s="657"/>
      <c r="P167" s="654">
        <v>1500000</v>
      </c>
      <c r="Q167"/>
      <c r="R167"/>
      <c r="S167" s="513" t="s">
        <v>288</v>
      </c>
      <c r="T167" s="378"/>
      <c r="U167" s="378"/>
      <c r="Y167" s="376"/>
    </row>
    <row r="168" spans="1:25" x14ac:dyDescent="0.3">
      <c r="A168" s="380" t="s">
        <v>411</v>
      </c>
      <c r="B168" s="381">
        <v>2500000</v>
      </c>
      <c r="C168" s="381">
        <v>22000000</v>
      </c>
      <c r="D168" s="384"/>
      <c r="E168" s="380" t="s">
        <v>411</v>
      </c>
      <c r="F168" s="383">
        <v>30000000</v>
      </c>
      <c r="G168" s="378"/>
      <c r="H168" s="384" t="s">
        <v>849</v>
      </c>
      <c r="I168" s="381">
        <v>0</v>
      </c>
      <c r="J168" s="376"/>
      <c r="K168" s="380" t="s">
        <v>412</v>
      </c>
      <c r="L168" s="380">
        <v>900000</v>
      </c>
      <c r="N168" s="656" t="s">
        <v>839</v>
      </c>
      <c r="O168" s="657"/>
      <c r="P168" s="654">
        <v>1000000</v>
      </c>
      <c r="Q168"/>
      <c r="R168"/>
      <c r="S168" s="513" t="s">
        <v>143</v>
      </c>
      <c r="T168" s="378"/>
      <c r="U168" s="378"/>
      <c r="Y168" s="376"/>
    </row>
    <row r="169" spans="1:25" x14ac:dyDescent="0.3">
      <c r="A169" s="380" t="s">
        <v>413</v>
      </c>
      <c r="B169" s="381">
        <v>2250000</v>
      </c>
      <c r="C169" s="381">
        <v>21620513</v>
      </c>
      <c r="D169" s="384"/>
      <c r="E169" s="380" t="s">
        <v>413</v>
      </c>
      <c r="F169" s="380">
        <v>22000000</v>
      </c>
      <c r="G169" s="378"/>
      <c r="H169" s="379" t="s">
        <v>288</v>
      </c>
      <c r="I169" s="380">
        <v>1000000</v>
      </c>
      <c r="J169" s="376"/>
      <c r="K169" s="380" t="s">
        <v>414</v>
      </c>
      <c r="L169" s="380">
        <v>800000</v>
      </c>
      <c r="N169" s="656" t="s">
        <v>840</v>
      </c>
      <c r="O169" s="657"/>
      <c r="P169" s="654">
        <v>1250000</v>
      </c>
      <c r="Q169"/>
      <c r="R169"/>
      <c r="S169" s="513" t="s">
        <v>142</v>
      </c>
      <c r="T169" s="378"/>
      <c r="U169" s="378"/>
      <c r="Y169" s="376"/>
    </row>
    <row r="170" spans="1:25" x14ac:dyDescent="0.3">
      <c r="A170" s="380" t="s">
        <v>415</v>
      </c>
      <c r="B170" s="381">
        <f>B169-250000</f>
        <v>2000000</v>
      </c>
      <c r="C170" s="381">
        <v>21341026</v>
      </c>
      <c r="D170" s="384"/>
      <c r="E170" s="380" t="s">
        <v>415</v>
      </c>
      <c r="F170" s="380">
        <v>18000000</v>
      </c>
      <c r="G170" s="378"/>
      <c r="H170" s="379" t="s">
        <v>143</v>
      </c>
      <c r="I170" s="380">
        <v>900000</v>
      </c>
      <c r="J170" s="376"/>
      <c r="K170" s="380" t="s">
        <v>416</v>
      </c>
      <c r="L170" s="380">
        <v>700000</v>
      </c>
      <c r="N170" s="384"/>
      <c r="O170"/>
      <c r="P170"/>
      <c r="Q170"/>
      <c r="R170"/>
      <c r="S170" s="513" t="s">
        <v>420</v>
      </c>
      <c r="T170" s="378"/>
      <c r="U170" s="378"/>
      <c r="Y170" s="376"/>
    </row>
    <row r="171" spans="1:25" x14ac:dyDescent="0.3">
      <c r="A171" s="380" t="s">
        <v>417</v>
      </c>
      <c r="B171" s="381">
        <f>B170-150000</f>
        <v>1850000</v>
      </c>
      <c r="C171" s="381">
        <v>21061538</v>
      </c>
      <c r="D171" s="384"/>
      <c r="E171" s="380" t="s">
        <v>417</v>
      </c>
      <c r="F171" s="380">
        <v>15000000</v>
      </c>
      <c r="G171" s="378"/>
      <c r="H171" s="379" t="s">
        <v>142</v>
      </c>
      <c r="I171" s="380">
        <v>800000</v>
      </c>
      <c r="J171" s="376"/>
      <c r="K171" s="380" t="s">
        <v>418</v>
      </c>
      <c r="L171" s="380">
        <v>600000</v>
      </c>
      <c r="N171" s="384"/>
      <c r="O171" s="378"/>
      <c r="P171" s="378"/>
      <c r="R171" s="385"/>
      <c r="S171" s="515" t="s">
        <v>140</v>
      </c>
      <c r="T171" s="378"/>
      <c r="U171" s="378"/>
      <c r="Y171" s="376"/>
    </row>
    <row r="172" spans="1:25" x14ac:dyDescent="0.3">
      <c r="A172" s="380" t="s">
        <v>419</v>
      </c>
      <c r="B172" s="381">
        <f t="shared" ref="B172:B207" si="35">B171-50000</f>
        <v>1800000</v>
      </c>
      <c r="C172" s="381">
        <v>20782051</v>
      </c>
      <c r="D172" s="384"/>
      <c r="E172" s="380" t="s">
        <v>419</v>
      </c>
      <c r="F172" s="380">
        <v>12000000</v>
      </c>
      <c r="G172" s="378"/>
      <c r="H172" s="379" t="s">
        <v>420</v>
      </c>
      <c r="I172" s="380">
        <v>700000</v>
      </c>
      <c r="J172" s="376"/>
      <c r="K172" s="376"/>
      <c r="L172" s="376"/>
      <c r="N172" s="384"/>
      <c r="O172" s="378"/>
      <c r="P172" s="378"/>
      <c r="R172" s="385"/>
      <c r="S172" s="378"/>
      <c r="T172" s="378"/>
      <c r="U172" s="378"/>
      <c r="Y172" s="376"/>
    </row>
    <row r="173" spans="1:25" x14ac:dyDescent="0.3">
      <c r="A173" s="380" t="s">
        <v>421</v>
      </c>
      <c r="B173" s="381">
        <f t="shared" si="35"/>
        <v>1750000</v>
      </c>
      <c r="C173" s="381">
        <f t="shared" ref="C173:C207" si="36">C172-279487.171428571</f>
        <v>20502563.828571428</v>
      </c>
      <c r="D173" s="384"/>
      <c r="E173" s="380" t="s">
        <v>421</v>
      </c>
      <c r="F173" s="380">
        <v>10000000</v>
      </c>
      <c r="G173" s="378"/>
      <c r="H173" s="379" t="s">
        <v>140</v>
      </c>
      <c r="I173" s="380">
        <v>600000</v>
      </c>
      <c r="J173" s="376"/>
      <c r="K173" s="379" t="s">
        <v>842</v>
      </c>
      <c r="L173" s="659">
        <v>0</v>
      </c>
      <c r="N173" s="384"/>
      <c r="O173" s="378"/>
      <c r="P173" s="378"/>
      <c r="R173" s="385"/>
      <c r="S173" s="378"/>
      <c r="T173" s="378"/>
      <c r="U173" s="378"/>
      <c r="Y173" s="376"/>
    </row>
    <row r="174" spans="1:25" x14ac:dyDescent="0.3">
      <c r="A174" s="380" t="s">
        <v>423</v>
      </c>
      <c r="B174" s="381">
        <f t="shared" si="35"/>
        <v>1700000</v>
      </c>
      <c r="C174" s="381">
        <f t="shared" si="36"/>
        <v>20223076.657142855</v>
      </c>
      <c r="D174" s="384"/>
      <c r="E174" s="380" t="s">
        <v>423</v>
      </c>
      <c r="F174" s="380">
        <v>8000000</v>
      </c>
      <c r="G174" s="378"/>
      <c r="H174" s="376"/>
      <c r="I174" s="376"/>
      <c r="J174" s="376"/>
      <c r="K174" s="379" t="s">
        <v>843</v>
      </c>
      <c r="L174" s="659">
        <v>750000</v>
      </c>
      <c r="N174" s="384"/>
      <c r="O174" s="378"/>
      <c r="P174" s="378"/>
      <c r="R174" s="385"/>
      <c r="S174" s="378"/>
      <c r="T174" s="378"/>
      <c r="U174" s="378"/>
      <c r="Y174" s="376"/>
    </row>
    <row r="175" spans="1:25" x14ac:dyDescent="0.3">
      <c r="A175" s="380" t="s">
        <v>425</v>
      </c>
      <c r="B175" s="381">
        <f t="shared" si="35"/>
        <v>1650000</v>
      </c>
      <c r="C175" s="381">
        <f t="shared" si="36"/>
        <v>19943589.485714283</v>
      </c>
      <c r="D175" s="384"/>
      <c r="E175" s="380" t="s">
        <v>425</v>
      </c>
      <c r="F175" s="380">
        <v>6000000</v>
      </c>
      <c r="G175" s="378"/>
      <c r="H175" s="379" t="s">
        <v>422</v>
      </c>
      <c r="I175" s="376"/>
      <c r="J175" s="376"/>
      <c r="K175" s="379" t="s">
        <v>426</v>
      </c>
      <c r="L175" s="659">
        <v>700000</v>
      </c>
      <c r="N175" s="384"/>
      <c r="O175" s="378"/>
      <c r="P175" s="378"/>
      <c r="R175" s="385"/>
      <c r="S175" s="378"/>
      <c r="T175" s="378"/>
      <c r="U175" s="378"/>
      <c r="Y175" s="376"/>
    </row>
    <row r="176" spans="1:25" x14ac:dyDescent="0.3">
      <c r="A176" s="380" t="s">
        <v>427</v>
      </c>
      <c r="B176" s="381">
        <f t="shared" si="35"/>
        <v>1600000</v>
      </c>
      <c r="C176" s="381">
        <f t="shared" si="36"/>
        <v>19664102.31428571</v>
      </c>
      <c r="D176" s="384"/>
      <c r="E176" s="380" t="s">
        <v>427</v>
      </c>
      <c r="F176" s="380">
        <v>4000000</v>
      </c>
      <c r="G176" s="378"/>
      <c r="H176" s="379" t="s">
        <v>293</v>
      </c>
      <c r="I176" s="376"/>
      <c r="J176" s="376"/>
      <c r="K176" s="379" t="s">
        <v>845</v>
      </c>
      <c r="L176" s="659">
        <v>500000</v>
      </c>
      <c r="N176" s="384"/>
      <c r="O176" s="378"/>
      <c r="P176" s="378"/>
      <c r="R176" s="385"/>
      <c r="S176" s="378"/>
      <c r="T176" s="378"/>
      <c r="U176" s="378"/>
      <c r="Y176" s="376"/>
    </row>
    <row r="177" spans="1:25" x14ac:dyDescent="0.3">
      <c r="A177" s="380" t="s">
        <v>428</v>
      </c>
      <c r="B177" s="381">
        <f t="shared" si="35"/>
        <v>1550000</v>
      </c>
      <c r="C177" s="381">
        <f t="shared" si="36"/>
        <v>19384615.142857138</v>
      </c>
      <c r="D177" s="384"/>
      <c r="E177" s="380" t="s">
        <v>428</v>
      </c>
      <c r="F177" s="380">
        <v>2000000</v>
      </c>
      <c r="G177" s="378"/>
      <c r="H177" s="379" t="s">
        <v>391</v>
      </c>
      <c r="I177" s="384"/>
      <c r="J177" s="384"/>
      <c r="K177" s="379" t="s">
        <v>846</v>
      </c>
      <c r="L177" s="659">
        <v>600000</v>
      </c>
      <c r="N177" s="384"/>
      <c r="O177" s="378"/>
      <c r="P177" s="378"/>
      <c r="R177" s="385"/>
      <c r="S177" s="378"/>
      <c r="T177" s="378"/>
      <c r="U177" s="378"/>
      <c r="Y177" s="376"/>
    </row>
    <row r="178" spans="1:25" x14ac:dyDescent="0.3">
      <c r="A178" s="380" t="s">
        <v>429</v>
      </c>
      <c r="B178" s="386">
        <f t="shared" si="35"/>
        <v>1500000</v>
      </c>
      <c r="C178" s="386">
        <f t="shared" si="36"/>
        <v>19105127.971428566</v>
      </c>
      <c r="D178" s="384"/>
      <c r="E178" s="380" t="s">
        <v>430</v>
      </c>
      <c r="F178" s="383">
        <v>24000000</v>
      </c>
      <c r="G178" s="378"/>
      <c r="H178" s="379" t="s">
        <v>431</v>
      </c>
      <c r="I178" s="384"/>
      <c r="J178" s="384"/>
      <c r="K178" s="379" t="s">
        <v>847</v>
      </c>
      <c r="L178" s="659">
        <v>400000</v>
      </c>
      <c r="N178" s="384"/>
      <c r="O178" s="378"/>
      <c r="P178" s="378"/>
      <c r="R178" s="385"/>
      <c r="S178" s="378"/>
      <c r="T178" s="378"/>
      <c r="U178" s="378"/>
      <c r="Y178" s="376"/>
    </row>
    <row r="179" spans="1:25" x14ac:dyDescent="0.3">
      <c r="A179" s="380" t="s">
        <v>432</v>
      </c>
      <c r="B179" s="381">
        <f t="shared" si="35"/>
        <v>1450000</v>
      </c>
      <c r="C179" s="381">
        <f t="shared" si="36"/>
        <v>18825640.799999993</v>
      </c>
      <c r="D179" s="384"/>
      <c r="E179" s="380" t="s">
        <v>433</v>
      </c>
      <c r="F179" s="380">
        <v>17600000</v>
      </c>
      <c r="G179" s="378"/>
      <c r="H179" s="379" t="s">
        <v>383</v>
      </c>
      <c r="I179" s="384"/>
      <c r="J179" s="384"/>
      <c r="K179" s="379" t="s">
        <v>434</v>
      </c>
      <c r="L179" s="659">
        <v>550000</v>
      </c>
      <c r="N179" s="384"/>
      <c r="O179" s="378"/>
      <c r="P179" s="378"/>
      <c r="R179" s="385"/>
      <c r="S179" s="378"/>
      <c r="T179" s="378"/>
      <c r="U179" s="378"/>
      <c r="Y179" s="376"/>
    </row>
    <row r="180" spans="1:25" x14ac:dyDescent="0.3">
      <c r="A180" s="380" t="s">
        <v>435</v>
      </c>
      <c r="B180" s="381">
        <f t="shared" si="35"/>
        <v>1400000</v>
      </c>
      <c r="C180" s="381">
        <f t="shared" si="36"/>
        <v>18546153.628571421</v>
      </c>
      <c r="D180" s="384"/>
      <c r="E180" s="380" t="s">
        <v>436</v>
      </c>
      <c r="F180" s="380">
        <v>14400000</v>
      </c>
      <c r="G180" s="378"/>
      <c r="H180" s="379" t="s">
        <v>382</v>
      </c>
      <c r="I180" s="384"/>
      <c r="J180" s="384"/>
      <c r="K180" s="380" t="s">
        <v>844</v>
      </c>
      <c r="L180" s="659">
        <v>500000</v>
      </c>
      <c r="N180" s="384"/>
      <c r="O180" s="378"/>
      <c r="P180" s="378"/>
      <c r="R180" s="385"/>
      <c r="S180" s="378"/>
      <c r="T180" s="378"/>
      <c r="U180" s="378"/>
      <c r="Y180" s="376"/>
    </row>
    <row r="181" spans="1:25" x14ac:dyDescent="0.3">
      <c r="A181" s="380" t="s">
        <v>437</v>
      </c>
      <c r="B181" s="381">
        <f t="shared" si="35"/>
        <v>1350000</v>
      </c>
      <c r="C181" s="381">
        <f t="shared" si="36"/>
        <v>18266666.457142849</v>
      </c>
      <c r="D181" s="384"/>
      <c r="E181" s="380" t="s">
        <v>438</v>
      </c>
      <c r="F181" s="380">
        <v>12000000</v>
      </c>
      <c r="G181" s="378"/>
      <c r="H181" s="379" t="s">
        <v>439</v>
      </c>
      <c r="I181" s="384"/>
      <c r="J181" s="384"/>
      <c r="K181" s="658" t="s">
        <v>440</v>
      </c>
      <c r="L181" s="376"/>
      <c r="N181" s="384"/>
      <c r="O181" s="378"/>
      <c r="P181" s="378"/>
      <c r="R181" s="385"/>
      <c r="S181" s="378"/>
      <c r="T181" s="378"/>
      <c r="U181" s="378"/>
      <c r="Y181" s="376"/>
    </row>
    <row r="182" spans="1:25" x14ac:dyDescent="0.3">
      <c r="A182" s="380" t="s">
        <v>441</v>
      </c>
      <c r="B182" s="381">
        <f t="shared" si="35"/>
        <v>1300000</v>
      </c>
      <c r="C182" s="381">
        <f t="shared" si="36"/>
        <v>17987179.285714276</v>
      </c>
      <c r="D182" s="384"/>
      <c r="E182" s="380" t="s">
        <v>442</v>
      </c>
      <c r="F182" s="380">
        <v>9600000</v>
      </c>
      <c r="G182" s="378"/>
      <c r="H182" s="376"/>
      <c r="I182" s="384"/>
      <c r="J182" s="384"/>
      <c r="K182" s="379" t="s">
        <v>443</v>
      </c>
      <c r="L182" s="376"/>
      <c r="N182" s="384"/>
      <c r="O182" s="378"/>
      <c r="P182" s="378"/>
      <c r="R182" s="385"/>
      <c r="S182" s="378"/>
      <c r="T182" s="378"/>
      <c r="U182" s="378"/>
      <c r="Y182" s="376"/>
    </row>
    <row r="183" spans="1:25" x14ac:dyDescent="0.3">
      <c r="A183" s="380" t="s">
        <v>444</v>
      </c>
      <c r="B183" s="381">
        <f t="shared" si="35"/>
        <v>1250000</v>
      </c>
      <c r="C183" s="381">
        <f t="shared" si="36"/>
        <v>17707692.114285704</v>
      </c>
      <c r="D183" s="384"/>
      <c r="E183" s="380" t="s">
        <v>445</v>
      </c>
      <c r="F183" s="380">
        <v>8000000</v>
      </c>
      <c r="G183" s="378"/>
      <c r="H183" s="387" t="s">
        <v>446</v>
      </c>
      <c r="I183" s="384"/>
      <c r="J183" s="384"/>
      <c r="K183" s="379" t="s">
        <v>447</v>
      </c>
      <c r="L183" s="376"/>
      <c r="N183" s="384"/>
      <c r="O183" s="378"/>
      <c r="P183" s="378"/>
      <c r="R183" s="385"/>
      <c r="S183" s="378"/>
      <c r="T183" s="378"/>
      <c r="U183" s="378"/>
      <c r="Y183" s="376"/>
    </row>
    <row r="184" spans="1:25" x14ac:dyDescent="0.3">
      <c r="A184" s="380" t="s">
        <v>448</v>
      </c>
      <c r="B184" s="381">
        <f t="shared" si="35"/>
        <v>1200000</v>
      </c>
      <c r="C184" s="381">
        <f t="shared" si="36"/>
        <v>17428204.942857131</v>
      </c>
      <c r="D184" s="384"/>
      <c r="E184" s="380" t="s">
        <v>449</v>
      </c>
      <c r="F184" s="380">
        <v>6400000</v>
      </c>
      <c r="G184" s="378"/>
      <c r="H184" s="387" t="s">
        <v>450</v>
      </c>
      <c r="I184" s="384"/>
      <c r="J184" s="384"/>
      <c r="K184" s="379" t="s">
        <v>451</v>
      </c>
      <c r="L184" s="376"/>
      <c r="N184" s="384"/>
      <c r="O184" s="378"/>
      <c r="P184" s="378"/>
      <c r="R184" s="385"/>
      <c r="S184" s="378"/>
      <c r="T184" s="378"/>
      <c r="U184" s="378"/>
      <c r="Y184" s="376"/>
    </row>
    <row r="185" spans="1:25" x14ac:dyDescent="0.3">
      <c r="A185" s="380" t="s">
        <v>452</v>
      </c>
      <c r="B185" s="381">
        <f t="shared" si="35"/>
        <v>1150000</v>
      </c>
      <c r="C185" s="381">
        <f t="shared" si="36"/>
        <v>17148717.771428559</v>
      </c>
      <c r="D185" s="384"/>
      <c r="E185" s="380" t="s">
        <v>453</v>
      </c>
      <c r="F185" s="380">
        <v>4800000</v>
      </c>
      <c r="G185" s="378"/>
      <c r="H185" s="387" t="s">
        <v>396</v>
      </c>
      <c r="I185" s="384"/>
      <c r="J185" s="384"/>
      <c r="K185" s="382" t="s">
        <v>797</v>
      </c>
      <c r="L185" s="381">
        <v>0</v>
      </c>
      <c r="N185" s="384"/>
      <c r="O185" s="378"/>
      <c r="P185" s="378"/>
      <c r="R185" s="385"/>
      <c r="S185" s="378"/>
      <c r="T185" s="378"/>
      <c r="U185" s="378"/>
      <c r="Y185" s="376"/>
    </row>
    <row r="186" spans="1:25" x14ac:dyDescent="0.3">
      <c r="A186" s="380" t="s">
        <v>454</v>
      </c>
      <c r="B186" s="381">
        <f t="shared" si="35"/>
        <v>1100000</v>
      </c>
      <c r="C186" s="381">
        <f t="shared" si="36"/>
        <v>16869230.599999987</v>
      </c>
      <c r="D186" s="384"/>
      <c r="E186" s="380" t="s">
        <v>455</v>
      </c>
      <c r="F186" s="380">
        <v>3200000</v>
      </c>
      <c r="G186" s="378"/>
      <c r="H186" s="387" t="s">
        <v>397</v>
      </c>
      <c r="I186" s="384"/>
      <c r="J186" s="384"/>
      <c r="K186" s="387" t="s">
        <v>343</v>
      </c>
      <c r="L186" s="652">
        <v>250000</v>
      </c>
      <c r="N186" s="384"/>
      <c r="O186" s="378"/>
      <c r="P186" s="378"/>
      <c r="R186" s="385"/>
      <c r="S186" s="378"/>
      <c r="T186" s="378"/>
      <c r="U186" s="378"/>
      <c r="Y186" s="376"/>
    </row>
    <row r="187" spans="1:25" x14ac:dyDescent="0.3">
      <c r="A187" s="380" t="s">
        <v>456</v>
      </c>
      <c r="B187" s="381">
        <f t="shared" si="35"/>
        <v>1050000</v>
      </c>
      <c r="C187" s="381">
        <f t="shared" si="36"/>
        <v>16589743.428571416</v>
      </c>
      <c r="D187" s="384"/>
      <c r="E187" s="380" t="s">
        <v>457</v>
      </c>
      <c r="F187" s="380">
        <v>1600000</v>
      </c>
      <c r="G187" s="378"/>
      <c r="H187" s="387" t="s">
        <v>398</v>
      </c>
      <c r="I187" s="384"/>
      <c r="J187" s="384"/>
      <c r="K187" s="387" t="s">
        <v>344</v>
      </c>
      <c r="L187" s="652">
        <v>1000000</v>
      </c>
      <c r="N187" s="384"/>
      <c r="O187" s="378"/>
      <c r="P187" s="378"/>
      <c r="R187" s="385"/>
      <c r="S187" s="378"/>
      <c r="T187" s="378"/>
      <c r="U187" s="378"/>
      <c r="Y187" s="376"/>
    </row>
    <row r="188" spans="1:25" x14ac:dyDescent="0.3">
      <c r="A188" s="380" t="s">
        <v>458</v>
      </c>
      <c r="B188" s="381">
        <f t="shared" si="35"/>
        <v>1000000</v>
      </c>
      <c r="C188" s="381">
        <f t="shared" si="36"/>
        <v>16310256.257142846</v>
      </c>
      <c r="D188" s="384"/>
      <c r="E188" s="380" t="s">
        <v>459</v>
      </c>
      <c r="F188" s="383">
        <v>18000000</v>
      </c>
      <c r="G188" s="378"/>
      <c r="H188" s="387" t="s">
        <v>399</v>
      </c>
      <c r="I188" s="384"/>
      <c r="J188" s="384"/>
      <c r="K188" s="387" t="s">
        <v>150</v>
      </c>
      <c r="L188" s="652">
        <v>1900000</v>
      </c>
      <c r="N188" s="384"/>
      <c r="O188" s="378"/>
      <c r="P188" s="378"/>
      <c r="R188" s="385"/>
      <c r="S188" s="378"/>
      <c r="T188" s="378"/>
      <c r="U188" s="378"/>
      <c r="Y188" s="376"/>
    </row>
    <row r="189" spans="1:25" x14ac:dyDescent="0.3">
      <c r="A189" s="380" t="s">
        <v>460</v>
      </c>
      <c r="B189" s="381">
        <f t="shared" si="35"/>
        <v>950000</v>
      </c>
      <c r="C189" s="381">
        <f t="shared" si="36"/>
        <v>16030769.085714275</v>
      </c>
      <c r="D189" s="384"/>
      <c r="E189" s="380" t="s">
        <v>461</v>
      </c>
      <c r="F189" s="380">
        <v>13200000</v>
      </c>
      <c r="G189" s="378"/>
      <c r="H189" s="387" t="s">
        <v>400</v>
      </c>
      <c r="I189" s="384"/>
      <c r="J189" s="384"/>
      <c r="K189" s="387" t="s">
        <v>345</v>
      </c>
      <c r="L189" s="652">
        <v>2500000</v>
      </c>
      <c r="N189" s="384"/>
      <c r="O189" s="378"/>
      <c r="P189" s="378"/>
      <c r="R189" s="385"/>
      <c r="S189" s="378"/>
      <c r="T189" s="378"/>
      <c r="U189" s="378"/>
      <c r="Y189" s="376"/>
    </row>
    <row r="190" spans="1:25" x14ac:dyDescent="0.3">
      <c r="A190" s="380" t="s">
        <v>462</v>
      </c>
      <c r="B190" s="381">
        <f t="shared" si="35"/>
        <v>900000</v>
      </c>
      <c r="C190" s="381">
        <f t="shared" si="36"/>
        <v>15751281.914285704</v>
      </c>
      <c r="D190" s="384"/>
      <c r="E190" s="380" t="s">
        <v>463</v>
      </c>
      <c r="F190" s="380">
        <v>10800000</v>
      </c>
      <c r="G190" s="378"/>
      <c r="H190" s="387" t="s">
        <v>401</v>
      </c>
      <c r="I190" s="384"/>
      <c r="J190" s="384"/>
      <c r="K190" s="387" t="s">
        <v>346</v>
      </c>
      <c r="L190" s="652">
        <v>3000000</v>
      </c>
      <c r="N190" s="384"/>
      <c r="O190" s="378"/>
      <c r="P190" s="378"/>
      <c r="R190" s="385"/>
      <c r="S190" s="378"/>
      <c r="T190" s="378"/>
      <c r="U190" s="378"/>
      <c r="Y190" s="376"/>
    </row>
    <row r="191" spans="1:25" x14ac:dyDescent="0.3">
      <c r="A191" s="380" t="s">
        <v>464</v>
      </c>
      <c r="B191" s="381">
        <f t="shared" si="35"/>
        <v>850000</v>
      </c>
      <c r="C191" s="381">
        <f t="shared" si="36"/>
        <v>15471794.742857134</v>
      </c>
      <c r="D191" s="384"/>
      <c r="E191" s="380" t="s">
        <v>465</v>
      </c>
      <c r="F191" s="380">
        <v>9000000</v>
      </c>
      <c r="G191" s="378"/>
      <c r="H191" s="387" t="s">
        <v>402</v>
      </c>
      <c r="I191" s="384"/>
      <c r="J191" s="384"/>
      <c r="K191" s="387" t="s">
        <v>347</v>
      </c>
      <c r="L191" s="652">
        <v>3599999</v>
      </c>
      <c r="N191" s="384"/>
      <c r="O191" s="378"/>
      <c r="P191" s="378"/>
      <c r="R191" s="385"/>
      <c r="S191" s="378"/>
      <c r="T191" s="378"/>
      <c r="U191" s="378"/>
      <c r="Y191" s="376"/>
    </row>
    <row r="192" spans="1:25" x14ac:dyDescent="0.3">
      <c r="A192" s="380" t="s">
        <v>466</v>
      </c>
      <c r="B192" s="381">
        <f t="shared" si="35"/>
        <v>800000</v>
      </c>
      <c r="C192" s="381">
        <f t="shared" si="36"/>
        <v>15192307.571428563</v>
      </c>
      <c r="D192" s="384"/>
      <c r="E192" s="380" t="s">
        <v>467</v>
      </c>
      <c r="F192" s="380">
        <v>7200000</v>
      </c>
      <c r="G192" s="378"/>
      <c r="H192" s="387" t="s">
        <v>403</v>
      </c>
      <c r="I192" s="384"/>
      <c r="J192" s="384"/>
      <c r="K192" s="387" t="s">
        <v>348</v>
      </c>
      <c r="L192" s="652">
        <v>5900000</v>
      </c>
      <c r="N192" s="384"/>
      <c r="O192" s="378"/>
      <c r="P192" s="378"/>
      <c r="R192" s="385"/>
      <c r="S192" s="378"/>
      <c r="T192" s="378"/>
      <c r="U192" s="378"/>
      <c r="Y192" s="376"/>
    </row>
    <row r="193" spans="1:30" x14ac:dyDescent="0.3">
      <c r="A193" s="380" t="s">
        <v>468</v>
      </c>
      <c r="B193" s="381">
        <f t="shared" si="35"/>
        <v>750000</v>
      </c>
      <c r="C193" s="381">
        <f t="shared" si="36"/>
        <v>14912820.399999993</v>
      </c>
      <c r="D193" s="384"/>
      <c r="E193" s="380" t="s">
        <v>469</v>
      </c>
      <c r="F193" s="380">
        <v>6000000</v>
      </c>
      <c r="G193" s="378"/>
      <c r="H193" s="387" t="s">
        <v>404</v>
      </c>
      <c r="I193" s="384"/>
      <c r="J193" s="384"/>
      <c r="K193" s="387" t="s">
        <v>349</v>
      </c>
      <c r="L193" s="652">
        <v>7999999</v>
      </c>
      <c r="N193" s="384"/>
      <c r="O193" s="378"/>
      <c r="P193" s="378"/>
      <c r="R193" s="385"/>
      <c r="S193" s="378"/>
      <c r="T193" s="378"/>
      <c r="U193" s="378"/>
      <c r="Y193" s="376"/>
    </row>
    <row r="194" spans="1:30" x14ac:dyDescent="0.3">
      <c r="A194" s="380" t="s">
        <v>470</v>
      </c>
      <c r="B194" s="381">
        <f t="shared" si="35"/>
        <v>700000</v>
      </c>
      <c r="C194" s="381">
        <f t="shared" si="36"/>
        <v>14633333.228571422</v>
      </c>
      <c r="D194" s="384"/>
      <c r="E194" s="380" t="s">
        <v>471</v>
      </c>
      <c r="F194" s="380">
        <v>4800000</v>
      </c>
      <c r="G194" s="378"/>
      <c r="H194" s="376"/>
      <c r="I194" s="384"/>
      <c r="J194" s="384"/>
      <c r="K194" s="387" t="s">
        <v>350</v>
      </c>
      <c r="L194" s="652">
        <v>8900000</v>
      </c>
      <c r="N194" s="384"/>
      <c r="O194" s="378"/>
      <c r="P194" s="378"/>
      <c r="R194" s="385"/>
      <c r="S194" s="378"/>
      <c r="T194" s="378"/>
      <c r="U194" s="378"/>
      <c r="Y194" s="376"/>
    </row>
    <row r="195" spans="1:30" x14ac:dyDescent="0.3">
      <c r="A195" s="380" t="s">
        <v>472</v>
      </c>
      <c r="B195" s="381">
        <f t="shared" si="35"/>
        <v>650000</v>
      </c>
      <c r="C195" s="381">
        <f t="shared" si="36"/>
        <v>14353846.057142852</v>
      </c>
      <c r="D195" s="384"/>
      <c r="E195" s="380" t="s">
        <v>473</v>
      </c>
      <c r="F195" s="380">
        <v>3600000</v>
      </c>
      <c r="G195" s="378"/>
      <c r="H195" s="380">
        <v>0</v>
      </c>
      <c r="I195" s="384"/>
      <c r="J195" s="384"/>
      <c r="K195" s="376"/>
      <c r="L195" s="376"/>
      <c r="N195" s="384"/>
      <c r="O195" s="378"/>
      <c r="P195" s="378"/>
      <c r="R195" s="385"/>
      <c r="S195" s="378"/>
      <c r="T195" s="378"/>
      <c r="U195" s="378"/>
      <c r="Y195" s="376"/>
    </row>
    <row r="196" spans="1:30" x14ac:dyDescent="0.3">
      <c r="A196" s="380" t="s">
        <v>474</v>
      </c>
      <c r="B196" s="381">
        <f t="shared" si="35"/>
        <v>600000</v>
      </c>
      <c r="C196" s="381">
        <f t="shared" si="36"/>
        <v>14074358.885714281</v>
      </c>
      <c r="D196" s="384"/>
      <c r="E196" s="380" t="s">
        <v>475</v>
      </c>
      <c r="F196" s="380">
        <v>2400000</v>
      </c>
      <c r="G196" s="378"/>
      <c r="H196" s="380">
        <v>1</v>
      </c>
      <c r="I196" s="384"/>
      <c r="J196" s="384"/>
      <c r="K196" s="379" t="s">
        <v>422</v>
      </c>
      <c r="L196" s="376"/>
      <c r="N196" s="384"/>
      <c r="O196" s="378"/>
      <c r="P196" s="378"/>
      <c r="R196" s="385"/>
      <c r="S196" s="378"/>
      <c r="T196" s="378"/>
      <c r="U196" s="378"/>
      <c r="Y196" s="376"/>
    </row>
    <row r="197" spans="1:30" x14ac:dyDescent="0.3">
      <c r="A197" s="380" t="s">
        <v>476</v>
      </c>
      <c r="B197" s="381">
        <f t="shared" si="35"/>
        <v>550000</v>
      </c>
      <c r="C197" s="381">
        <f t="shared" si="36"/>
        <v>13794871.714285711</v>
      </c>
      <c r="D197" s="384"/>
      <c r="E197" s="380" t="s">
        <v>477</v>
      </c>
      <c r="F197" s="380">
        <v>1200000</v>
      </c>
      <c r="G197" s="378"/>
      <c r="H197" s="380">
        <v>2</v>
      </c>
      <c r="I197" s="384"/>
      <c r="J197" s="384"/>
      <c r="K197" s="379" t="s">
        <v>478</v>
      </c>
      <c r="L197" s="376"/>
      <c r="N197" s="384"/>
      <c r="O197" s="378"/>
      <c r="P197" s="378"/>
      <c r="R197" s="385"/>
      <c r="S197" s="378"/>
      <c r="T197" s="378"/>
      <c r="U197" s="378"/>
      <c r="Y197" s="376"/>
    </row>
    <row r="198" spans="1:30" x14ac:dyDescent="0.3">
      <c r="A198" s="380" t="s">
        <v>479</v>
      </c>
      <c r="B198" s="381">
        <f t="shared" si="35"/>
        <v>500000</v>
      </c>
      <c r="C198" s="381">
        <f t="shared" si="36"/>
        <v>13515384.54285714</v>
      </c>
      <c r="D198" s="384"/>
      <c r="E198" s="380" t="s">
        <v>480</v>
      </c>
      <c r="F198" s="383">
        <v>12000000</v>
      </c>
      <c r="G198" s="378"/>
      <c r="H198" s="380">
        <v>3</v>
      </c>
      <c r="I198" s="384"/>
      <c r="J198" s="384"/>
      <c r="K198" s="379" t="s">
        <v>481</v>
      </c>
      <c r="L198" s="376"/>
      <c r="N198" s="384"/>
      <c r="O198" s="378"/>
      <c r="P198" s="378"/>
      <c r="R198" s="385"/>
      <c r="S198" s="378"/>
      <c r="T198" s="378"/>
      <c r="U198" s="378"/>
      <c r="Y198" s="376"/>
    </row>
    <row r="199" spans="1:30" x14ac:dyDescent="0.3">
      <c r="A199" s="380" t="s">
        <v>482</v>
      </c>
      <c r="B199" s="381">
        <f t="shared" si="35"/>
        <v>450000</v>
      </c>
      <c r="C199" s="381">
        <f t="shared" si="36"/>
        <v>13235897.37142857</v>
      </c>
      <c r="D199" s="384"/>
      <c r="E199" s="380" t="s">
        <v>483</v>
      </c>
      <c r="F199" s="380">
        <v>8800000</v>
      </c>
      <c r="G199" s="378"/>
      <c r="H199" s="380">
        <v>4</v>
      </c>
      <c r="I199" s="384"/>
      <c r="J199" s="384"/>
      <c r="K199" s="379" t="s">
        <v>484</v>
      </c>
      <c r="L199" s="376"/>
      <c r="N199" s="384"/>
      <c r="O199" s="378"/>
      <c r="P199" s="378"/>
      <c r="R199" s="385"/>
      <c r="S199" s="378"/>
      <c r="T199" s="378"/>
      <c r="U199" s="378"/>
      <c r="Y199" s="376"/>
    </row>
    <row r="200" spans="1:30" x14ac:dyDescent="0.3">
      <c r="A200" s="380" t="s">
        <v>485</v>
      </c>
      <c r="B200" s="381">
        <f t="shared" si="35"/>
        <v>400000</v>
      </c>
      <c r="C200" s="381">
        <f t="shared" si="36"/>
        <v>12956410.199999999</v>
      </c>
      <c r="D200" s="384"/>
      <c r="E200" s="380" t="s">
        <v>486</v>
      </c>
      <c r="F200" s="380">
        <v>7200000</v>
      </c>
      <c r="G200" s="378"/>
      <c r="H200" s="380">
        <v>5</v>
      </c>
      <c r="I200" s="384"/>
      <c r="J200" s="384"/>
      <c r="K200" s="376"/>
      <c r="L200" s="376"/>
      <c r="N200" s="384"/>
      <c r="O200" s="378"/>
      <c r="P200" s="378"/>
      <c r="R200" s="385"/>
      <c r="S200" s="378"/>
      <c r="T200" s="378"/>
      <c r="U200" s="378"/>
      <c r="Y200" s="376"/>
    </row>
    <row r="201" spans="1:30" x14ac:dyDescent="0.3">
      <c r="A201" s="380" t="s">
        <v>487</v>
      </c>
      <c r="B201" s="381">
        <f t="shared" si="35"/>
        <v>350000</v>
      </c>
      <c r="C201" s="381">
        <f t="shared" si="36"/>
        <v>12676923.028571429</v>
      </c>
      <c r="D201" s="384"/>
      <c r="E201" s="380" t="s">
        <v>488</v>
      </c>
      <c r="F201" s="380">
        <v>6000000</v>
      </c>
      <c r="G201" s="378"/>
      <c r="H201" s="380">
        <v>6</v>
      </c>
      <c r="I201" s="384"/>
      <c r="J201" s="384"/>
      <c r="K201" s="379" t="s">
        <v>489</v>
      </c>
      <c r="L201" s="376"/>
      <c r="N201" s="384"/>
      <c r="O201" s="378"/>
      <c r="P201" s="378"/>
      <c r="R201" s="385"/>
      <c r="S201" s="378"/>
      <c r="T201" s="378"/>
      <c r="U201" s="378"/>
      <c r="Y201" s="376"/>
    </row>
    <row r="202" spans="1:30" x14ac:dyDescent="0.3">
      <c r="A202" s="380" t="s">
        <v>490</v>
      </c>
      <c r="B202" s="381">
        <f t="shared" si="35"/>
        <v>300000</v>
      </c>
      <c r="C202" s="381">
        <f t="shared" si="36"/>
        <v>12397435.857142858</v>
      </c>
      <c r="D202" s="384"/>
      <c r="E202" s="380" t="s">
        <v>491</v>
      </c>
      <c r="F202" s="380">
        <v>4800000</v>
      </c>
      <c r="G202" s="378"/>
      <c r="H202" s="380">
        <v>7</v>
      </c>
      <c r="I202" s="384"/>
      <c r="J202" s="384"/>
      <c r="K202" s="379" t="s">
        <v>492</v>
      </c>
      <c r="L202" s="376"/>
      <c r="N202" s="384"/>
      <c r="O202" s="378"/>
      <c r="P202" s="378"/>
      <c r="R202" s="385"/>
      <c r="S202" s="378"/>
      <c r="T202" s="378"/>
      <c r="U202" s="378"/>
      <c r="Y202" s="376"/>
    </row>
    <row r="203" spans="1:30" x14ac:dyDescent="0.3">
      <c r="A203" s="380" t="s">
        <v>493</v>
      </c>
      <c r="B203" s="381">
        <f t="shared" si="35"/>
        <v>250000</v>
      </c>
      <c r="C203" s="381">
        <f t="shared" si="36"/>
        <v>12117948.685714288</v>
      </c>
      <c r="D203" s="384"/>
      <c r="E203" s="380" t="s">
        <v>494</v>
      </c>
      <c r="F203" s="380">
        <v>4000000</v>
      </c>
      <c r="G203" s="378"/>
      <c r="H203" s="380">
        <v>8</v>
      </c>
      <c r="I203" s="384"/>
      <c r="J203" s="384"/>
      <c r="K203" s="379" t="s">
        <v>495</v>
      </c>
      <c r="L203" s="376"/>
      <c r="N203" s="384"/>
      <c r="O203" s="378"/>
      <c r="P203" s="378"/>
      <c r="R203" s="385"/>
      <c r="S203" s="378"/>
      <c r="T203" s="378"/>
      <c r="U203" s="378"/>
      <c r="Y203" s="376"/>
    </row>
    <row r="204" spans="1:30" x14ac:dyDescent="0.3">
      <c r="A204" s="380" t="s">
        <v>496</v>
      </c>
      <c r="B204" s="381">
        <f t="shared" si="35"/>
        <v>200000</v>
      </c>
      <c r="C204" s="381">
        <f t="shared" si="36"/>
        <v>11838461.514285717</v>
      </c>
      <c r="D204" s="384"/>
      <c r="E204" s="380" t="s">
        <v>497</v>
      </c>
      <c r="F204" s="380">
        <v>3200000</v>
      </c>
      <c r="G204" s="378"/>
      <c r="I204" s="384"/>
      <c r="J204" s="384"/>
      <c r="K204" s="379" t="s">
        <v>498</v>
      </c>
      <c r="L204" s="378"/>
      <c r="N204" s="384"/>
      <c r="O204" s="378"/>
      <c r="P204" s="378"/>
      <c r="R204" s="385"/>
      <c r="S204" s="378"/>
      <c r="T204" s="378"/>
      <c r="U204" s="378"/>
      <c r="Y204" s="376"/>
      <c r="Z204" s="376"/>
      <c r="AA204" s="384"/>
      <c r="AB204" s="376"/>
      <c r="AC204" s="376"/>
      <c r="AD204" s="376"/>
    </row>
    <row r="205" spans="1:30" x14ac:dyDescent="0.3">
      <c r="A205" s="380" t="s">
        <v>499</v>
      </c>
      <c r="B205" s="381">
        <f t="shared" si="35"/>
        <v>150000</v>
      </c>
      <c r="C205" s="381">
        <f t="shared" si="36"/>
        <v>11558974.342857147</v>
      </c>
      <c r="D205" s="384"/>
      <c r="E205" s="380" t="s">
        <v>500</v>
      </c>
      <c r="F205" s="380">
        <v>2400000</v>
      </c>
      <c r="G205" s="378"/>
      <c r="I205" s="384"/>
      <c r="J205" s="384"/>
      <c r="K205" s="379" t="s">
        <v>501</v>
      </c>
      <c r="L205" s="378"/>
      <c r="N205" s="384"/>
      <c r="O205" s="378"/>
      <c r="P205" s="378"/>
      <c r="R205" s="385"/>
      <c r="S205" s="378"/>
      <c r="T205" s="378"/>
      <c r="U205" s="378"/>
      <c r="Y205" s="376"/>
      <c r="Z205" s="376"/>
      <c r="AA205" s="384"/>
      <c r="AB205" s="376"/>
      <c r="AC205" s="376"/>
      <c r="AD205" s="376"/>
    </row>
    <row r="206" spans="1:30" x14ac:dyDescent="0.3">
      <c r="A206" s="380" t="s">
        <v>502</v>
      </c>
      <c r="B206" s="381">
        <f t="shared" si="35"/>
        <v>100000</v>
      </c>
      <c r="C206" s="381">
        <f t="shared" si="36"/>
        <v>11279487.171428576</v>
      </c>
      <c r="D206" s="384"/>
      <c r="E206" s="380" t="s">
        <v>503</v>
      </c>
      <c r="F206" s="380">
        <v>1600000</v>
      </c>
      <c r="G206" s="378"/>
      <c r="H206" s="379" t="s">
        <v>109</v>
      </c>
      <c r="I206" s="384"/>
      <c r="J206" s="384"/>
      <c r="K206" s="379" t="s">
        <v>504</v>
      </c>
      <c r="L206" s="378"/>
      <c r="N206" s="384"/>
      <c r="O206" s="378"/>
      <c r="P206" s="378"/>
      <c r="R206" s="385"/>
      <c r="S206" s="378"/>
      <c r="T206" s="378"/>
      <c r="U206" s="378"/>
      <c r="Y206" s="376"/>
      <c r="Z206" s="376"/>
      <c r="AA206" s="384"/>
      <c r="AB206" s="376"/>
      <c r="AC206" s="376"/>
      <c r="AD206" s="376"/>
    </row>
    <row r="207" spans="1:30" x14ac:dyDescent="0.3">
      <c r="A207" s="380" t="s">
        <v>505</v>
      </c>
      <c r="B207" s="381">
        <f t="shared" si="35"/>
        <v>50000</v>
      </c>
      <c r="C207" s="381">
        <f t="shared" si="36"/>
        <v>11000000.000000006</v>
      </c>
      <c r="D207" s="384"/>
      <c r="E207" s="380" t="s">
        <v>506</v>
      </c>
      <c r="F207" s="380">
        <v>800000</v>
      </c>
      <c r="G207" s="378"/>
      <c r="H207" s="379" t="s">
        <v>507</v>
      </c>
      <c r="I207" s="384"/>
      <c r="J207" s="384"/>
      <c r="K207" s="379" t="s">
        <v>508</v>
      </c>
      <c r="L207" s="378"/>
      <c r="N207" s="384"/>
      <c r="O207" s="378"/>
      <c r="P207" s="378"/>
      <c r="R207" s="385"/>
      <c r="S207" s="378"/>
      <c r="T207" s="378"/>
      <c r="U207" s="378"/>
      <c r="Y207" s="376"/>
      <c r="Z207" s="376"/>
      <c r="AA207" s="376"/>
      <c r="AB207" s="376"/>
      <c r="AC207" s="376"/>
      <c r="AD207" s="376"/>
    </row>
    <row r="208" spans="1:30" x14ac:dyDescent="0.3">
      <c r="A208" s="380" t="s">
        <v>430</v>
      </c>
      <c r="B208" s="381">
        <v>2000000</v>
      </c>
      <c r="C208" s="381">
        <v>18000000</v>
      </c>
      <c r="D208" s="376"/>
      <c r="E208" s="382" t="s">
        <v>509</v>
      </c>
      <c r="F208" s="383">
        <v>6000000</v>
      </c>
      <c r="G208" s="378"/>
      <c r="H208" s="379" t="s">
        <v>510</v>
      </c>
      <c r="I208" s="385"/>
      <c r="J208" s="385"/>
      <c r="K208" s="379" t="s">
        <v>511</v>
      </c>
      <c r="L208" s="378"/>
      <c r="N208" s="385"/>
      <c r="O208" s="378"/>
      <c r="P208" s="378"/>
      <c r="R208" s="385"/>
      <c r="S208" s="378"/>
      <c r="T208" s="378"/>
      <c r="U208" s="378"/>
      <c r="Y208" s="376"/>
      <c r="Z208" s="376"/>
      <c r="AA208" s="376"/>
      <c r="AB208" s="376"/>
      <c r="AC208" s="376"/>
      <c r="AD208" s="376"/>
    </row>
    <row r="209" spans="1:30" x14ac:dyDescent="0.3">
      <c r="A209" s="380" t="s">
        <v>433</v>
      </c>
      <c r="B209" s="381">
        <v>1800000</v>
      </c>
      <c r="C209" s="381">
        <v>17671795</v>
      </c>
      <c r="D209" s="376"/>
      <c r="E209" s="382" t="s">
        <v>512</v>
      </c>
      <c r="F209" s="380">
        <v>4400000</v>
      </c>
      <c r="Y209" s="376"/>
      <c r="Z209" s="376"/>
      <c r="AA209" s="376"/>
      <c r="AB209" s="376"/>
      <c r="AC209" s="376"/>
      <c r="AD209" s="376"/>
    </row>
    <row r="210" spans="1:30" x14ac:dyDescent="0.3">
      <c r="A210" s="380" t="s">
        <v>436</v>
      </c>
      <c r="B210" s="381">
        <v>1600000</v>
      </c>
      <c r="C210" s="381">
        <v>17443590</v>
      </c>
      <c r="D210" s="376"/>
      <c r="E210" s="382" t="s">
        <v>513</v>
      </c>
      <c r="F210" s="380">
        <v>3600000</v>
      </c>
      <c r="Y210" s="376"/>
      <c r="Z210" s="376"/>
      <c r="AA210" s="376"/>
      <c r="AB210" s="376"/>
      <c r="AC210" s="376"/>
      <c r="AD210" s="376"/>
    </row>
    <row r="211" spans="1:30" x14ac:dyDescent="0.3">
      <c r="A211" s="380" t="s">
        <v>438</v>
      </c>
      <c r="B211" s="381">
        <v>1480000</v>
      </c>
      <c r="C211" s="381">
        <v>17215385</v>
      </c>
      <c r="D211" s="376"/>
      <c r="E211" s="382" t="s">
        <v>514</v>
      </c>
      <c r="F211" s="380">
        <v>3000000</v>
      </c>
      <c r="O211" s="389"/>
      <c r="Y211" s="376"/>
      <c r="Z211" s="376"/>
      <c r="AA211" s="376"/>
      <c r="AB211" s="376"/>
      <c r="AC211" s="376"/>
      <c r="AD211" s="376"/>
    </row>
    <row r="212" spans="1:30" x14ac:dyDescent="0.3">
      <c r="A212" s="380" t="s">
        <v>442</v>
      </c>
      <c r="B212" s="381">
        <v>1440000</v>
      </c>
      <c r="C212" s="381">
        <v>16987179</v>
      </c>
      <c r="E212" s="382" t="s">
        <v>515</v>
      </c>
      <c r="F212" s="380">
        <v>2400000</v>
      </c>
      <c r="H212" s="387"/>
      <c r="K212" s="387"/>
      <c r="M212" s="390"/>
      <c r="O212" s="387">
        <v>0</v>
      </c>
      <c r="Y212" s="376"/>
      <c r="Z212" s="376"/>
      <c r="AA212" s="376"/>
      <c r="AB212" s="376"/>
      <c r="AC212" s="376"/>
      <c r="AD212" s="376"/>
    </row>
    <row r="213" spans="1:30" x14ac:dyDescent="0.3">
      <c r="A213" s="380" t="s">
        <v>445</v>
      </c>
      <c r="B213" s="381">
        <v>1400000</v>
      </c>
      <c r="C213" s="381">
        <f t="shared" ref="C213:C247" si="37">C212-228205.114285714</f>
        <v>16758973.885714285</v>
      </c>
      <c r="E213" s="382" t="s">
        <v>516</v>
      </c>
      <c r="F213" s="380">
        <v>2000000</v>
      </c>
      <c r="H213" s="387" t="s">
        <v>517</v>
      </c>
      <c r="K213" s="387" t="s">
        <v>518</v>
      </c>
      <c r="M213" s="391" t="s">
        <v>519</v>
      </c>
      <c r="O213" s="387">
        <v>1</v>
      </c>
      <c r="Y213" s="376"/>
      <c r="Z213" s="376"/>
      <c r="AA213" s="376"/>
      <c r="AB213" s="376"/>
      <c r="AC213" s="376"/>
      <c r="AD213" s="376"/>
    </row>
    <row r="214" spans="1:30" x14ac:dyDescent="0.3">
      <c r="A214" s="380" t="s">
        <v>449</v>
      </c>
      <c r="B214" s="381">
        <v>1360000</v>
      </c>
      <c r="C214" s="381">
        <f t="shared" si="37"/>
        <v>16530768.77142857</v>
      </c>
      <c r="E214" s="382" t="s">
        <v>520</v>
      </c>
      <c r="F214" s="380">
        <v>160000</v>
      </c>
      <c r="H214" s="387" t="s">
        <v>521</v>
      </c>
      <c r="K214" s="387" t="s">
        <v>522</v>
      </c>
      <c r="M214" s="391" t="s">
        <v>523</v>
      </c>
      <c r="O214" s="387">
        <v>2</v>
      </c>
      <c r="Y214" s="376"/>
      <c r="Z214" s="376"/>
      <c r="AA214" s="376"/>
      <c r="AB214" s="376"/>
      <c r="AC214" s="376"/>
      <c r="AD214" s="376"/>
    </row>
    <row r="215" spans="1:30" x14ac:dyDescent="0.3">
      <c r="A215" s="380" t="s">
        <v>453</v>
      </c>
      <c r="B215" s="381">
        <v>1320000</v>
      </c>
      <c r="C215" s="381">
        <f t="shared" si="37"/>
        <v>16302563.657142855</v>
      </c>
      <c r="E215" s="382" t="s">
        <v>524</v>
      </c>
      <c r="F215" s="380">
        <v>1200000</v>
      </c>
      <c r="H215" s="387" t="s">
        <v>525</v>
      </c>
      <c r="K215" s="387" t="s">
        <v>526</v>
      </c>
      <c r="M215" s="391" t="s">
        <v>527</v>
      </c>
      <c r="O215" s="387">
        <v>3</v>
      </c>
      <c r="Y215" s="376"/>
      <c r="Z215" s="376"/>
      <c r="AA215" s="376"/>
      <c r="AB215" s="376"/>
      <c r="AC215" s="376"/>
      <c r="AD215" s="376"/>
    </row>
    <row r="216" spans="1:30" x14ac:dyDescent="0.3">
      <c r="A216" s="380" t="s">
        <v>455</v>
      </c>
      <c r="B216" s="381">
        <v>1280000</v>
      </c>
      <c r="C216" s="381">
        <f t="shared" si="37"/>
        <v>16074358.54285714</v>
      </c>
      <c r="E216" s="382" t="s">
        <v>528</v>
      </c>
      <c r="F216" s="380">
        <v>800000</v>
      </c>
      <c r="H216" s="387" t="s">
        <v>529</v>
      </c>
      <c r="K216" s="387" t="s">
        <v>530</v>
      </c>
      <c r="M216" s="391" t="s">
        <v>531</v>
      </c>
      <c r="O216" s="387">
        <v>4</v>
      </c>
      <c r="Y216" s="376"/>
      <c r="Z216" s="376"/>
      <c r="AA216" s="376"/>
      <c r="AB216" s="376"/>
      <c r="AC216" s="376"/>
      <c r="AD216" s="376"/>
    </row>
    <row r="217" spans="1:30" x14ac:dyDescent="0.3">
      <c r="A217" s="380" t="s">
        <v>457</v>
      </c>
      <c r="B217" s="381">
        <v>1240000</v>
      </c>
      <c r="C217" s="381">
        <f t="shared" si="37"/>
        <v>15846153.428571425</v>
      </c>
      <c r="E217" s="382" t="s">
        <v>532</v>
      </c>
      <c r="F217" s="380">
        <v>400000</v>
      </c>
      <c r="H217" s="387" t="s">
        <v>533</v>
      </c>
      <c r="K217" s="392"/>
      <c r="M217" s="391" t="s">
        <v>534</v>
      </c>
      <c r="O217" s="387">
        <v>5</v>
      </c>
      <c r="Y217" s="376"/>
      <c r="Z217" s="376"/>
      <c r="AA217" s="376"/>
      <c r="AB217" s="376"/>
      <c r="AC217" s="376"/>
      <c r="AD217" s="376"/>
    </row>
    <row r="218" spans="1:30" x14ac:dyDescent="0.3">
      <c r="A218" s="380" t="s">
        <v>535</v>
      </c>
      <c r="B218" s="381">
        <v>1200000</v>
      </c>
      <c r="C218" s="381">
        <f t="shared" si="37"/>
        <v>15617948.31428571</v>
      </c>
      <c r="D218" s="376"/>
      <c r="E218" s="376"/>
      <c r="F218" s="376"/>
      <c r="G218" s="376"/>
      <c r="H218" s="376"/>
      <c r="I218" s="376"/>
      <c r="J218" s="376"/>
      <c r="K218" s="376"/>
      <c r="L218" s="376"/>
      <c r="O218" s="387">
        <v>6</v>
      </c>
    </row>
    <row r="219" spans="1:30" x14ac:dyDescent="0.3">
      <c r="A219" s="380" t="s">
        <v>536</v>
      </c>
      <c r="B219" s="381">
        <v>1160000</v>
      </c>
      <c r="C219" s="381">
        <f t="shared" si="37"/>
        <v>15389743.199999996</v>
      </c>
      <c r="D219" s="376"/>
      <c r="E219" s="376"/>
      <c r="F219" s="376"/>
      <c r="G219" s="376"/>
      <c r="H219" s="376"/>
      <c r="I219" s="376"/>
      <c r="J219" s="376"/>
      <c r="K219" s="376"/>
      <c r="L219" s="376"/>
      <c r="O219" s="388">
        <v>7</v>
      </c>
    </row>
    <row r="220" spans="1:30" x14ac:dyDescent="0.3">
      <c r="A220" s="380" t="s">
        <v>537</v>
      </c>
      <c r="B220" s="381">
        <v>1120000</v>
      </c>
      <c r="C220" s="381">
        <f t="shared" si="37"/>
        <v>15161538.085714281</v>
      </c>
      <c r="D220" s="376"/>
      <c r="E220" s="376"/>
      <c r="F220" s="376"/>
      <c r="G220" s="376"/>
      <c r="H220" s="376"/>
      <c r="I220" s="376"/>
      <c r="J220" s="376"/>
      <c r="K220" s="376"/>
      <c r="L220" s="376"/>
      <c r="O220" s="388">
        <v>8</v>
      </c>
    </row>
    <row r="221" spans="1:30" x14ac:dyDescent="0.3">
      <c r="A221" s="380" t="s">
        <v>538</v>
      </c>
      <c r="B221" s="381">
        <v>1080000</v>
      </c>
      <c r="C221" s="381">
        <f t="shared" si="37"/>
        <v>14933332.971428566</v>
      </c>
      <c r="D221" s="376"/>
      <c r="E221" s="376"/>
      <c r="F221" s="376"/>
      <c r="G221" s="376"/>
      <c r="H221" s="387"/>
      <c r="I221" s="392"/>
      <c r="J221" s="392"/>
      <c r="K221" s="387"/>
      <c r="L221" s="1"/>
      <c r="M221" s="387"/>
      <c r="O221" s="388">
        <v>9</v>
      </c>
    </row>
    <row r="222" spans="1:30" x14ac:dyDescent="0.3">
      <c r="A222" s="380" t="s">
        <v>539</v>
      </c>
      <c r="B222" s="381">
        <v>1040000</v>
      </c>
      <c r="C222" s="381">
        <f t="shared" si="37"/>
        <v>14705127.857142851</v>
      </c>
      <c r="D222" s="376"/>
      <c r="E222" s="376"/>
      <c r="F222" s="376"/>
      <c r="G222" s="376"/>
      <c r="H222" s="387" t="s">
        <v>540</v>
      </c>
      <c r="I222" s="392"/>
      <c r="J222" s="392"/>
      <c r="K222" s="387" t="s">
        <v>293</v>
      </c>
      <c r="L222" s="1"/>
      <c r="M222" s="387" t="s">
        <v>541</v>
      </c>
      <c r="O222" s="388">
        <v>10</v>
      </c>
    </row>
    <row r="223" spans="1:30" x14ac:dyDescent="0.3">
      <c r="A223" s="380" t="s">
        <v>542</v>
      </c>
      <c r="B223" s="381">
        <v>1000000</v>
      </c>
      <c r="C223" s="381">
        <f t="shared" si="37"/>
        <v>14476922.742857136</v>
      </c>
      <c r="D223" s="376"/>
      <c r="E223" s="376"/>
      <c r="F223" s="376"/>
      <c r="G223" s="376"/>
      <c r="H223" s="387" t="s">
        <v>353</v>
      </c>
      <c r="I223" s="392"/>
      <c r="J223" s="392"/>
      <c r="K223" s="387" t="s">
        <v>391</v>
      </c>
      <c r="L223" s="1"/>
      <c r="M223" s="387" t="s">
        <v>543</v>
      </c>
      <c r="O223" s="388">
        <v>11</v>
      </c>
    </row>
    <row r="224" spans="1:30" x14ac:dyDescent="0.3">
      <c r="A224" s="380" t="s">
        <v>544</v>
      </c>
      <c r="B224" s="381">
        <v>960000</v>
      </c>
      <c r="C224" s="381">
        <f t="shared" si="37"/>
        <v>14248717.628571421</v>
      </c>
      <c r="D224" s="376"/>
      <c r="E224" s="376"/>
      <c r="F224" s="376"/>
      <c r="G224" s="376"/>
      <c r="H224" s="387" t="s">
        <v>30</v>
      </c>
      <c r="I224" s="392"/>
      <c r="J224" s="392"/>
      <c r="K224" s="387" t="s">
        <v>431</v>
      </c>
      <c r="L224" s="1"/>
      <c r="M224" s="387" t="s">
        <v>545</v>
      </c>
      <c r="O224" s="388">
        <v>12</v>
      </c>
    </row>
    <row r="225" spans="1:15" x14ac:dyDescent="0.3">
      <c r="A225" s="380" t="s">
        <v>546</v>
      </c>
      <c r="B225" s="381">
        <v>920000</v>
      </c>
      <c r="C225" s="381">
        <f t="shared" si="37"/>
        <v>14020512.514285706</v>
      </c>
      <c r="D225" s="376"/>
      <c r="E225" s="376"/>
      <c r="F225" s="376"/>
      <c r="G225" s="376"/>
      <c r="H225" s="387" t="s">
        <v>355</v>
      </c>
      <c r="I225" s="392"/>
      <c r="J225" s="392"/>
      <c r="K225" s="387" t="s">
        <v>383</v>
      </c>
      <c r="L225" s="1"/>
      <c r="M225" s="387" t="s">
        <v>547</v>
      </c>
      <c r="O225" s="388">
        <v>13</v>
      </c>
    </row>
    <row r="226" spans="1:15" x14ac:dyDescent="0.3">
      <c r="A226" s="380" t="s">
        <v>548</v>
      </c>
      <c r="B226" s="381">
        <v>880000</v>
      </c>
      <c r="C226" s="381">
        <f t="shared" si="37"/>
        <v>13792307.399999991</v>
      </c>
      <c r="D226" s="376"/>
      <c r="E226" s="376"/>
      <c r="F226" s="376"/>
      <c r="G226" s="376"/>
      <c r="H226" s="387" t="s">
        <v>549</v>
      </c>
      <c r="I226" s="392"/>
      <c r="J226" s="392"/>
      <c r="K226" s="387" t="s">
        <v>382</v>
      </c>
      <c r="L226" s="1"/>
      <c r="M226" s="387" t="s">
        <v>550</v>
      </c>
      <c r="O226" s="388">
        <v>14</v>
      </c>
    </row>
    <row r="227" spans="1:15" x14ac:dyDescent="0.3">
      <c r="A227" s="380" t="s">
        <v>551</v>
      </c>
      <c r="B227" s="381">
        <v>840000</v>
      </c>
      <c r="C227" s="381">
        <f t="shared" si="37"/>
        <v>13564102.285714276</v>
      </c>
      <c r="D227" s="376"/>
      <c r="E227" s="376"/>
      <c r="F227" s="376"/>
      <c r="G227" s="376"/>
      <c r="H227" s="376"/>
      <c r="I227" s="376"/>
      <c r="J227" s="376"/>
      <c r="K227" s="376"/>
      <c r="L227" s="376"/>
      <c r="O227" s="388">
        <v>15</v>
      </c>
    </row>
    <row r="228" spans="1:15" x14ac:dyDescent="0.3">
      <c r="A228" s="380" t="s">
        <v>552</v>
      </c>
      <c r="B228" s="381">
        <v>800000</v>
      </c>
      <c r="C228" s="381">
        <f t="shared" si="37"/>
        <v>13335897.171428561</v>
      </c>
      <c r="D228" s="376"/>
      <c r="E228" s="376"/>
      <c r="F228" s="376"/>
      <c r="G228" s="376"/>
      <c r="H228" s="376"/>
      <c r="I228" s="376"/>
      <c r="J228" s="376"/>
      <c r="K228" s="376"/>
      <c r="L228" s="376"/>
      <c r="O228" s="388">
        <v>16</v>
      </c>
    </row>
    <row r="229" spans="1:15" x14ac:dyDescent="0.3">
      <c r="A229" s="380" t="s">
        <v>553</v>
      </c>
      <c r="B229" s="381">
        <v>760000</v>
      </c>
      <c r="C229" s="381">
        <f t="shared" si="37"/>
        <v>13107692.057142846</v>
      </c>
      <c r="D229" s="376"/>
      <c r="E229" s="376"/>
      <c r="F229" s="376"/>
      <c r="G229" s="376"/>
      <c r="H229" s="376"/>
      <c r="I229" s="376"/>
      <c r="J229" s="376"/>
      <c r="K229" s="376"/>
      <c r="L229" s="376"/>
      <c r="O229" s="388">
        <v>17</v>
      </c>
    </row>
    <row r="230" spans="1:15" x14ac:dyDescent="0.3">
      <c r="A230" s="380" t="s">
        <v>554</v>
      </c>
      <c r="B230" s="381">
        <v>720000</v>
      </c>
      <c r="C230" s="381">
        <f t="shared" si="37"/>
        <v>12879486.942857131</v>
      </c>
      <c r="D230" s="376"/>
      <c r="E230" s="376"/>
      <c r="F230" s="376"/>
      <c r="G230" s="376"/>
      <c r="H230" s="517" t="s">
        <v>798</v>
      </c>
      <c r="I230" s="518">
        <v>1000000</v>
      </c>
      <c r="J230" s="376"/>
      <c r="K230" s="376"/>
      <c r="L230" s="376"/>
    </row>
    <row r="231" spans="1:15" x14ac:dyDescent="0.3">
      <c r="A231" s="380" t="s">
        <v>555</v>
      </c>
      <c r="B231" s="381">
        <v>680000</v>
      </c>
      <c r="C231" s="381">
        <f t="shared" si="37"/>
        <v>12651281.828571416</v>
      </c>
      <c r="D231" s="376"/>
      <c r="E231" s="376"/>
      <c r="F231" s="376"/>
      <c r="G231" s="376"/>
      <c r="H231" s="376"/>
      <c r="I231" s="376"/>
      <c r="J231" s="376"/>
      <c r="K231" s="376"/>
      <c r="L231" s="376"/>
    </row>
    <row r="232" spans="1:15" x14ac:dyDescent="0.3">
      <c r="A232" s="380" t="s">
        <v>556</v>
      </c>
      <c r="B232" s="381">
        <v>640000</v>
      </c>
      <c r="C232" s="381">
        <f t="shared" si="37"/>
        <v>12423076.714285702</v>
      </c>
      <c r="D232" s="376"/>
      <c r="E232" s="376"/>
      <c r="F232" s="376"/>
      <c r="G232" s="376"/>
      <c r="H232" s="376"/>
      <c r="I232" s="376"/>
      <c r="J232" s="376"/>
      <c r="K232" s="376"/>
      <c r="L232" s="376"/>
    </row>
    <row r="233" spans="1:15" x14ac:dyDescent="0.3">
      <c r="A233" s="380" t="s">
        <v>557</v>
      </c>
      <c r="B233" s="381">
        <v>600000</v>
      </c>
      <c r="C233" s="381">
        <f t="shared" si="37"/>
        <v>12194871.599999987</v>
      </c>
      <c r="D233" s="376"/>
      <c r="E233" s="376"/>
      <c r="F233" s="376"/>
      <c r="G233" s="376"/>
      <c r="H233" s="376"/>
      <c r="I233" s="376"/>
      <c r="J233" s="376"/>
      <c r="K233" s="376"/>
      <c r="L233" s="376"/>
    </row>
    <row r="234" spans="1:15" x14ac:dyDescent="0.3">
      <c r="A234" s="380" t="s">
        <v>558</v>
      </c>
      <c r="B234" s="381">
        <v>560000</v>
      </c>
      <c r="C234" s="381">
        <f t="shared" si="37"/>
        <v>11966666.485714272</v>
      </c>
      <c r="D234" s="376"/>
      <c r="E234" s="376"/>
      <c r="F234" s="376"/>
      <c r="G234" s="376"/>
      <c r="H234" s="376"/>
      <c r="I234" s="376"/>
      <c r="J234" s="376"/>
      <c r="K234" s="376"/>
      <c r="L234" s="376"/>
    </row>
    <row r="235" spans="1:15" x14ac:dyDescent="0.3">
      <c r="A235" s="380" t="s">
        <v>559</v>
      </c>
      <c r="B235" s="381">
        <v>520000</v>
      </c>
      <c r="C235" s="381">
        <f t="shared" si="37"/>
        <v>11738461.371428557</v>
      </c>
      <c r="D235" s="376"/>
      <c r="E235" s="376"/>
      <c r="F235" s="376"/>
      <c r="G235" s="376"/>
      <c r="H235" s="376"/>
      <c r="I235" s="376"/>
      <c r="J235" s="376"/>
      <c r="K235" s="376"/>
      <c r="L235" s="376"/>
    </row>
    <row r="236" spans="1:15" x14ac:dyDescent="0.3">
      <c r="A236" s="380" t="s">
        <v>560</v>
      </c>
      <c r="B236" s="381">
        <v>480000</v>
      </c>
      <c r="C236" s="381">
        <f t="shared" si="37"/>
        <v>11510256.257142842</v>
      </c>
      <c r="D236" s="376"/>
      <c r="E236" s="376"/>
      <c r="F236" s="376"/>
      <c r="G236" s="376"/>
      <c r="H236" s="376"/>
      <c r="I236" s="376"/>
      <c r="J236" s="376"/>
      <c r="K236" s="376"/>
      <c r="L236" s="376"/>
    </row>
    <row r="237" spans="1:15" x14ac:dyDescent="0.3">
      <c r="A237" s="380" t="s">
        <v>561</v>
      </c>
      <c r="B237" s="381">
        <v>440000</v>
      </c>
      <c r="C237" s="381">
        <f t="shared" si="37"/>
        <v>11282051.142857127</v>
      </c>
      <c r="D237" s="376"/>
      <c r="E237" s="376"/>
      <c r="F237" s="376"/>
      <c r="G237" s="376"/>
      <c r="H237" s="376"/>
      <c r="I237" s="376"/>
      <c r="J237" s="376"/>
      <c r="K237" s="376"/>
      <c r="L237" s="376"/>
    </row>
    <row r="238" spans="1:15" x14ac:dyDescent="0.3">
      <c r="A238" s="380" t="s">
        <v>562</v>
      </c>
      <c r="B238" s="381">
        <v>400000</v>
      </c>
      <c r="C238" s="381">
        <f t="shared" si="37"/>
        <v>11053846.028571412</v>
      </c>
      <c r="D238" s="376"/>
      <c r="E238" s="376"/>
      <c r="F238" s="376"/>
      <c r="G238" s="376"/>
      <c r="H238" s="376"/>
      <c r="I238" s="376"/>
      <c r="J238" s="376"/>
      <c r="K238" s="376"/>
      <c r="L238" s="376"/>
    </row>
    <row r="239" spans="1:15" x14ac:dyDescent="0.3">
      <c r="A239" s="380" t="s">
        <v>563</v>
      </c>
      <c r="B239" s="381">
        <v>360000</v>
      </c>
      <c r="C239" s="381">
        <f t="shared" si="37"/>
        <v>10825640.914285697</v>
      </c>
      <c r="D239" s="376"/>
      <c r="E239" s="376"/>
      <c r="F239" s="376"/>
      <c r="G239" s="376"/>
      <c r="H239" s="376"/>
      <c r="I239" s="376"/>
      <c r="J239" s="376"/>
      <c r="K239" s="376"/>
      <c r="L239" s="376"/>
    </row>
    <row r="240" spans="1:15" x14ac:dyDescent="0.3">
      <c r="A240" s="380" t="s">
        <v>564</v>
      </c>
      <c r="B240" s="381">
        <v>320000</v>
      </c>
      <c r="C240" s="381">
        <f t="shared" si="37"/>
        <v>10597435.799999982</v>
      </c>
      <c r="D240" s="376"/>
      <c r="E240" s="376"/>
      <c r="F240" s="376"/>
      <c r="G240" s="376"/>
      <c r="H240" s="376"/>
      <c r="I240" s="376"/>
      <c r="J240" s="376"/>
      <c r="K240" s="376"/>
      <c r="L240" s="376"/>
    </row>
    <row r="241" spans="1:12" x14ac:dyDescent="0.3">
      <c r="A241" s="380" t="s">
        <v>565</v>
      </c>
      <c r="B241" s="381">
        <v>280000</v>
      </c>
      <c r="C241" s="381">
        <f t="shared" si="37"/>
        <v>10369230.685714267</v>
      </c>
      <c r="D241" s="376"/>
      <c r="E241" s="376"/>
      <c r="F241" s="376"/>
      <c r="G241" s="376"/>
      <c r="H241" s="376"/>
      <c r="I241" s="376"/>
      <c r="J241" s="376"/>
      <c r="K241" s="376"/>
      <c r="L241" s="376"/>
    </row>
    <row r="242" spans="1:12" x14ac:dyDescent="0.3">
      <c r="A242" s="380" t="s">
        <v>566</v>
      </c>
      <c r="B242" s="381">
        <v>240000</v>
      </c>
      <c r="C242" s="381">
        <f t="shared" si="37"/>
        <v>10141025.571428552</v>
      </c>
      <c r="D242" s="376"/>
      <c r="E242" s="376"/>
      <c r="F242" s="376"/>
      <c r="G242" s="376"/>
      <c r="H242" s="376"/>
      <c r="I242" s="376"/>
      <c r="J242" s="376"/>
      <c r="K242" s="376"/>
      <c r="L242" s="376"/>
    </row>
    <row r="243" spans="1:12" x14ac:dyDescent="0.3">
      <c r="A243" s="380" t="s">
        <v>567</v>
      </c>
      <c r="B243" s="381">
        <v>200000</v>
      </c>
      <c r="C243" s="381">
        <f t="shared" si="37"/>
        <v>9912820.4571428373</v>
      </c>
      <c r="D243" s="376"/>
      <c r="E243" s="376"/>
      <c r="F243" s="376"/>
      <c r="G243" s="376"/>
      <c r="H243" s="376"/>
      <c r="I243" s="376"/>
      <c r="J243" s="376"/>
      <c r="K243" s="376"/>
      <c r="L243" s="376"/>
    </row>
    <row r="244" spans="1:12" x14ac:dyDescent="0.3">
      <c r="A244" s="380" t="s">
        <v>568</v>
      </c>
      <c r="B244" s="381">
        <v>160000</v>
      </c>
      <c r="C244" s="381">
        <f t="shared" si="37"/>
        <v>9684615.3428571224</v>
      </c>
      <c r="D244" s="376"/>
      <c r="E244" s="376"/>
      <c r="F244" s="376"/>
      <c r="G244" s="376"/>
      <c r="H244" s="376"/>
      <c r="I244" s="376"/>
      <c r="J244" s="376"/>
      <c r="K244" s="376"/>
      <c r="L244" s="376"/>
    </row>
    <row r="245" spans="1:12" x14ac:dyDescent="0.3">
      <c r="A245" s="380" t="s">
        <v>569</v>
      </c>
      <c r="B245" s="381">
        <v>120000</v>
      </c>
      <c r="C245" s="381">
        <f t="shared" si="37"/>
        <v>9456410.2285714075</v>
      </c>
      <c r="D245" s="376"/>
      <c r="E245" s="376"/>
      <c r="F245" s="376"/>
      <c r="G245" s="376"/>
      <c r="H245" s="376"/>
      <c r="I245" s="376"/>
      <c r="J245" s="376"/>
      <c r="K245" s="376"/>
      <c r="L245" s="376"/>
    </row>
    <row r="246" spans="1:12" x14ac:dyDescent="0.3">
      <c r="A246" s="380" t="s">
        <v>570</v>
      </c>
      <c r="B246" s="381">
        <v>80000</v>
      </c>
      <c r="C246" s="381">
        <f t="shared" si="37"/>
        <v>9228205.1142856926</v>
      </c>
      <c r="D246" s="376"/>
      <c r="E246" s="376"/>
      <c r="F246" s="376"/>
      <c r="G246" s="376"/>
      <c r="H246" s="376"/>
      <c r="I246" s="376"/>
      <c r="J246" s="376"/>
      <c r="K246" s="376"/>
      <c r="L246" s="376"/>
    </row>
    <row r="247" spans="1:12" x14ac:dyDescent="0.3">
      <c r="A247" s="380" t="s">
        <v>571</v>
      </c>
      <c r="B247" s="381">
        <v>40000</v>
      </c>
      <c r="C247" s="381">
        <f t="shared" si="37"/>
        <v>8999999.9999999776</v>
      </c>
      <c r="D247" s="376"/>
      <c r="E247" s="376"/>
      <c r="F247" s="376"/>
      <c r="G247" s="376"/>
      <c r="H247" s="376"/>
      <c r="I247" s="376"/>
      <c r="J247" s="376"/>
      <c r="K247" s="376"/>
      <c r="L247" s="376"/>
    </row>
    <row r="248" spans="1:12" x14ac:dyDescent="0.3">
      <c r="A248" s="380" t="s">
        <v>459</v>
      </c>
      <c r="B248" s="381">
        <v>1500000</v>
      </c>
      <c r="C248" s="381">
        <v>15000000</v>
      </c>
      <c r="D248" s="376"/>
      <c r="E248" s="376"/>
      <c r="F248" s="376"/>
      <c r="G248" s="376"/>
      <c r="H248" s="376"/>
      <c r="I248" s="376"/>
      <c r="J248" s="376"/>
      <c r="K248" s="376"/>
      <c r="L248" s="376"/>
    </row>
    <row r="249" spans="1:12" x14ac:dyDescent="0.3">
      <c r="A249" s="380" t="s">
        <v>461</v>
      </c>
      <c r="B249" s="381">
        <v>1350000</v>
      </c>
      <c r="C249" s="381">
        <v>14710256</v>
      </c>
      <c r="D249" s="376"/>
      <c r="E249" s="376"/>
      <c r="F249" s="376"/>
      <c r="G249" s="376"/>
      <c r="H249" s="376"/>
      <c r="I249" s="376"/>
      <c r="J249" s="376"/>
      <c r="K249" s="376"/>
      <c r="L249" s="376"/>
    </row>
    <row r="250" spans="1:12" x14ac:dyDescent="0.3">
      <c r="A250" s="380" t="s">
        <v>463</v>
      </c>
      <c r="B250" s="381">
        <v>1200000</v>
      </c>
      <c r="C250" s="381">
        <v>14520513</v>
      </c>
      <c r="D250" s="376"/>
      <c r="E250" s="376"/>
      <c r="F250" s="376"/>
      <c r="G250" s="376"/>
      <c r="H250" s="376"/>
      <c r="I250" s="376"/>
      <c r="J250" s="376"/>
      <c r="K250" s="376"/>
      <c r="L250" s="376"/>
    </row>
    <row r="251" spans="1:12" x14ac:dyDescent="0.3">
      <c r="A251" s="380" t="s">
        <v>465</v>
      </c>
      <c r="B251" s="381">
        <v>1110000</v>
      </c>
      <c r="C251" s="381">
        <v>14330769</v>
      </c>
      <c r="D251" s="376"/>
      <c r="E251" s="376"/>
      <c r="F251" s="376"/>
      <c r="G251" s="376"/>
      <c r="H251" s="376"/>
      <c r="I251" s="376"/>
      <c r="J251" s="376"/>
      <c r="K251" s="376"/>
      <c r="L251" s="376"/>
    </row>
    <row r="252" spans="1:12" x14ac:dyDescent="0.3">
      <c r="A252" s="380" t="s">
        <v>467</v>
      </c>
      <c r="B252" s="381">
        <f t="shared" ref="B252:B287" si="38">B251-30000</f>
        <v>1080000</v>
      </c>
      <c r="C252" s="381">
        <v>14141026</v>
      </c>
      <c r="D252" s="376"/>
      <c r="E252" s="376"/>
      <c r="F252" s="376"/>
      <c r="G252" s="376"/>
      <c r="H252" s="376"/>
      <c r="I252" s="376"/>
      <c r="J252" s="376"/>
      <c r="K252" s="376"/>
      <c r="L252" s="376"/>
    </row>
    <row r="253" spans="1:12" x14ac:dyDescent="0.3">
      <c r="A253" s="380" t="s">
        <v>469</v>
      </c>
      <c r="B253" s="381">
        <f t="shared" si="38"/>
        <v>1050000</v>
      </c>
      <c r="C253" s="381">
        <f t="shared" ref="C253:C287" si="39">C252-189743.6</f>
        <v>13951282.4</v>
      </c>
      <c r="D253" s="376"/>
      <c r="E253" s="376"/>
      <c r="F253" s="376"/>
      <c r="G253" s="376"/>
      <c r="H253" s="376"/>
      <c r="I253" s="376"/>
      <c r="J253" s="376"/>
      <c r="K253" s="376"/>
      <c r="L253" s="376"/>
    </row>
    <row r="254" spans="1:12" x14ac:dyDescent="0.3">
      <c r="A254" s="380" t="s">
        <v>471</v>
      </c>
      <c r="B254" s="381">
        <f t="shared" si="38"/>
        <v>1020000</v>
      </c>
      <c r="C254" s="381">
        <f t="shared" si="39"/>
        <v>13761538.800000001</v>
      </c>
      <c r="D254" s="376"/>
      <c r="E254" s="376"/>
      <c r="F254" s="376"/>
      <c r="G254" s="376"/>
      <c r="H254" s="376"/>
      <c r="I254" s="376"/>
      <c r="J254" s="376"/>
      <c r="K254" s="376"/>
      <c r="L254" s="376"/>
    </row>
    <row r="255" spans="1:12" x14ac:dyDescent="0.3">
      <c r="A255" s="380" t="s">
        <v>473</v>
      </c>
      <c r="B255" s="381">
        <f t="shared" si="38"/>
        <v>990000</v>
      </c>
      <c r="C255" s="381">
        <f t="shared" si="39"/>
        <v>13571795.200000001</v>
      </c>
      <c r="D255" s="376"/>
      <c r="E255" s="376"/>
      <c r="F255" s="376"/>
      <c r="G255" s="376"/>
      <c r="H255" s="376"/>
      <c r="I255" s="376"/>
      <c r="J255" s="376"/>
      <c r="K255" s="376"/>
      <c r="L255" s="376"/>
    </row>
    <row r="256" spans="1:12" x14ac:dyDescent="0.3">
      <c r="A256" s="380" t="s">
        <v>475</v>
      </c>
      <c r="B256" s="381">
        <f t="shared" si="38"/>
        <v>960000</v>
      </c>
      <c r="C256" s="381">
        <f t="shared" si="39"/>
        <v>13382051.600000001</v>
      </c>
      <c r="D256" s="376"/>
      <c r="E256" s="376"/>
      <c r="F256" s="376"/>
      <c r="G256" s="376"/>
      <c r="H256" s="376"/>
      <c r="I256" s="376"/>
      <c r="J256" s="376"/>
      <c r="K256" s="376"/>
      <c r="L256" s="376"/>
    </row>
    <row r="257" spans="1:12" x14ac:dyDescent="0.3">
      <c r="A257" s="380" t="s">
        <v>477</v>
      </c>
      <c r="B257" s="381">
        <f t="shared" si="38"/>
        <v>930000</v>
      </c>
      <c r="C257" s="381">
        <f t="shared" si="39"/>
        <v>13192308.000000002</v>
      </c>
      <c r="D257" s="376"/>
      <c r="E257" s="376"/>
      <c r="F257" s="376"/>
      <c r="G257" s="376"/>
      <c r="H257" s="376"/>
      <c r="I257" s="376"/>
      <c r="J257" s="376"/>
      <c r="K257" s="376"/>
      <c r="L257" s="376"/>
    </row>
    <row r="258" spans="1:12" x14ac:dyDescent="0.3">
      <c r="A258" s="380" t="s">
        <v>572</v>
      </c>
      <c r="B258" s="381">
        <f t="shared" si="38"/>
        <v>900000</v>
      </c>
      <c r="C258" s="381">
        <f t="shared" si="39"/>
        <v>13002564.400000002</v>
      </c>
      <c r="D258" s="376"/>
      <c r="E258" s="376"/>
      <c r="F258" s="376"/>
      <c r="G258" s="376"/>
      <c r="H258" s="376"/>
      <c r="I258" s="376"/>
      <c r="J258" s="376"/>
      <c r="K258" s="376"/>
      <c r="L258" s="376"/>
    </row>
    <row r="259" spans="1:12" x14ac:dyDescent="0.3">
      <c r="A259" s="380" t="s">
        <v>573</v>
      </c>
      <c r="B259" s="381">
        <f t="shared" si="38"/>
        <v>870000</v>
      </c>
      <c r="C259" s="381">
        <f t="shared" si="39"/>
        <v>12812820.800000003</v>
      </c>
      <c r="D259" s="376"/>
      <c r="E259" s="376"/>
      <c r="F259" s="376"/>
      <c r="G259" s="376"/>
      <c r="H259" s="376"/>
      <c r="I259" s="376"/>
      <c r="J259" s="376"/>
      <c r="K259" s="376"/>
      <c r="L259" s="376"/>
    </row>
    <row r="260" spans="1:12" x14ac:dyDescent="0.3">
      <c r="A260" s="380" t="s">
        <v>574</v>
      </c>
      <c r="B260" s="381">
        <f t="shared" si="38"/>
        <v>840000</v>
      </c>
      <c r="C260" s="381">
        <f t="shared" si="39"/>
        <v>12623077.200000003</v>
      </c>
      <c r="D260" s="376"/>
      <c r="E260" s="376"/>
      <c r="F260" s="376"/>
      <c r="G260" s="376"/>
      <c r="H260" s="376"/>
      <c r="I260" s="376"/>
      <c r="J260" s="376"/>
      <c r="K260" s="376"/>
      <c r="L260" s="376"/>
    </row>
    <row r="261" spans="1:12" x14ac:dyDescent="0.3">
      <c r="A261" s="380" t="s">
        <v>575</v>
      </c>
      <c r="B261" s="381">
        <f t="shared" si="38"/>
        <v>810000</v>
      </c>
      <c r="C261" s="381">
        <f t="shared" si="39"/>
        <v>12433333.600000003</v>
      </c>
      <c r="D261" s="376"/>
      <c r="E261" s="376"/>
      <c r="F261" s="376"/>
      <c r="G261" s="376"/>
      <c r="H261" s="376"/>
      <c r="I261" s="376"/>
      <c r="J261" s="376"/>
      <c r="K261" s="376"/>
      <c r="L261" s="376"/>
    </row>
    <row r="262" spans="1:12" x14ac:dyDescent="0.3">
      <c r="A262" s="380" t="s">
        <v>576</v>
      </c>
      <c r="B262" s="381">
        <f t="shared" si="38"/>
        <v>780000</v>
      </c>
      <c r="C262" s="381">
        <f t="shared" si="39"/>
        <v>12243590.000000004</v>
      </c>
      <c r="D262" s="376"/>
      <c r="E262" s="376"/>
      <c r="F262" s="376"/>
      <c r="G262" s="376"/>
      <c r="H262" s="376"/>
      <c r="I262" s="376"/>
      <c r="J262" s="376"/>
      <c r="K262" s="376"/>
      <c r="L262" s="376"/>
    </row>
    <row r="263" spans="1:12" x14ac:dyDescent="0.3">
      <c r="A263" s="380" t="s">
        <v>577</v>
      </c>
      <c r="B263" s="381">
        <f t="shared" si="38"/>
        <v>750000</v>
      </c>
      <c r="C263" s="381">
        <f t="shared" si="39"/>
        <v>12053846.400000004</v>
      </c>
      <c r="D263" s="376"/>
      <c r="E263" s="376"/>
      <c r="F263" s="376"/>
      <c r="G263" s="376"/>
      <c r="H263" s="376"/>
      <c r="I263" s="376"/>
      <c r="J263" s="376"/>
      <c r="K263" s="376"/>
      <c r="L263" s="376"/>
    </row>
    <row r="264" spans="1:12" x14ac:dyDescent="0.3">
      <c r="A264" s="380" t="s">
        <v>578</v>
      </c>
      <c r="B264" s="381">
        <f t="shared" si="38"/>
        <v>720000</v>
      </c>
      <c r="C264" s="381">
        <f t="shared" si="39"/>
        <v>11864102.800000004</v>
      </c>
      <c r="D264" s="376"/>
      <c r="E264" s="376"/>
      <c r="F264" s="376"/>
      <c r="G264" s="376"/>
      <c r="H264" s="376"/>
      <c r="I264" s="376"/>
      <c r="J264" s="376"/>
      <c r="K264" s="376"/>
      <c r="L264" s="376"/>
    </row>
    <row r="265" spans="1:12" x14ac:dyDescent="0.3">
      <c r="A265" s="380" t="s">
        <v>579</v>
      </c>
      <c r="B265" s="381">
        <f t="shared" si="38"/>
        <v>690000</v>
      </c>
      <c r="C265" s="381">
        <f t="shared" si="39"/>
        <v>11674359.200000005</v>
      </c>
      <c r="D265" s="376"/>
      <c r="E265" s="376"/>
      <c r="F265" s="376"/>
      <c r="G265" s="376"/>
      <c r="H265" s="376"/>
      <c r="I265" s="376"/>
      <c r="J265" s="376"/>
      <c r="K265" s="376"/>
      <c r="L265" s="376"/>
    </row>
    <row r="266" spans="1:12" x14ac:dyDescent="0.3">
      <c r="A266" s="380" t="s">
        <v>580</v>
      </c>
      <c r="B266" s="381">
        <f t="shared" si="38"/>
        <v>660000</v>
      </c>
      <c r="C266" s="381">
        <f t="shared" si="39"/>
        <v>11484615.600000005</v>
      </c>
      <c r="D266" s="376"/>
      <c r="E266" s="376"/>
      <c r="F266" s="376"/>
      <c r="G266" s="376"/>
      <c r="H266" s="376"/>
      <c r="I266" s="376"/>
      <c r="J266" s="376"/>
      <c r="K266" s="376"/>
      <c r="L266" s="376"/>
    </row>
    <row r="267" spans="1:12" x14ac:dyDescent="0.3">
      <c r="A267" s="380" t="s">
        <v>581</v>
      </c>
      <c r="B267" s="381">
        <f t="shared" si="38"/>
        <v>630000</v>
      </c>
      <c r="C267" s="381">
        <f t="shared" si="39"/>
        <v>11294872.000000006</v>
      </c>
      <c r="D267" s="376"/>
      <c r="E267" s="376"/>
      <c r="F267" s="376"/>
      <c r="G267" s="376"/>
      <c r="H267" s="376"/>
      <c r="I267" s="376"/>
      <c r="J267" s="376"/>
      <c r="K267" s="376"/>
      <c r="L267" s="376"/>
    </row>
    <row r="268" spans="1:12" x14ac:dyDescent="0.3">
      <c r="A268" s="380" t="s">
        <v>582</v>
      </c>
      <c r="B268" s="381">
        <f t="shared" si="38"/>
        <v>600000</v>
      </c>
      <c r="C268" s="381">
        <f t="shared" si="39"/>
        <v>11105128.400000006</v>
      </c>
      <c r="D268" s="376"/>
      <c r="E268" s="376"/>
      <c r="F268" s="376"/>
      <c r="G268" s="376"/>
      <c r="H268" s="376"/>
      <c r="I268" s="376"/>
      <c r="J268" s="376"/>
      <c r="K268" s="376"/>
      <c r="L268" s="376"/>
    </row>
    <row r="269" spans="1:12" x14ac:dyDescent="0.3">
      <c r="A269" s="380" t="s">
        <v>583</v>
      </c>
      <c r="B269" s="381">
        <f t="shared" si="38"/>
        <v>570000</v>
      </c>
      <c r="C269" s="381">
        <f t="shared" si="39"/>
        <v>10915384.800000006</v>
      </c>
      <c r="D269" s="376"/>
      <c r="E269" s="376"/>
      <c r="F269" s="376"/>
      <c r="G269" s="376"/>
      <c r="H269" s="376"/>
      <c r="I269" s="376"/>
      <c r="J269" s="376"/>
      <c r="K269" s="376"/>
      <c r="L269" s="376"/>
    </row>
    <row r="270" spans="1:12" x14ac:dyDescent="0.3">
      <c r="A270" s="380" t="s">
        <v>584</v>
      </c>
      <c r="B270" s="381">
        <f t="shared" si="38"/>
        <v>540000</v>
      </c>
      <c r="C270" s="381">
        <f t="shared" si="39"/>
        <v>10725641.200000007</v>
      </c>
      <c r="D270" s="376"/>
      <c r="E270" s="376"/>
      <c r="F270" s="376"/>
      <c r="G270" s="376"/>
      <c r="H270" s="376"/>
      <c r="I270" s="376"/>
      <c r="J270" s="376"/>
      <c r="K270" s="376"/>
      <c r="L270" s="376"/>
    </row>
    <row r="271" spans="1:12" x14ac:dyDescent="0.3">
      <c r="A271" s="380" t="s">
        <v>585</v>
      </c>
      <c r="B271" s="381">
        <f t="shared" si="38"/>
        <v>510000</v>
      </c>
      <c r="C271" s="381">
        <f t="shared" si="39"/>
        <v>10535897.600000007</v>
      </c>
      <c r="D271" s="376"/>
      <c r="E271" s="376"/>
      <c r="F271" s="376"/>
      <c r="G271" s="376"/>
      <c r="H271" s="376"/>
      <c r="I271" s="376"/>
      <c r="J271" s="376"/>
      <c r="K271" s="376"/>
      <c r="L271" s="376"/>
    </row>
    <row r="272" spans="1:12" x14ac:dyDescent="0.3">
      <c r="A272" s="380" t="s">
        <v>586</v>
      </c>
      <c r="B272" s="381">
        <f t="shared" si="38"/>
        <v>480000</v>
      </c>
      <c r="C272" s="381">
        <f t="shared" si="39"/>
        <v>10346154.000000007</v>
      </c>
      <c r="D272" s="376"/>
      <c r="E272" s="376"/>
      <c r="F272" s="376"/>
      <c r="G272" s="376"/>
      <c r="H272" s="376"/>
      <c r="I272" s="376"/>
      <c r="J272" s="376"/>
      <c r="K272" s="376"/>
      <c r="L272" s="376"/>
    </row>
    <row r="273" spans="1:12" x14ac:dyDescent="0.3">
      <c r="A273" s="380" t="s">
        <v>587</v>
      </c>
      <c r="B273" s="381">
        <f t="shared" si="38"/>
        <v>450000</v>
      </c>
      <c r="C273" s="381">
        <f t="shared" si="39"/>
        <v>10156410.400000008</v>
      </c>
      <c r="D273" s="376"/>
      <c r="E273" s="376"/>
      <c r="F273" s="376"/>
      <c r="G273" s="376"/>
      <c r="H273" s="376"/>
      <c r="I273" s="376"/>
      <c r="J273" s="376"/>
      <c r="K273" s="376"/>
      <c r="L273" s="376"/>
    </row>
    <row r="274" spans="1:12" x14ac:dyDescent="0.3">
      <c r="A274" s="380" t="s">
        <v>588</v>
      </c>
      <c r="B274" s="381">
        <f t="shared" si="38"/>
        <v>420000</v>
      </c>
      <c r="C274" s="381">
        <f t="shared" si="39"/>
        <v>9966666.8000000082</v>
      </c>
      <c r="D274" s="376"/>
      <c r="E274" s="376"/>
      <c r="F274" s="376"/>
      <c r="G274" s="376"/>
      <c r="H274" s="376"/>
      <c r="I274" s="376"/>
      <c r="J274" s="376"/>
      <c r="K274" s="376"/>
      <c r="L274" s="376"/>
    </row>
    <row r="275" spans="1:12" x14ac:dyDescent="0.3">
      <c r="A275" s="380" t="s">
        <v>589</v>
      </c>
      <c r="B275" s="381">
        <f t="shared" si="38"/>
        <v>390000</v>
      </c>
      <c r="C275" s="381">
        <f t="shared" si="39"/>
        <v>9776923.2000000086</v>
      </c>
      <c r="D275" s="376"/>
      <c r="E275" s="376"/>
      <c r="F275" s="376"/>
      <c r="G275" s="376"/>
      <c r="H275" s="376"/>
      <c r="I275" s="376"/>
      <c r="J275" s="376"/>
      <c r="K275" s="376"/>
      <c r="L275" s="376"/>
    </row>
    <row r="276" spans="1:12" x14ac:dyDescent="0.3">
      <c r="A276" s="380" t="s">
        <v>590</v>
      </c>
      <c r="B276" s="381">
        <f t="shared" si="38"/>
        <v>360000</v>
      </c>
      <c r="C276" s="381">
        <f t="shared" si="39"/>
        <v>9587179.6000000089</v>
      </c>
      <c r="D276" s="376"/>
      <c r="E276" s="376"/>
      <c r="F276" s="376"/>
      <c r="G276" s="376"/>
      <c r="H276" s="376"/>
      <c r="I276" s="376"/>
      <c r="J276" s="376"/>
      <c r="K276" s="376"/>
      <c r="L276" s="376"/>
    </row>
    <row r="277" spans="1:12" x14ac:dyDescent="0.3">
      <c r="A277" s="380" t="s">
        <v>591</v>
      </c>
      <c r="B277" s="381">
        <f t="shared" si="38"/>
        <v>330000</v>
      </c>
      <c r="C277" s="381">
        <f t="shared" si="39"/>
        <v>9397436.0000000093</v>
      </c>
      <c r="D277" s="376"/>
      <c r="E277" s="376"/>
      <c r="F277" s="376"/>
      <c r="G277" s="376"/>
      <c r="H277" s="376"/>
      <c r="I277" s="376"/>
      <c r="J277" s="376"/>
      <c r="K277" s="376"/>
      <c r="L277" s="376"/>
    </row>
    <row r="278" spans="1:12" x14ac:dyDescent="0.3">
      <c r="A278" s="380" t="s">
        <v>592</v>
      </c>
      <c r="B278" s="381">
        <f t="shared" si="38"/>
        <v>300000</v>
      </c>
      <c r="C278" s="381">
        <f t="shared" si="39"/>
        <v>9207692.4000000097</v>
      </c>
      <c r="D278" s="376"/>
      <c r="E278" s="376"/>
      <c r="F278" s="376"/>
      <c r="G278" s="376"/>
      <c r="H278" s="376"/>
      <c r="I278" s="376"/>
      <c r="J278" s="376"/>
      <c r="K278" s="376"/>
      <c r="L278" s="376"/>
    </row>
    <row r="279" spans="1:12" x14ac:dyDescent="0.3">
      <c r="A279" s="380" t="s">
        <v>593</v>
      </c>
      <c r="B279" s="381">
        <f t="shared" si="38"/>
        <v>270000</v>
      </c>
      <c r="C279" s="381">
        <f t="shared" si="39"/>
        <v>9017948.8000000101</v>
      </c>
      <c r="D279" s="376"/>
      <c r="E279" s="376"/>
      <c r="F279" s="376"/>
      <c r="G279" s="376"/>
      <c r="H279" s="376"/>
      <c r="I279" s="376"/>
      <c r="J279" s="376"/>
      <c r="K279" s="376"/>
      <c r="L279" s="376"/>
    </row>
    <row r="280" spans="1:12" x14ac:dyDescent="0.3">
      <c r="A280" s="380" t="s">
        <v>594</v>
      </c>
      <c r="B280" s="381">
        <f t="shared" si="38"/>
        <v>240000</v>
      </c>
      <c r="C280" s="381">
        <f t="shared" si="39"/>
        <v>8828205.2000000104</v>
      </c>
      <c r="D280" s="376"/>
      <c r="E280" s="376"/>
      <c r="F280" s="376"/>
      <c r="G280" s="376"/>
      <c r="H280" s="376"/>
      <c r="I280" s="376"/>
      <c r="J280" s="376"/>
      <c r="K280" s="376"/>
      <c r="L280" s="376"/>
    </row>
    <row r="281" spans="1:12" x14ac:dyDescent="0.3">
      <c r="A281" s="380" t="s">
        <v>595</v>
      </c>
      <c r="B281" s="381">
        <f t="shared" si="38"/>
        <v>210000</v>
      </c>
      <c r="C281" s="381">
        <f t="shared" si="39"/>
        <v>8638461.6000000108</v>
      </c>
      <c r="D281" s="376"/>
      <c r="E281" s="376"/>
      <c r="F281" s="376"/>
      <c r="G281" s="376"/>
      <c r="H281" s="376"/>
      <c r="I281" s="376"/>
      <c r="J281" s="376"/>
      <c r="K281" s="376"/>
      <c r="L281" s="376"/>
    </row>
    <row r="282" spans="1:12" x14ac:dyDescent="0.3">
      <c r="A282" s="380" t="s">
        <v>596</v>
      </c>
      <c r="B282" s="381">
        <f t="shared" si="38"/>
        <v>180000</v>
      </c>
      <c r="C282" s="381">
        <f t="shared" si="39"/>
        <v>8448718.0000000112</v>
      </c>
      <c r="D282" s="376"/>
      <c r="E282" s="376"/>
      <c r="F282" s="376"/>
      <c r="G282" s="376"/>
      <c r="H282" s="376"/>
      <c r="I282" s="376"/>
      <c r="J282" s="376"/>
      <c r="K282" s="376"/>
      <c r="L282" s="376"/>
    </row>
    <row r="283" spans="1:12" x14ac:dyDescent="0.3">
      <c r="A283" s="380" t="s">
        <v>597</v>
      </c>
      <c r="B283" s="381">
        <f t="shared" si="38"/>
        <v>150000</v>
      </c>
      <c r="C283" s="381">
        <f t="shared" si="39"/>
        <v>8258974.4000000115</v>
      </c>
      <c r="D283" s="376"/>
      <c r="E283" s="376"/>
      <c r="F283" s="376"/>
      <c r="G283" s="376"/>
      <c r="H283" s="376"/>
      <c r="I283" s="376"/>
      <c r="J283" s="376"/>
      <c r="K283" s="376"/>
      <c r="L283" s="376"/>
    </row>
    <row r="284" spans="1:12" x14ac:dyDescent="0.3">
      <c r="A284" s="380" t="s">
        <v>598</v>
      </c>
      <c r="B284" s="381">
        <f t="shared" si="38"/>
        <v>120000</v>
      </c>
      <c r="C284" s="381">
        <f t="shared" si="39"/>
        <v>8069230.8000000119</v>
      </c>
      <c r="D284" s="376"/>
      <c r="E284" s="376"/>
      <c r="F284" s="376"/>
      <c r="G284" s="376"/>
      <c r="H284" s="376"/>
      <c r="I284" s="376"/>
      <c r="J284" s="376"/>
      <c r="K284" s="376"/>
      <c r="L284" s="376"/>
    </row>
    <row r="285" spans="1:12" x14ac:dyDescent="0.3">
      <c r="A285" s="380" t="s">
        <v>599</v>
      </c>
      <c r="B285" s="381">
        <f t="shared" si="38"/>
        <v>90000</v>
      </c>
      <c r="C285" s="381">
        <f t="shared" si="39"/>
        <v>7879487.2000000123</v>
      </c>
      <c r="D285" s="376"/>
      <c r="E285" s="376"/>
      <c r="F285" s="376"/>
      <c r="G285" s="376"/>
      <c r="H285" s="376"/>
      <c r="I285" s="376"/>
      <c r="J285" s="376"/>
      <c r="K285" s="376"/>
      <c r="L285" s="376"/>
    </row>
    <row r="286" spans="1:12" x14ac:dyDescent="0.3">
      <c r="A286" s="380" t="s">
        <v>600</v>
      </c>
      <c r="B286" s="381">
        <f t="shared" si="38"/>
        <v>60000</v>
      </c>
      <c r="C286" s="381">
        <f t="shared" si="39"/>
        <v>7689743.6000000127</v>
      </c>
      <c r="D286" s="376"/>
      <c r="E286" s="376"/>
      <c r="F286" s="376"/>
      <c r="G286" s="376"/>
      <c r="H286" s="376"/>
      <c r="I286" s="376"/>
      <c r="J286" s="376"/>
      <c r="K286" s="376"/>
      <c r="L286" s="376"/>
    </row>
    <row r="287" spans="1:12" x14ac:dyDescent="0.3">
      <c r="A287" s="380" t="s">
        <v>601</v>
      </c>
      <c r="B287" s="381">
        <f t="shared" si="38"/>
        <v>30000</v>
      </c>
      <c r="C287" s="381">
        <f t="shared" si="39"/>
        <v>7500000.000000013</v>
      </c>
      <c r="D287" s="376"/>
      <c r="E287" s="376"/>
      <c r="F287" s="376"/>
      <c r="G287" s="376"/>
      <c r="H287" s="376"/>
      <c r="I287" s="376"/>
      <c r="J287" s="376"/>
      <c r="K287" s="376"/>
      <c r="L287" s="376"/>
    </row>
    <row r="288" spans="1:12" x14ac:dyDescent="0.3">
      <c r="A288" s="380" t="s">
        <v>480</v>
      </c>
      <c r="B288" s="381">
        <v>1000000</v>
      </c>
      <c r="C288" s="381">
        <v>12000000</v>
      </c>
      <c r="D288" s="376"/>
      <c r="E288" s="376"/>
      <c r="F288" s="376"/>
      <c r="G288" s="376"/>
      <c r="H288" s="376"/>
      <c r="I288" s="376"/>
      <c r="J288" s="376"/>
      <c r="K288" s="376"/>
      <c r="L288" s="376"/>
    </row>
    <row r="289" spans="1:12" x14ac:dyDescent="0.3">
      <c r="A289" s="380" t="s">
        <v>483</v>
      </c>
      <c r="B289" s="381">
        <v>900000</v>
      </c>
      <c r="C289" s="381">
        <v>11748718</v>
      </c>
      <c r="D289" s="376"/>
      <c r="E289" s="376"/>
      <c r="F289" s="376"/>
      <c r="G289" s="376"/>
      <c r="H289" s="376"/>
      <c r="I289" s="376"/>
      <c r="J289" s="376"/>
      <c r="K289" s="376"/>
      <c r="L289" s="376"/>
    </row>
    <row r="290" spans="1:12" x14ac:dyDescent="0.3">
      <c r="A290" s="380" t="s">
        <v>486</v>
      </c>
      <c r="B290" s="381">
        <v>800000</v>
      </c>
      <c r="C290" s="381">
        <v>11597436</v>
      </c>
      <c r="D290" s="376"/>
      <c r="E290" s="376"/>
      <c r="F290" s="376"/>
      <c r="G290" s="376"/>
      <c r="H290" s="376"/>
      <c r="I290" s="376"/>
      <c r="J290" s="376"/>
      <c r="K290" s="376"/>
      <c r="L290" s="376"/>
    </row>
    <row r="291" spans="1:12" x14ac:dyDescent="0.3">
      <c r="A291" s="380" t="s">
        <v>488</v>
      </c>
      <c r="B291" s="381">
        <v>740000</v>
      </c>
      <c r="C291" s="381">
        <v>11446154</v>
      </c>
      <c r="D291" s="376"/>
      <c r="E291" s="376"/>
      <c r="F291" s="376"/>
      <c r="G291" s="376"/>
      <c r="H291" s="376"/>
      <c r="I291" s="376"/>
      <c r="J291" s="376"/>
      <c r="K291" s="376"/>
      <c r="L291" s="376"/>
    </row>
    <row r="292" spans="1:12" x14ac:dyDescent="0.3">
      <c r="A292" s="380" t="s">
        <v>491</v>
      </c>
      <c r="B292" s="381">
        <v>720000</v>
      </c>
      <c r="C292" s="381">
        <f>C291-151282</f>
        <v>11294872</v>
      </c>
      <c r="D292" s="376"/>
      <c r="E292" s="376"/>
      <c r="F292" s="376"/>
      <c r="G292" s="376"/>
      <c r="H292" s="376"/>
      <c r="I292" s="376"/>
      <c r="J292" s="376"/>
      <c r="K292" s="376"/>
      <c r="L292" s="376"/>
    </row>
    <row r="293" spans="1:12" x14ac:dyDescent="0.3">
      <c r="A293" s="380" t="s">
        <v>494</v>
      </c>
      <c r="B293" s="381">
        <v>700000</v>
      </c>
      <c r="C293" s="381">
        <f t="shared" ref="C293:C327" si="40">C292-151282.057142857</f>
        <v>11143589.942857143</v>
      </c>
      <c r="D293" s="376"/>
      <c r="E293" s="376"/>
      <c r="F293" s="376"/>
      <c r="G293" s="376"/>
      <c r="H293" s="376"/>
      <c r="I293" s="376"/>
      <c r="J293" s="376"/>
      <c r="K293" s="376"/>
      <c r="L293" s="376"/>
    </row>
    <row r="294" spans="1:12" x14ac:dyDescent="0.3">
      <c r="A294" s="380" t="s">
        <v>497</v>
      </c>
      <c r="B294" s="381">
        <v>680000</v>
      </c>
      <c r="C294" s="381">
        <f t="shared" si="40"/>
        <v>10992307.885714285</v>
      </c>
      <c r="D294" s="376"/>
      <c r="E294" s="376"/>
      <c r="F294" s="376"/>
      <c r="G294" s="376"/>
      <c r="H294" s="376"/>
      <c r="I294" s="376"/>
      <c r="J294" s="376"/>
      <c r="K294" s="376"/>
      <c r="L294" s="376"/>
    </row>
    <row r="295" spans="1:12" x14ac:dyDescent="0.3">
      <c r="A295" s="380" t="s">
        <v>500</v>
      </c>
      <c r="B295" s="381">
        <v>660000</v>
      </c>
      <c r="C295" s="381">
        <f t="shared" si="40"/>
        <v>10841025.828571428</v>
      </c>
      <c r="D295" s="376"/>
      <c r="E295" s="376"/>
      <c r="F295" s="376"/>
      <c r="G295" s="376"/>
      <c r="H295" s="376"/>
      <c r="I295" s="376"/>
      <c r="J295" s="376"/>
      <c r="K295" s="376"/>
      <c r="L295" s="376"/>
    </row>
    <row r="296" spans="1:12" x14ac:dyDescent="0.3">
      <c r="A296" s="380" t="s">
        <v>503</v>
      </c>
      <c r="B296" s="381">
        <v>640000</v>
      </c>
      <c r="C296" s="381">
        <f t="shared" si="40"/>
        <v>10689743.77142857</v>
      </c>
      <c r="D296" s="376"/>
      <c r="E296" s="376"/>
      <c r="F296" s="376"/>
      <c r="G296" s="376"/>
      <c r="H296" s="376"/>
      <c r="I296" s="376"/>
      <c r="J296" s="376"/>
      <c r="K296" s="376"/>
      <c r="L296" s="376"/>
    </row>
    <row r="297" spans="1:12" x14ac:dyDescent="0.3">
      <c r="A297" s="380" t="s">
        <v>506</v>
      </c>
      <c r="B297" s="381">
        <v>620000</v>
      </c>
      <c r="C297" s="381">
        <f t="shared" si="40"/>
        <v>10538461.714285713</v>
      </c>
      <c r="D297" s="376"/>
      <c r="E297" s="376"/>
      <c r="F297" s="376"/>
      <c r="G297" s="376"/>
      <c r="H297" s="376"/>
      <c r="I297" s="376"/>
      <c r="J297" s="376"/>
      <c r="K297" s="376"/>
      <c r="L297" s="376"/>
    </row>
    <row r="298" spans="1:12" x14ac:dyDescent="0.3">
      <c r="A298" s="380" t="s">
        <v>602</v>
      </c>
      <c r="B298" s="381">
        <v>600000</v>
      </c>
      <c r="C298" s="381">
        <f t="shared" si="40"/>
        <v>10387179.657142855</v>
      </c>
      <c r="D298" s="376"/>
      <c r="E298" s="376"/>
      <c r="F298" s="376"/>
      <c r="G298" s="376"/>
      <c r="H298" s="376"/>
      <c r="I298" s="376"/>
      <c r="J298" s="376"/>
      <c r="K298" s="376"/>
      <c r="L298" s="376"/>
    </row>
    <row r="299" spans="1:12" x14ac:dyDescent="0.3">
      <c r="A299" s="380" t="s">
        <v>603</v>
      </c>
      <c r="B299" s="381">
        <v>580000</v>
      </c>
      <c r="C299" s="381">
        <f t="shared" si="40"/>
        <v>10235897.599999998</v>
      </c>
      <c r="D299" s="376"/>
      <c r="E299" s="376"/>
      <c r="F299" s="376"/>
      <c r="G299" s="376"/>
      <c r="H299" s="376"/>
      <c r="I299" s="376"/>
      <c r="J299" s="376"/>
      <c r="K299" s="376"/>
      <c r="L299" s="376"/>
    </row>
    <row r="300" spans="1:12" x14ac:dyDescent="0.3">
      <c r="A300" s="380" t="s">
        <v>604</v>
      </c>
      <c r="B300" s="381">
        <v>560000</v>
      </c>
      <c r="C300" s="381">
        <f t="shared" si="40"/>
        <v>10084615.54285714</v>
      </c>
      <c r="D300" s="376"/>
      <c r="E300" s="376"/>
      <c r="F300" s="376"/>
      <c r="G300" s="376"/>
      <c r="H300" s="376"/>
      <c r="I300" s="376"/>
      <c r="J300" s="376"/>
      <c r="K300" s="376"/>
      <c r="L300" s="376"/>
    </row>
    <row r="301" spans="1:12" x14ac:dyDescent="0.3">
      <c r="A301" s="380" t="s">
        <v>605</v>
      </c>
      <c r="B301" s="381">
        <v>540000</v>
      </c>
      <c r="C301" s="381">
        <f t="shared" si="40"/>
        <v>9933333.4857142828</v>
      </c>
      <c r="D301" s="376"/>
      <c r="E301" s="376"/>
      <c r="F301" s="376"/>
      <c r="G301" s="376"/>
      <c r="H301" s="376"/>
      <c r="I301" s="376"/>
      <c r="J301" s="376"/>
      <c r="K301" s="376"/>
      <c r="L301" s="376"/>
    </row>
    <row r="302" spans="1:12" x14ac:dyDescent="0.3">
      <c r="A302" s="380" t="s">
        <v>606</v>
      </c>
      <c r="B302" s="381">
        <v>520000</v>
      </c>
      <c r="C302" s="381">
        <f t="shared" si="40"/>
        <v>9782051.4285714254</v>
      </c>
      <c r="D302" s="376"/>
      <c r="E302" s="376"/>
      <c r="F302" s="376"/>
      <c r="G302" s="376"/>
      <c r="H302" s="376"/>
      <c r="I302" s="376"/>
      <c r="J302" s="376"/>
      <c r="K302" s="376"/>
      <c r="L302" s="376"/>
    </row>
    <row r="303" spans="1:12" x14ac:dyDescent="0.3">
      <c r="A303" s="380" t="s">
        <v>607</v>
      </c>
      <c r="B303" s="381">
        <v>500000</v>
      </c>
      <c r="C303" s="381">
        <f t="shared" si="40"/>
        <v>9630769.3714285679</v>
      </c>
      <c r="D303" s="376"/>
      <c r="E303" s="376"/>
      <c r="F303" s="376"/>
      <c r="G303" s="376"/>
      <c r="H303" s="376"/>
      <c r="I303" s="376"/>
      <c r="J303" s="376"/>
      <c r="K303" s="376"/>
      <c r="L303" s="376"/>
    </row>
    <row r="304" spans="1:12" x14ac:dyDescent="0.3">
      <c r="A304" s="380" t="s">
        <v>608</v>
      </c>
      <c r="B304" s="381">
        <v>480000</v>
      </c>
      <c r="C304" s="381">
        <f t="shared" si="40"/>
        <v>9479487.3142857105</v>
      </c>
      <c r="D304" s="376"/>
      <c r="E304" s="376"/>
      <c r="F304" s="376"/>
      <c r="G304" s="376"/>
      <c r="H304" s="376"/>
      <c r="I304" s="376"/>
      <c r="J304" s="376"/>
      <c r="K304" s="376"/>
      <c r="L304" s="376"/>
    </row>
    <row r="305" spans="1:12" x14ac:dyDescent="0.3">
      <c r="A305" s="380" t="s">
        <v>609</v>
      </c>
      <c r="B305" s="381">
        <v>460000</v>
      </c>
      <c r="C305" s="381">
        <f t="shared" si="40"/>
        <v>9328205.257142853</v>
      </c>
      <c r="D305" s="376"/>
      <c r="E305" s="376"/>
      <c r="F305" s="376"/>
      <c r="G305" s="376"/>
      <c r="H305" s="376"/>
      <c r="I305" s="376"/>
      <c r="J305" s="376"/>
      <c r="K305" s="376"/>
      <c r="L305" s="376"/>
    </row>
    <row r="306" spans="1:12" x14ac:dyDescent="0.3">
      <c r="A306" s="380" t="s">
        <v>610</v>
      </c>
      <c r="B306" s="381">
        <v>440000</v>
      </c>
      <c r="C306" s="381">
        <f t="shared" si="40"/>
        <v>9176923.1999999955</v>
      </c>
      <c r="D306" s="376"/>
      <c r="E306" s="376"/>
      <c r="F306" s="376"/>
      <c r="G306" s="376"/>
      <c r="H306" s="376"/>
      <c r="I306" s="376"/>
      <c r="J306" s="376"/>
      <c r="K306" s="376"/>
      <c r="L306" s="376"/>
    </row>
    <row r="307" spans="1:12" x14ac:dyDescent="0.3">
      <c r="A307" s="380" t="s">
        <v>611</v>
      </c>
      <c r="B307" s="381">
        <v>420000</v>
      </c>
      <c r="C307" s="381">
        <f t="shared" si="40"/>
        <v>9025641.1428571381</v>
      </c>
      <c r="D307" s="376"/>
      <c r="E307" s="376"/>
      <c r="F307" s="376"/>
      <c r="G307" s="376"/>
      <c r="H307" s="376"/>
      <c r="I307" s="376"/>
      <c r="J307" s="376"/>
      <c r="K307" s="376"/>
      <c r="L307" s="376"/>
    </row>
    <row r="308" spans="1:12" x14ac:dyDescent="0.3">
      <c r="A308" s="380" t="s">
        <v>612</v>
      </c>
      <c r="B308" s="381">
        <v>400000</v>
      </c>
      <c r="C308" s="381">
        <f t="shared" si="40"/>
        <v>8874359.0857142806</v>
      </c>
      <c r="D308" s="376"/>
      <c r="E308" s="376"/>
      <c r="F308" s="376"/>
      <c r="G308" s="376"/>
      <c r="H308" s="376"/>
      <c r="I308" s="376"/>
      <c r="J308" s="376"/>
      <c r="K308" s="376"/>
      <c r="L308" s="376"/>
    </row>
    <row r="309" spans="1:12" x14ac:dyDescent="0.3">
      <c r="A309" s="380" t="s">
        <v>613</v>
      </c>
      <c r="B309" s="381">
        <v>38000</v>
      </c>
      <c r="C309" s="381">
        <f t="shared" si="40"/>
        <v>8723077.0285714231</v>
      </c>
      <c r="D309" s="376"/>
      <c r="E309" s="376"/>
      <c r="F309" s="376"/>
      <c r="G309" s="376"/>
      <c r="H309" s="376"/>
      <c r="I309" s="376"/>
      <c r="J309" s="376"/>
      <c r="K309" s="376"/>
      <c r="L309" s="376"/>
    </row>
    <row r="310" spans="1:12" x14ac:dyDescent="0.3">
      <c r="A310" s="380" t="s">
        <v>614</v>
      </c>
      <c r="B310" s="381">
        <v>360000</v>
      </c>
      <c r="C310" s="381">
        <f t="shared" si="40"/>
        <v>8571794.9714285657</v>
      </c>
      <c r="D310" s="376"/>
      <c r="E310" s="376"/>
      <c r="F310" s="376"/>
      <c r="G310" s="376"/>
      <c r="H310" s="376"/>
      <c r="I310" s="376"/>
      <c r="J310" s="376"/>
      <c r="K310" s="376"/>
      <c r="L310" s="376"/>
    </row>
    <row r="311" spans="1:12" x14ac:dyDescent="0.3">
      <c r="A311" s="380" t="s">
        <v>615</v>
      </c>
      <c r="B311" s="381">
        <v>340000</v>
      </c>
      <c r="C311" s="381">
        <f t="shared" si="40"/>
        <v>8420512.9142857082</v>
      </c>
      <c r="D311" s="376"/>
      <c r="E311" s="376"/>
      <c r="F311" s="376"/>
      <c r="G311" s="376"/>
      <c r="H311" s="376"/>
      <c r="I311" s="376"/>
      <c r="J311" s="376"/>
      <c r="K311" s="376"/>
      <c r="L311" s="376"/>
    </row>
    <row r="312" spans="1:12" x14ac:dyDescent="0.3">
      <c r="A312" s="380" t="s">
        <v>616</v>
      </c>
      <c r="B312" s="381">
        <v>320000</v>
      </c>
      <c r="C312" s="381">
        <f t="shared" si="40"/>
        <v>8269230.8571428508</v>
      </c>
      <c r="D312" s="376"/>
      <c r="E312" s="376"/>
      <c r="F312" s="376"/>
      <c r="G312" s="376"/>
      <c r="H312" s="376"/>
      <c r="I312" s="376"/>
      <c r="J312" s="376"/>
      <c r="K312" s="376"/>
      <c r="L312" s="376"/>
    </row>
    <row r="313" spans="1:12" x14ac:dyDescent="0.3">
      <c r="A313" s="380" t="s">
        <v>617</v>
      </c>
      <c r="B313" s="381">
        <v>300000</v>
      </c>
      <c r="C313" s="381">
        <f t="shared" si="40"/>
        <v>8117948.7999999933</v>
      </c>
      <c r="D313" s="376"/>
      <c r="E313" s="376"/>
      <c r="F313" s="376"/>
      <c r="G313" s="376"/>
      <c r="H313" s="376"/>
      <c r="I313" s="376"/>
      <c r="J313" s="376"/>
      <c r="K313" s="376"/>
      <c r="L313" s="376"/>
    </row>
    <row r="314" spans="1:12" x14ac:dyDescent="0.3">
      <c r="A314" s="380" t="s">
        <v>618</v>
      </c>
      <c r="B314" s="381">
        <v>280000</v>
      </c>
      <c r="C314" s="381">
        <f t="shared" si="40"/>
        <v>7966666.7428571358</v>
      </c>
      <c r="D314" s="376"/>
      <c r="E314" s="376"/>
      <c r="F314" s="376"/>
      <c r="G314" s="376"/>
      <c r="H314" s="376"/>
      <c r="I314" s="376"/>
      <c r="J314" s="376"/>
      <c r="K314" s="376"/>
      <c r="L314" s="376"/>
    </row>
    <row r="315" spans="1:12" x14ac:dyDescent="0.3">
      <c r="A315" s="380" t="s">
        <v>619</v>
      </c>
      <c r="B315" s="381">
        <v>260000</v>
      </c>
      <c r="C315" s="381">
        <f t="shared" si="40"/>
        <v>7815384.6857142784</v>
      </c>
      <c r="D315" s="376"/>
      <c r="E315" s="376"/>
      <c r="F315" s="376"/>
      <c r="G315" s="376"/>
      <c r="H315" s="376"/>
      <c r="I315" s="376"/>
      <c r="J315" s="376"/>
      <c r="K315" s="376"/>
      <c r="L315" s="376"/>
    </row>
    <row r="316" spans="1:12" x14ac:dyDescent="0.3">
      <c r="A316" s="380" t="s">
        <v>620</v>
      </c>
      <c r="B316" s="381">
        <v>240000</v>
      </c>
      <c r="C316" s="381">
        <f t="shared" si="40"/>
        <v>7664102.6285714209</v>
      </c>
      <c r="D316" s="376"/>
      <c r="E316" s="376"/>
      <c r="F316" s="376"/>
      <c r="G316" s="376"/>
      <c r="H316" s="376"/>
      <c r="I316" s="376"/>
      <c r="J316" s="376"/>
      <c r="K316" s="376"/>
      <c r="L316" s="376"/>
    </row>
    <row r="317" spans="1:12" x14ac:dyDescent="0.3">
      <c r="A317" s="380" t="s">
        <v>621</v>
      </c>
      <c r="B317" s="381">
        <v>220000</v>
      </c>
      <c r="C317" s="381">
        <f t="shared" si="40"/>
        <v>7512820.5714285634</v>
      </c>
      <c r="D317" s="376"/>
      <c r="E317" s="376"/>
      <c r="F317" s="376"/>
      <c r="G317" s="376"/>
      <c r="H317" s="376"/>
      <c r="I317" s="376"/>
      <c r="J317" s="376"/>
      <c r="K317" s="376"/>
      <c r="L317" s="376"/>
    </row>
    <row r="318" spans="1:12" x14ac:dyDescent="0.3">
      <c r="A318" s="380" t="s">
        <v>622</v>
      </c>
      <c r="B318" s="381">
        <v>200000</v>
      </c>
      <c r="C318" s="381">
        <f t="shared" si="40"/>
        <v>7361538.514285706</v>
      </c>
      <c r="D318" s="376"/>
      <c r="E318" s="376"/>
      <c r="F318" s="376"/>
      <c r="G318" s="376"/>
      <c r="H318" s="376"/>
      <c r="I318" s="376"/>
      <c r="J318" s="376"/>
      <c r="K318" s="376"/>
      <c r="L318" s="376"/>
    </row>
    <row r="319" spans="1:12" x14ac:dyDescent="0.3">
      <c r="A319" s="380" t="s">
        <v>623</v>
      </c>
      <c r="B319" s="381">
        <v>180000</v>
      </c>
      <c r="C319" s="381">
        <f t="shared" si="40"/>
        <v>7210256.4571428485</v>
      </c>
      <c r="D319" s="376"/>
      <c r="E319" s="376"/>
      <c r="F319" s="376"/>
      <c r="G319" s="376"/>
      <c r="H319" s="376"/>
      <c r="I319" s="376"/>
      <c r="J319" s="376"/>
      <c r="K319" s="376"/>
      <c r="L319" s="376"/>
    </row>
    <row r="320" spans="1:12" x14ac:dyDescent="0.3">
      <c r="A320" s="380" t="s">
        <v>624</v>
      </c>
      <c r="B320" s="381">
        <v>160000</v>
      </c>
      <c r="C320" s="381">
        <f t="shared" si="40"/>
        <v>7058974.3999999911</v>
      </c>
      <c r="D320" s="376"/>
      <c r="E320" s="376"/>
      <c r="F320" s="376"/>
      <c r="G320" s="376"/>
      <c r="H320" s="376"/>
      <c r="I320" s="376"/>
      <c r="J320" s="376"/>
      <c r="K320" s="376"/>
      <c r="L320" s="376"/>
    </row>
    <row r="321" spans="1:12" x14ac:dyDescent="0.3">
      <c r="A321" s="380" t="s">
        <v>625</v>
      </c>
      <c r="B321" s="381">
        <v>140000</v>
      </c>
      <c r="C321" s="381">
        <f t="shared" si="40"/>
        <v>6907692.3428571336</v>
      </c>
      <c r="D321" s="376"/>
      <c r="E321" s="376"/>
      <c r="F321" s="376"/>
      <c r="G321" s="376"/>
      <c r="H321" s="376"/>
      <c r="I321" s="376"/>
      <c r="J321" s="376"/>
      <c r="K321" s="376"/>
      <c r="L321" s="376"/>
    </row>
    <row r="322" spans="1:12" x14ac:dyDescent="0.3">
      <c r="A322" s="380" t="s">
        <v>626</v>
      </c>
      <c r="B322" s="381">
        <v>120000</v>
      </c>
      <c r="C322" s="381">
        <f t="shared" si="40"/>
        <v>6756410.2857142761</v>
      </c>
      <c r="D322" s="376"/>
      <c r="E322" s="376"/>
      <c r="F322" s="376"/>
      <c r="G322" s="376"/>
      <c r="H322" s="376"/>
      <c r="I322" s="376"/>
      <c r="J322" s="376"/>
      <c r="K322" s="376"/>
      <c r="L322" s="376"/>
    </row>
    <row r="323" spans="1:12" x14ac:dyDescent="0.3">
      <c r="A323" s="380" t="s">
        <v>627</v>
      </c>
      <c r="B323" s="381">
        <v>100000</v>
      </c>
      <c r="C323" s="381">
        <f t="shared" si="40"/>
        <v>6605128.2285714187</v>
      </c>
      <c r="D323" s="376"/>
      <c r="E323" s="376"/>
      <c r="F323" s="376"/>
      <c r="G323" s="376"/>
      <c r="H323" s="376"/>
      <c r="I323" s="376"/>
      <c r="J323" s="376"/>
      <c r="K323" s="376"/>
      <c r="L323" s="376"/>
    </row>
    <row r="324" spans="1:12" x14ac:dyDescent="0.3">
      <c r="A324" s="380" t="s">
        <v>628</v>
      </c>
      <c r="B324" s="381">
        <v>80000</v>
      </c>
      <c r="C324" s="381">
        <f t="shared" si="40"/>
        <v>6453846.1714285612</v>
      </c>
      <c r="D324" s="376"/>
      <c r="E324" s="376"/>
      <c r="F324" s="376"/>
      <c r="G324" s="376"/>
      <c r="H324" s="376"/>
      <c r="I324" s="376"/>
      <c r="J324" s="376"/>
      <c r="K324" s="376"/>
      <c r="L324" s="376"/>
    </row>
    <row r="325" spans="1:12" x14ac:dyDescent="0.3">
      <c r="A325" s="380" t="s">
        <v>629</v>
      </c>
      <c r="B325" s="381">
        <v>60000</v>
      </c>
      <c r="C325" s="381">
        <f t="shared" si="40"/>
        <v>6302564.1142857037</v>
      </c>
      <c r="D325" s="376"/>
      <c r="E325" s="376"/>
      <c r="F325" s="376"/>
      <c r="G325" s="376"/>
      <c r="H325" s="376"/>
      <c r="I325" s="376"/>
      <c r="J325" s="376"/>
      <c r="K325" s="376"/>
      <c r="L325" s="376"/>
    </row>
    <row r="326" spans="1:12" x14ac:dyDescent="0.3">
      <c r="A326" s="380" t="s">
        <v>630</v>
      </c>
      <c r="B326" s="381">
        <v>40000</v>
      </c>
      <c r="C326" s="381">
        <f t="shared" si="40"/>
        <v>6151282.0571428463</v>
      </c>
      <c r="D326" s="376"/>
      <c r="E326" s="376"/>
      <c r="F326" s="376"/>
      <c r="G326" s="376"/>
      <c r="H326" s="376"/>
      <c r="I326" s="376"/>
      <c r="J326" s="376"/>
      <c r="K326" s="376"/>
      <c r="L326" s="376"/>
    </row>
    <row r="327" spans="1:12" x14ac:dyDescent="0.3">
      <c r="A327" s="380" t="s">
        <v>631</v>
      </c>
      <c r="B327" s="381">
        <v>20000</v>
      </c>
      <c r="C327" s="381">
        <f t="shared" si="40"/>
        <v>5999999.9999999888</v>
      </c>
      <c r="D327" s="376"/>
      <c r="E327" s="376"/>
      <c r="F327" s="376"/>
      <c r="G327" s="376"/>
      <c r="H327" s="376"/>
      <c r="I327" s="376"/>
      <c r="J327" s="376"/>
      <c r="K327" s="376"/>
      <c r="L327" s="376"/>
    </row>
    <row r="328" spans="1:12" x14ac:dyDescent="0.3">
      <c r="A328" s="382" t="s">
        <v>509</v>
      </c>
      <c r="B328" s="381">
        <v>500000</v>
      </c>
      <c r="C328" s="381">
        <v>8000000</v>
      </c>
      <c r="D328" s="376"/>
      <c r="E328" s="376"/>
      <c r="F328" s="376"/>
      <c r="G328" s="376"/>
      <c r="H328" s="376"/>
      <c r="I328" s="376"/>
      <c r="J328" s="376"/>
      <c r="K328" s="376"/>
      <c r="L328" s="376"/>
    </row>
    <row r="329" spans="1:12" x14ac:dyDescent="0.3">
      <c r="A329" s="382" t="s">
        <v>512</v>
      </c>
      <c r="B329" s="381">
        <v>450000</v>
      </c>
      <c r="C329" s="381">
        <v>7800000</v>
      </c>
      <c r="D329" s="376"/>
      <c r="E329" s="376"/>
      <c r="F329" s="376"/>
      <c r="G329" s="376"/>
      <c r="H329" s="376"/>
      <c r="I329" s="376"/>
      <c r="J329" s="376"/>
      <c r="K329" s="376"/>
      <c r="L329" s="376"/>
    </row>
    <row r="330" spans="1:12" x14ac:dyDescent="0.3">
      <c r="A330" s="382" t="s">
        <v>513</v>
      </c>
      <c r="B330" s="381">
        <v>400000</v>
      </c>
      <c r="C330" s="381">
        <v>7700000</v>
      </c>
      <c r="D330" s="376"/>
      <c r="E330" s="376"/>
      <c r="F330" s="376"/>
      <c r="G330" s="376"/>
      <c r="H330" s="376"/>
      <c r="I330" s="376"/>
      <c r="J330" s="376"/>
      <c r="K330" s="376"/>
      <c r="L330" s="376"/>
    </row>
    <row r="331" spans="1:12" x14ac:dyDescent="0.3">
      <c r="A331" s="382" t="s">
        <v>514</v>
      </c>
      <c r="B331" s="381">
        <v>370000</v>
      </c>
      <c r="C331" s="381">
        <v>7600000</v>
      </c>
      <c r="D331" s="376"/>
      <c r="E331" s="376"/>
      <c r="F331" s="376"/>
      <c r="G331" s="376"/>
      <c r="H331" s="376"/>
      <c r="I331" s="376"/>
      <c r="J331" s="376"/>
      <c r="K331" s="376"/>
      <c r="L331" s="376"/>
    </row>
    <row r="332" spans="1:12" x14ac:dyDescent="0.3">
      <c r="A332" s="382" t="s">
        <v>515</v>
      </c>
      <c r="B332" s="381">
        <v>360000</v>
      </c>
      <c r="C332" s="381">
        <v>7500000</v>
      </c>
      <c r="D332" s="376"/>
      <c r="E332" s="376"/>
      <c r="F332" s="376"/>
      <c r="G332" s="376"/>
      <c r="H332" s="376"/>
      <c r="I332" s="376"/>
      <c r="J332" s="376"/>
      <c r="K332" s="376"/>
      <c r="L332" s="376"/>
    </row>
    <row r="333" spans="1:12" x14ac:dyDescent="0.3">
      <c r="A333" s="382" t="s">
        <v>516</v>
      </c>
      <c r="B333" s="381">
        <f t="shared" ref="B333:B367" si="41">B332-10000</f>
        <v>350000</v>
      </c>
      <c r="C333" s="381">
        <f t="shared" ref="C333:C367" si="42">C332-100000</f>
        <v>7400000</v>
      </c>
      <c r="D333" s="376"/>
      <c r="E333" s="376"/>
      <c r="F333" s="376"/>
      <c r="G333" s="376"/>
      <c r="H333" s="376"/>
      <c r="I333" s="376"/>
      <c r="J333" s="376"/>
      <c r="K333" s="376"/>
      <c r="L333" s="376"/>
    </row>
    <row r="334" spans="1:12" x14ac:dyDescent="0.3">
      <c r="A334" s="382" t="s">
        <v>520</v>
      </c>
      <c r="B334" s="381">
        <f t="shared" si="41"/>
        <v>340000</v>
      </c>
      <c r="C334" s="381">
        <f t="shared" si="42"/>
        <v>7300000</v>
      </c>
      <c r="D334" s="376"/>
      <c r="E334" s="376"/>
      <c r="F334" s="376"/>
      <c r="G334" s="376"/>
      <c r="H334" s="376"/>
      <c r="I334" s="376"/>
      <c r="J334" s="376"/>
      <c r="K334" s="376"/>
      <c r="L334" s="376"/>
    </row>
    <row r="335" spans="1:12" x14ac:dyDescent="0.3">
      <c r="A335" s="382" t="s">
        <v>524</v>
      </c>
      <c r="B335" s="381">
        <f t="shared" si="41"/>
        <v>330000</v>
      </c>
      <c r="C335" s="381">
        <f t="shared" si="42"/>
        <v>7200000</v>
      </c>
      <c r="D335" s="376"/>
      <c r="E335" s="376"/>
      <c r="F335" s="376"/>
      <c r="G335" s="376"/>
      <c r="H335" s="376"/>
      <c r="I335" s="376"/>
      <c r="J335" s="376"/>
      <c r="K335" s="376"/>
      <c r="L335" s="376"/>
    </row>
    <row r="336" spans="1:12" x14ac:dyDescent="0.3">
      <c r="A336" s="382" t="s">
        <v>528</v>
      </c>
      <c r="B336" s="381">
        <f t="shared" si="41"/>
        <v>320000</v>
      </c>
      <c r="C336" s="381">
        <f t="shared" si="42"/>
        <v>7100000</v>
      </c>
      <c r="D336" s="376"/>
      <c r="E336" s="376"/>
      <c r="F336" s="376"/>
      <c r="G336" s="376"/>
      <c r="H336" s="376"/>
      <c r="I336" s="376"/>
      <c r="J336" s="376"/>
      <c r="K336" s="376"/>
      <c r="L336" s="376"/>
    </row>
    <row r="337" spans="1:12" x14ac:dyDescent="0.3">
      <c r="A337" s="382" t="s">
        <v>532</v>
      </c>
      <c r="B337" s="381">
        <f t="shared" si="41"/>
        <v>310000</v>
      </c>
      <c r="C337" s="381">
        <f t="shared" si="42"/>
        <v>7000000</v>
      </c>
      <c r="D337" s="376"/>
      <c r="E337" s="376"/>
      <c r="F337" s="376"/>
      <c r="G337" s="376"/>
      <c r="H337" s="376"/>
      <c r="I337" s="376"/>
      <c r="J337" s="376"/>
      <c r="K337" s="376"/>
      <c r="L337" s="376"/>
    </row>
    <row r="338" spans="1:12" x14ac:dyDescent="0.3">
      <c r="A338" s="382" t="s">
        <v>632</v>
      </c>
      <c r="B338" s="381">
        <f t="shared" si="41"/>
        <v>300000</v>
      </c>
      <c r="C338" s="381">
        <f t="shared" si="42"/>
        <v>6900000</v>
      </c>
      <c r="D338" s="376"/>
      <c r="E338" s="376"/>
      <c r="F338" s="376"/>
      <c r="G338" s="376"/>
      <c r="H338" s="376"/>
      <c r="I338" s="376"/>
      <c r="J338" s="376"/>
      <c r="K338" s="376"/>
      <c r="L338" s="376"/>
    </row>
    <row r="339" spans="1:12" x14ac:dyDescent="0.3">
      <c r="A339" s="382" t="s">
        <v>633</v>
      </c>
      <c r="B339" s="381">
        <f t="shared" si="41"/>
        <v>290000</v>
      </c>
      <c r="C339" s="381">
        <f t="shared" si="42"/>
        <v>6800000</v>
      </c>
      <c r="D339" s="376"/>
      <c r="E339" s="376"/>
      <c r="F339" s="376"/>
      <c r="G339" s="376"/>
      <c r="H339" s="376"/>
      <c r="I339" s="376"/>
      <c r="J339" s="376"/>
      <c r="K339" s="376"/>
      <c r="L339" s="376"/>
    </row>
    <row r="340" spans="1:12" x14ac:dyDescent="0.3">
      <c r="A340" s="382" t="s">
        <v>634</v>
      </c>
      <c r="B340" s="381">
        <f t="shared" si="41"/>
        <v>280000</v>
      </c>
      <c r="C340" s="381">
        <f t="shared" si="42"/>
        <v>6700000</v>
      </c>
      <c r="D340" s="376"/>
      <c r="E340" s="376"/>
      <c r="F340" s="376"/>
      <c r="G340" s="376"/>
      <c r="H340" s="376"/>
      <c r="I340" s="376"/>
      <c r="J340" s="376"/>
      <c r="K340" s="376"/>
      <c r="L340" s="376"/>
    </row>
    <row r="341" spans="1:12" x14ac:dyDescent="0.3">
      <c r="A341" s="382" t="s">
        <v>635</v>
      </c>
      <c r="B341" s="381">
        <f t="shared" si="41"/>
        <v>270000</v>
      </c>
      <c r="C341" s="381">
        <f t="shared" si="42"/>
        <v>6600000</v>
      </c>
      <c r="D341" s="376"/>
      <c r="E341" s="376"/>
      <c r="F341" s="376"/>
      <c r="G341" s="376"/>
      <c r="H341" s="376"/>
      <c r="I341" s="376"/>
      <c r="J341" s="376"/>
      <c r="K341" s="376"/>
      <c r="L341" s="376"/>
    </row>
    <row r="342" spans="1:12" x14ac:dyDescent="0.3">
      <c r="A342" s="382" t="s">
        <v>636</v>
      </c>
      <c r="B342" s="381">
        <f t="shared" si="41"/>
        <v>260000</v>
      </c>
      <c r="C342" s="381">
        <f t="shared" si="42"/>
        <v>6500000</v>
      </c>
      <c r="D342" s="376"/>
      <c r="E342" s="376"/>
      <c r="F342" s="376"/>
      <c r="G342" s="376"/>
      <c r="H342" s="376"/>
      <c r="I342" s="376"/>
      <c r="J342" s="376"/>
      <c r="K342" s="376"/>
      <c r="L342" s="376"/>
    </row>
    <row r="343" spans="1:12" x14ac:dyDescent="0.3">
      <c r="A343" s="382" t="s">
        <v>637</v>
      </c>
      <c r="B343" s="381">
        <f t="shared" si="41"/>
        <v>250000</v>
      </c>
      <c r="C343" s="381">
        <f t="shared" si="42"/>
        <v>6400000</v>
      </c>
      <c r="D343" s="376"/>
      <c r="E343" s="376"/>
      <c r="F343" s="376"/>
      <c r="G343" s="376"/>
      <c r="H343" s="376"/>
      <c r="I343" s="376"/>
      <c r="J343" s="376"/>
      <c r="K343" s="376"/>
      <c r="L343" s="376"/>
    </row>
    <row r="344" spans="1:12" x14ac:dyDescent="0.3">
      <c r="A344" s="382" t="s">
        <v>638</v>
      </c>
      <c r="B344" s="381">
        <f t="shared" si="41"/>
        <v>240000</v>
      </c>
      <c r="C344" s="381">
        <f t="shared" si="42"/>
        <v>6300000</v>
      </c>
      <c r="D344" s="376"/>
      <c r="E344" s="376"/>
      <c r="F344" s="376"/>
      <c r="G344" s="376"/>
      <c r="H344" s="376"/>
      <c r="I344" s="376"/>
      <c r="J344" s="376"/>
      <c r="K344" s="376"/>
      <c r="L344" s="376"/>
    </row>
    <row r="345" spans="1:12" x14ac:dyDescent="0.3">
      <c r="A345" s="382" t="s">
        <v>639</v>
      </c>
      <c r="B345" s="381">
        <f t="shared" si="41"/>
        <v>230000</v>
      </c>
      <c r="C345" s="381">
        <f t="shared" si="42"/>
        <v>6200000</v>
      </c>
      <c r="D345" s="376"/>
      <c r="E345" s="376"/>
      <c r="F345" s="376"/>
      <c r="G345" s="376"/>
      <c r="H345" s="376"/>
      <c r="I345" s="376"/>
      <c r="J345" s="376"/>
      <c r="K345" s="376"/>
      <c r="L345" s="376"/>
    </row>
    <row r="346" spans="1:12" x14ac:dyDescent="0.3">
      <c r="A346" s="382" t="s">
        <v>640</v>
      </c>
      <c r="B346" s="381">
        <f t="shared" si="41"/>
        <v>220000</v>
      </c>
      <c r="C346" s="381">
        <f t="shared" si="42"/>
        <v>6100000</v>
      </c>
      <c r="D346" s="376"/>
      <c r="E346" s="376"/>
      <c r="F346" s="376"/>
      <c r="G346" s="376"/>
      <c r="H346" s="376"/>
      <c r="I346" s="376"/>
      <c r="J346" s="376"/>
      <c r="K346" s="376"/>
      <c r="L346" s="376"/>
    </row>
    <row r="347" spans="1:12" x14ac:dyDescent="0.3">
      <c r="A347" s="382" t="s">
        <v>641</v>
      </c>
      <c r="B347" s="381">
        <f t="shared" si="41"/>
        <v>210000</v>
      </c>
      <c r="C347" s="381">
        <f t="shared" si="42"/>
        <v>6000000</v>
      </c>
      <c r="D347" s="376"/>
      <c r="E347" s="376"/>
      <c r="F347" s="376"/>
      <c r="G347" s="376"/>
      <c r="H347" s="376"/>
      <c r="I347" s="376"/>
      <c r="J347" s="376"/>
      <c r="K347" s="376"/>
      <c r="L347" s="376"/>
    </row>
    <row r="348" spans="1:12" x14ac:dyDescent="0.3">
      <c r="A348" s="382" t="s">
        <v>642</v>
      </c>
      <c r="B348" s="381">
        <f t="shared" si="41"/>
        <v>200000</v>
      </c>
      <c r="C348" s="381">
        <f t="shared" si="42"/>
        <v>5900000</v>
      </c>
      <c r="D348" s="376"/>
      <c r="E348" s="376"/>
      <c r="F348" s="376"/>
      <c r="G348" s="376"/>
      <c r="H348" s="376"/>
      <c r="I348" s="376"/>
      <c r="J348" s="376"/>
      <c r="K348" s="376"/>
      <c r="L348" s="376"/>
    </row>
    <row r="349" spans="1:12" x14ac:dyDescent="0.3">
      <c r="A349" s="382" t="s">
        <v>643</v>
      </c>
      <c r="B349" s="381">
        <f t="shared" si="41"/>
        <v>190000</v>
      </c>
      <c r="C349" s="381">
        <f t="shared" si="42"/>
        <v>5800000</v>
      </c>
      <c r="D349" s="376"/>
      <c r="E349" s="376"/>
      <c r="F349" s="376"/>
      <c r="G349" s="376"/>
      <c r="H349" s="376"/>
      <c r="I349" s="376"/>
      <c r="J349" s="376"/>
      <c r="K349" s="376"/>
      <c r="L349" s="376"/>
    </row>
    <row r="350" spans="1:12" x14ac:dyDescent="0.3">
      <c r="A350" s="382" t="s">
        <v>644</v>
      </c>
      <c r="B350" s="381">
        <f t="shared" si="41"/>
        <v>180000</v>
      </c>
      <c r="C350" s="381">
        <f t="shared" si="42"/>
        <v>5700000</v>
      </c>
      <c r="D350" s="376"/>
      <c r="E350" s="376"/>
      <c r="F350" s="376"/>
      <c r="G350" s="376"/>
      <c r="H350" s="376"/>
      <c r="I350" s="376"/>
      <c r="J350" s="376"/>
      <c r="K350" s="376"/>
      <c r="L350" s="376"/>
    </row>
    <row r="351" spans="1:12" x14ac:dyDescent="0.3">
      <c r="A351" s="382" t="s">
        <v>645</v>
      </c>
      <c r="B351" s="381">
        <f t="shared" si="41"/>
        <v>170000</v>
      </c>
      <c r="C351" s="381">
        <f t="shared" si="42"/>
        <v>5600000</v>
      </c>
      <c r="D351" s="376"/>
      <c r="E351" s="376"/>
      <c r="F351" s="376"/>
      <c r="G351" s="376"/>
      <c r="H351" s="376"/>
      <c r="I351" s="376"/>
      <c r="J351" s="376"/>
      <c r="K351" s="376"/>
      <c r="L351" s="376"/>
    </row>
    <row r="352" spans="1:12" x14ac:dyDescent="0.3">
      <c r="A352" s="382" t="s">
        <v>646</v>
      </c>
      <c r="B352" s="381">
        <f t="shared" si="41"/>
        <v>160000</v>
      </c>
      <c r="C352" s="381">
        <f t="shared" si="42"/>
        <v>5500000</v>
      </c>
      <c r="D352" s="376"/>
      <c r="E352" s="376"/>
      <c r="F352" s="376"/>
      <c r="G352" s="376"/>
      <c r="H352" s="376"/>
      <c r="I352" s="376"/>
      <c r="J352" s="376"/>
      <c r="K352" s="376"/>
      <c r="L352" s="376"/>
    </row>
    <row r="353" spans="1:12" x14ac:dyDescent="0.3">
      <c r="A353" s="382" t="s">
        <v>647</v>
      </c>
      <c r="B353" s="381">
        <f t="shared" si="41"/>
        <v>150000</v>
      </c>
      <c r="C353" s="381">
        <f t="shared" si="42"/>
        <v>5400000</v>
      </c>
      <c r="D353" s="376"/>
      <c r="E353" s="376"/>
      <c r="F353" s="376"/>
      <c r="G353" s="376"/>
      <c r="H353" s="376"/>
      <c r="I353" s="376"/>
      <c r="J353" s="376"/>
      <c r="K353" s="376"/>
      <c r="L353" s="376"/>
    </row>
    <row r="354" spans="1:12" x14ac:dyDescent="0.3">
      <c r="A354" s="382" t="s">
        <v>648</v>
      </c>
      <c r="B354" s="381">
        <f t="shared" si="41"/>
        <v>140000</v>
      </c>
      <c r="C354" s="381">
        <f t="shared" si="42"/>
        <v>5300000</v>
      </c>
      <c r="D354" s="376"/>
      <c r="E354" s="376"/>
      <c r="F354" s="376"/>
      <c r="G354" s="376"/>
      <c r="H354" s="376"/>
      <c r="I354" s="376"/>
      <c r="J354" s="376"/>
      <c r="K354" s="376"/>
      <c r="L354" s="376"/>
    </row>
    <row r="355" spans="1:12" x14ac:dyDescent="0.3">
      <c r="A355" s="382" t="s">
        <v>649</v>
      </c>
      <c r="B355" s="381">
        <f t="shared" si="41"/>
        <v>130000</v>
      </c>
      <c r="C355" s="381">
        <f t="shared" si="42"/>
        <v>5200000</v>
      </c>
      <c r="D355" s="376"/>
      <c r="E355" s="376"/>
      <c r="F355" s="376"/>
      <c r="G355" s="376"/>
      <c r="H355" s="376"/>
      <c r="I355" s="376"/>
      <c r="J355" s="376"/>
      <c r="K355" s="376"/>
      <c r="L355" s="376"/>
    </row>
    <row r="356" spans="1:12" x14ac:dyDescent="0.3">
      <c r="A356" s="382" t="s">
        <v>650</v>
      </c>
      <c r="B356" s="381">
        <f t="shared" si="41"/>
        <v>120000</v>
      </c>
      <c r="C356" s="381">
        <f t="shared" si="42"/>
        <v>5100000</v>
      </c>
      <c r="D356" s="376"/>
      <c r="E356" s="376"/>
      <c r="F356" s="376"/>
      <c r="G356" s="376"/>
      <c r="H356" s="376"/>
      <c r="I356" s="376"/>
      <c r="J356" s="376"/>
      <c r="K356" s="376"/>
      <c r="L356" s="376"/>
    </row>
    <row r="357" spans="1:12" x14ac:dyDescent="0.3">
      <c r="A357" s="382" t="s">
        <v>651</v>
      </c>
      <c r="B357" s="381">
        <f t="shared" si="41"/>
        <v>110000</v>
      </c>
      <c r="C357" s="381">
        <f t="shared" si="42"/>
        <v>5000000</v>
      </c>
      <c r="D357" s="376"/>
      <c r="E357" s="376"/>
      <c r="F357" s="376"/>
      <c r="G357" s="376"/>
      <c r="H357" s="376"/>
      <c r="I357" s="376"/>
      <c r="J357" s="376"/>
      <c r="K357" s="376"/>
      <c r="L357" s="376"/>
    </row>
    <row r="358" spans="1:12" x14ac:dyDescent="0.3">
      <c r="A358" s="382" t="s">
        <v>652</v>
      </c>
      <c r="B358" s="381">
        <f t="shared" si="41"/>
        <v>100000</v>
      </c>
      <c r="C358" s="381">
        <f t="shared" si="42"/>
        <v>4900000</v>
      </c>
      <c r="D358" s="376"/>
      <c r="E358" s="376"/>
      <c r="F358" s="376"/>
      <c r="G358" s="376"/>
      <c r="H358" s="376"/>
      <c r="I358" s="376"/>
      <c r="J358" s="376"/>
      <c r="K358" s="376"/>
      <c r="L358" s="376"/>
    </row>
    <row r="359" spans="1:12" x14ac:dyDescent="0.3">
      <c r="A359" s="382" t="s">
        <v>653</v>
      </c>
      <c r="B359" s="381">
        <f t="shared" si="41"/>
        <v>90000</v>
      </c>
      <c r="C359" s="381">
        <f t="shared" si="42"/>
        <v>4800000</v>
      </c>
      <c r="D359" s="376"/>
      <c r="E359" s="376"/>
      <c r="F359" s="376"/>
      <c r="G359" s="376"/>
      <c r="H359" s="376"/>
      <c r="I359" s="376"/>
      <c r="J359" s="376"/>
      <c r="K359" s="376"/>
      <c r="L359" s="376"/>
    </row>
    <row r="360" spans="1:12" x14ac:dyDescent="0.3">
      <c r="A360" s="382" t="s">
        <v>654</v>
      </c>
      <c r="B360" s="381">
        <f t="shared" si="41"/>
        <v>80000</v>
      </c>
      <c r="C360" s="381">
        <f t="shared" si="42"/>
        <v>4700000</v>
      </c>
      <c r="D360" s="376"/>
      <c r="E360" s="376"/>
      <c r="F360" s="376"/>
      <c r="G360" s="376"/>
      <c r="H360" s="376"/>
      <c r="I360" s="376"/>
      <c r="J360" s="376"/>
      <c r="K360" s="376"/>
      <c r="L360" s="376"/>
    </row>
    <row r="361" spans="1:12" x14ac:dyDescent="0.3">
      <c r="A361" s="382" t="s">
        <v>655</v>
      </c>
      <c r="B361" s="381">
        <f t="shared" si="41"/>
        <v>70000</v>
      </c>
      <c r="C361" s="381">
        <f t="shared" si="42"/>
        <v>4600000</v>
      </c>
      <c r="D361" s="376"/>
      <c r="E361" s="376"/>
      <c r="F361" s="376"/>
      <c r="G361" s="376"/>
      <c r="H361" s="376"/>
      <c r="I361" s="376"/>
      <c r="J361" s="376"/>
      <c r="K361" s="376"/>
      <c r="L361" s="376"/>
    </row>
    <row r="362" spans="1:12" x14ac:dyDescent="0.3">
      <c r="A362" s="382" t="s">
        <v>656</v>
      </c>
      <c r="B362" s="381">
        <f t="shared" si="41"/>
        <v>60000</v>
      </c>
      <c r="C362" s="381">
        <f t="shared" si="42"/>
        <v>4500000</v>
      </c>
      <c r="D362" s="376"/>
      <c r="E362" s="376"/>
      <c r="F362" s="376"/>
      <c r="G362" s="376"/>
      <c r="H362" s="376"/>
      <c r="I362" s="376"/>
      <c r="J362" s="376"/>
      <c r="K362" s="376"/>
      <c r="L362" s="376"/>
    </row>
    <row r="363" spans="1:12" x14ac:dyDescent="0.3">
      <c r="A363" s="382" t="s">
        <v>657</v>
      </c>
      <c r="B363" s="381">
        <f t="shared" si="41"/>
        <v>50000</v>
      </c>
      <c r="C363" s="381">
        <f t="shared" si="42"/>
        <v>4400000</v>
      </c>
      <c r="D363" s="376"/>
      <c r="E363" s="376"/>
      <c r="F363" s="376"/>
      <c r="G363" s="376"/>
      <c r="H363" s="376"/>
      <c r="I363" s="376"/>
      <c r="J363" s="376"/>
      <c r="K363" s="376"/>
      <c r="L363" s="376"/>
    </row>
    <row r="364" spans="1:12" x14ac:dyDescent="0.3">
      <c r="A364" s="382" t="s">
        <v>658</v>
      </c>
      <c r="B364" s="381">
        <f t="shared" si="41"/>
        <v>40000</v>
      </c>
      <c r="C364" s="381">
        <f t="shared" si="42"/>
        <v>4300000</v>
      </c>
      <c r="D364" s="376"/>
      <c r="E364" s="376"/>
      <c r="F364" s="376"/>
      <c r="G364" s="376"/>
      <c r="H364" s="376"/>
      <c r="I364" s="376"/>
      <c r="J364" s="376"/>
      <c r="K364" s="376"/>
      <c r="L364" s="376"/>
    </row>
    <row r="365" spans="1:12" x14ac:dyDescent="0.3">
      <c r="A365" s="382" t="s">
        <v>659</v>
      </c>
      <c r="B365" s="381">
        <f t="shared" si="41"/>
        <v>30000</v>
      </c>
      <c r="C365" s="381">
        <f t="shared" si="42"/>
        <v>4200000</v>
      </c>
      <c r="D365" s="376"/>
      <c r="E365" s="376"/>
      <c r="F365" s="376"/>
      <c r="G365" s="376"/>
      <c r="H365" s="376"/>
      <c r="I365" s="376"/>
      <c r="J365" s="376"/>
      <c r="K365" s="376"/>
      <c r="L365" s="376"/>
    </row>
    <row r="366" spans="1:12" x14ac:dyDescent="0.3">
      <c r="A366" s="382" t="s">
        <v>660</v>
      </c>
      <c r="B366" s="381">
        <f t="shared" si="41"/>
        <v>20000</v>
      </c>
      <c r="C366" s="381">
        <f t="shared" si="42"/>
        <v>4100000</v>
      </c>
      <c r="D366" s="376"/>
      <c r="E366" s="376"/>
      <c r="F366" s="376"/>
      <c r="G366" s="376"/>
      <c r="H366" s="376"/>
      <c r="I366" s="376"/>
      <c r="J366" s="376"/>
      <c r="K366" s="376"/>
      <c r="L366" s="376"/>
    </row>
    <row r="367" spans="1:12" x14ac:dyDescent="0.3">
      <c r="A367" s="382" t="s">
        <v>661</v>
      </c>
      <c r="B367" s="381">
        <f t="shared" si="41"/>
        <v>10000</v>
      </c>
      <c r="C367" s="381">
        <f t="shared" si="42"/>
        <v>4000000</v>
      </c>
    </row>
    <row r="368" spans="1:12" x14ac:dyDescent="0.3">
      <c r="A368" s="382" t="s">
        <v>408</v>
      </c>
      <c r="B368" s="381">
        <v>0</v>
      </c>
      <c r="C368" s="381">
        <v>0</v>
      </c>
    </row>
  </sheetData>
  <mergeCells count="63">
    <mergeCell ref="AH5:AI5"/>
    <mergeCell ref="A104:N104"/>
    <mergeCell ref="A53:N53"/>
    <mergeCell ref="D71:G71"/>
    <mergeCell ref="D72:E72"/>
    <mergeCell ref="F72:G72"/>
    <mergeCell ref="B77:E77"/>
    <mergeCell ref="B18:M18"/>
    <mergeCell ref="A25:N25"/>
    <mergeCell ref="A33:N33"/>
    <mergeCell ref="A45:N45"/>
    <mergeCell ref="A89:N89"/>
    <mergeCell ref="AC52:AD52"/>
    <mergeCell ref="A84:N84"/>
    <mergeCell ref="A86:A87"/>
    <mergeCell ref="A94:A102"/>
    <mergeCell ref="A1:N1"/>
    <mergeCell ref="B2:C2"/>
    <mergeCell ref="D2:D3"/>
    <mergeCell ref="A10:N10"/>
    <mergeCell ref="B12:M12"/>
    <mergeCell ref="A153:N153"/>
    <mergeCell ref="U117:AB117"/>
    <mergeCell ref="AE117:AL117"/>
    <mergeCell ref="A129:H129"/>
    <mergeCell ref="K129:R129"/>
    <mergeCell ref="U129:AB129"/>
    <mergeCell ref="AE129:AL129"/>
    <mergeCell ref="A117:H117"/>
    <mergeCell ref="K117:R117"/>
    <mergeCell ref="P153:R153"/>
    <mergeCell ref="A141:H141"/>
    <mergeCell ref="K141:R141"/>
    <mergeCell ref="U141:AB141"/>
    <mergeCell ref="A110:B110"/>
    <mergeCell ref="A111:B111"/>
    <mergeCell ref="A113:B113"/>
    <mergeCell ref="A115:N115"/>
    <mergeCell ref="H106:I106"/>
    <mergeCell ref="A107:B107"/>
    <mergeCell ref="H107:I107"/>
    <mergeCell ref="A108:B108"/>
    <mergeCell ref="A109:B109"/>
    <mergeCell ref="AF1:AG1"/>
    <mergeCell ref="AC32:AD32"/>
    <mergeCell ref="AC37:AD37"/>
    <mergeCell ref="AC42:AD42"/>
    <mergeCell ref="AC47:AD47"/>
    <mergeCell ref="AC27:AD27"/>
    <mergeCell ref="AC9:AD9"/>
    <mergeCell ref="AC16:AD16"/>
    <mergeCell ref="Q154:R154"/>
    <mergeCell ref="Q155:R155"/>
    <mergeCell ref="Q156:R156"/>
    <mergeCell ref="Q157:R157"/>
    <mergeCell ref="Q158:R158"/>
    <mergeCell ref="Q164:R164"/>
    <mergeCell ref="Q165:R165"/>
    <mergeCell ref="Q159:R159"/>
    <mergeCell ref="Q160:R160"/>
    <mergeCell ref="Q161:R161"/>
    <mergeCell ref="Q162:R162"/>
    <mergeCell ref="Q163:R163"/>
  </mergeCells>
  <conditionalFormatting sqref="AN3:AN8">
    <cfRule type="expression" dxfId="310" priority="3">
      <formula>$AG$12="75% Dry"</formula>
    </cfRule>
    <cfRule type="expression" dxfId="309" priority="4">
      <formula>$AG$12="75% Wet"</formula>
    </cfRule>
  </conditionalFormatting>
  <conditionalFormatting sqref="AO2">
    <cfRule type="cellIs" dxfId="308" priority="5" operator="equal">
      <formula>"Dry"</formula>
    </cfRule>
    <cfRule type="expression" dxfId="307" priority="6">
      <formula>AO2="Wet"</formula>
    </cfRule>
  </conditionalFormatting>
  <conditionalFormatting sqref="AO3:AO8">
    <cfRule type="expression" dxfId="306" priority="1">
      <formula>$AG$12="75% Wet"</formula>
    </cfRule>
    <cfRule type="expression" dxfId="305" priority="2">
      <formula>$AG$12="75% Dry"</formula>
    </cfRule>
  </conditionalFormatting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Roman,Normal"&amp;12&amp;A</oddHeader>
    <oddFooter>&amp;C&amp;"Times New Roman,Normal"&amp;12Página &amp;P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MJ67"/>
  <sheetViews>
    <sheetView zoomScale="88" zoomScaleNormal="88" workbookViewId="0">
      <pane xSplit="17" topLeftCell="R1" activePane="topRight" state="frozen"/>
      <selection activeCell="A25" sqref="A25"/>
      <selection pane="topRight" activeCell="C3" sqref="C3"/>
    </sheetView>
  </sheetViews>
  <sheetFormatPr defaultColWidth="11.5546875" defaultRowHeight="14.4" outlineLevelCol="1" x14ac:dyDescent="0.3"/>
  <cols>
    <col min="1" max="1" width="26" style="393" customWidth="1"/>
    <col min="2" max="2" width="9.44140625" style="394" customWidth="1" outlineLevel="1"/>
    <col min="3" max="3" width="6.88671875" style="394" customWidth="1" outlineLevel="1"/>
    <col min="4" max="4" width="10.5546875" style="394" customWidth="1" outlineLevel="1"/>
    <col min="5" max="5" width="6.109375" style="394" customWidth="1" outlineLevel="1"/>
    <col min="6" max="6" width="9" style="394" customWidth="1" outlineLevel="1"/>
    <col min="7" max="7" width="7.44140625" style="394" customWidth="1" outlineLevel="1"/>
    <col min="8" max="8" width="9.109375" style="394" customWidth="1" outlineLevel="1"/>
    <col min="9" max="9" width="8" style="394" customWidth="1" outlineLevel="1"/>
    <col min="10" max="10" width="5.44140625" style="394" customWidth="1" outlineLevel="1"/>
    <col min="11" max="11" width="8.88671875" style="394" customWidth="1" outlineLevel="1"/>
    <col min="12" max="12" width="12.88671875" style="394" customWidth="1" outlineLevel="1"/>
    <col min="13" max="13" width="14.88671875" style="394" customWidth="1" outlineLevel="1"/>
    <col min="14" max="14" width="7.5546875" style="394" customWidth="1" outlineLevel="1"/>
    <col min="15" max="15" width="13.5546875" style="394" customWidth="1" outlineLevel="1"/>
    <col min="16" max="16" width="15.5546875" style="394" customWidth="1" outlineLevel="1"/>
    <col min="17" max="17" width="11.5546875" style="394" customWidth="1" outlineLevel="1"/>
    <col min="18" max="18" width="3.44140625" style="393" customWidth="1"/>
    <col min="19" max="19" width="9.44140625" style="394" customWidth="1" outlineLevel="1"/>
    <col min="20" max="22" width="8.5546875" style="394" customWidth="1" outlineLevel="1"/>
    <col min="23" max="23" width="8.44140625" style="394" customWidth="1" outlineLevel="1"/>
    <col min="24" max="24" width="2" style="393" customWidth="1" outlineLevel="1"/>
    <col min="25" max="25" width="9.44140625" style="394" customWidth="1" outlineLevel="1"/>
    <col min="26" max="26" width="6" style="393" customWidth="1" outlineLevel="1"/>
    <col min="27" max="28" width="7.44140625" style="394" customWidth="1" outlineLevel="1"/>
    <col min="29" max="29" width="6" style="393" customWidth="1" outlineLevel="1"/>
    <col min="30" max="30" width="7.44140625" style="394" customWidth="1" outlineLevel="1"/>
    <col min="31" max="31" width="5.109375" style="393" customWidth="1" outlineLevel="1"/>
    <col min="32" max="42" width="7.5546875" style="394" customWidth="1" outlineLevel="1"/>
    <col min="43" max="43" width="7.44140625" style="393" bestFit="1" customWidth="1"/>
    <col min="44" max="48" width="7.44140625" style="393" customWidth="1" outlineLevel="1"/>
    <col min="49" max="49" width="2.44140625" style="393" customWidth="1" outlineLevel="1"/>
    <col min="50" max="50" width="7.44140625" style="393" customWidth="1" outlineLevel="1"/>
    <col min="51" max="51" width="5.109375" style="393" bestFit="1" customWidth="1" outlineLevel="1"/>
    <col min="52" max="53" width="7.44140625" style="393" customWidth="1" outlineLevel="1"/>
    <col min="54" max="54" width="6.44140625" style="393" bestFit="1" customWidth="1" outlineLevel="1"/>
    <col min="55" max="55" width="7.44140625" style="393" customWidth="1" outlineLevel="1"/>
    <col min="56" max="56" width="9" style="393" bestFit="1" customWidth="1" outlineLevel="1"/>
    <col min="57" max="67" width="7.44140625" style="393" customWidth="1" outlineLevel="1"/>
    <col min="68" max="68" width="6.88671875" style="393" bestFit="1" customWidth="1"/>
    <col min="69" max="69" width="7.6640625" style="393" bestFit="1" customWidth="1" outlineLevel="1"/>
    <col min="70" max="73" width="7.44140625" style="393" customWidth="1" outlineLevel="1"/>
    <col min="74" max="74" width="9.109375" style="393" bestFit="1" customWidth="1" outlineLevel="1"/>
    <col min="75" max="75" width="8" style="393" customWidth="1" outlineLevel="1"/>
    <col min="76" max="76" width="9.44140625" style="393" bestFit="1" customWidth="1" outlineLevel="1"/>
    <col min="77" max="78" width="7.44140625" style="393" customWidth="1" outlineLevel="1"/>
    <col min="79" max="79" width="6.44140625" style="393" bestFit="1" customWidth="1" outlineLevel="1"/>
    <col min="80" max="80" width="7.44140625" style="393" customWidth="1" outlineLevel="1"/>
    <col min="81" max="81" width="9" style="393" bestFit="1" customWidth="1" outlineLevel="1"/>
    <col min="82" max="92" width="7.44140625" style="393" customWidth="1" outlineLevel="1"/>
    <col min="93" max="93" width="5.109375" style="393" bestFit="1" customWidth="1"/>
    <col min="94" max="98" width="7.44140625" style="393" customWidth="1" outlineLevel="1"/>
    <col min="99" max="99" width="5.44140625" style="393" customWidth="1" outlineLevel="1"/>
    <col min="100" max="100" width="7.44140625" style="393" customWidth="1" outlineLevel="1"/>
    <col min="101" max="101" width="8.109375" style="393" bestFit="1" customWidth="1" outlineLevel="1"/>
    <col min="102" max="103" width="7.44140625" style="393" customWidth="1" outlineLevel="1"/>
    <col min="104" max="104" width="8.6640625" style="393" bestFit="1" customWidth="1" outlineLevel="1"/>
    <col min="105" max="105" width="7.44140625" style="393" customWidth="1" outlineLevel="1"/>
    <col min="106" max="106" width="2.5546875" style="393" customWidth="1" outlineLevel="1"/>
    <col min="107" max="117" width="7.44140625" style="393" customWidth="1" outlineLevel="1"/>
    <col min="118" max="118" width="2.5546875" style="393" customWidth="1"/>
    <col min="119" max="123" width="7.44140625" style="393" customWidth="1" outlineLevel="1"/>
    <col min="124" max="124" width="2.44140625" style="393" customWidth="1" outlineLevel="1"/>
    <col min="125" max="125" width="7.44140625" style="393" customWidth="1" outlineLevel="1"/>
    <col min="126" max="126" width="2.5546875" style="393" customWidth="1" outlineLevel="1"/>
    <col min="127" max="128" width="7.44140625" style="393" customWidth="1" outlineLevel="1"/>
    <col min="129" max="129" width="2.5546875" style="393" customWidth="1" outlineLevel="1"/>
    <col min="130" max="130" width="7.44140625" style="393" customWidth="1" outlineLevel="1"/>
    <col min="131" max="131" width="2.5546875" style="393" customWidth="1" outlineLevel="1"/>
    <col min="132" max="142" width="7.44140625" style="393" customWidth="1" outlineLevel="1"/>
    <col min="143" max="143" width="2.5546875" style="393" customWidth="1"/>
    <col min="144" max="148" width="7.44140625" style="393" customWidth="1" outlineLevel="1"/>
    <col min="149" max="149" width="2.44140625" style="393" customWidth="1" outlineLevel="1"/>
    <col min="150" max="150" width="7.44140625" style="393" customWidth="1" outlineLevel="1"/>
    <col min="151" max="151" width="2.5546875" style="393" customWidth="1" outlineLevel="1"/>
    <col min="152" max="153" width="7.44140625" style="393" customWidth="1" outlineLevel="1"/>
    <col min="154" max="154" width="2.5546875" style="393" customWidth="1" outlineLevel="1"/>
    <col min="155" max="155" width="7.44140625" style="393" customWidth="1" outlineLevel="1"/>
    <col min="156" max="156" width="2.5546875" style="393" customWidth="1" outlineLevel="1"/>
    <col min="157" max="167" width="7.44140625" style="393" customWidth="1" outlineLevel="1"/>
    <col min="168" max="168" width="2.5546875" style="393" customWidth="1"/>
    <col min="169" max="173" width="7.44140625" style="393" customWidth="1" outlineLevel="1"/>
    <col min="174" max="174" width="2.44140625" style="393" customWidth="1" outlineLevel="1"/>
    <col min="175" max="175" width="7.44140625" style="393" customWidth="1" outlineLevel="1"/>
    <col min="176" max="176" width="2.5546875" style="393" customWidth="1" outlineLevel="1"/>
    <col min="177" max="178" width="7.44140625" style="393" customWidth="1" outlineLevel="1"/>
    <col min="179" max="179" width="2.5546875" style="393" customWidth="1" outlineLevel="1"/>
    <col min="180" max="180" width="7.44140625" style="393" customWidth="1" outlineLevel="1"/>
    <col min="181" max="181" width="2.5546875" style="393" customWidth="1" outlineLevel="1"/>
    <col min="182" max="192" width="7.44140625" style="393" customWidth="1" outlineLevel="1"/>
    <col min="193" max="193" width="2.5546875" style="393" customWidth="1"/>
    <col min="194" max="198" width="7.44140625" style="393" customWidth="1" outlineLevel="1"/>
    <col min="199" max="199" width="2.44140625" style="393" customWidth="1" outlineLevel="1"/>
    <col min="200" max="200" width="7.44140625" style="393" customWidth="1" outlineLevel="1"/>
    <col min="201" max="201" width="2.5546875" style="393" customWidth="1" outlineLevel="1"/>
    <col min="202" max="203" width="7.44140625" style="393" customWidth="1" outlineLevel="1"/>
    <col min="204" max="204" width="2.5546875" style="393" customWidth="1" outlineLevel="1"/>
    <col min="205" max="205" width="7.44140625" style="393" customWidth="1" outlineLevel="1"/>
    <col min="206" max="206" width="2.5546875" style="393" customWidth="1" outlineLevel="1"/>
    <col min="207" max="217" width="7.44140625" style="393" customWidth="1" outlineLevel="1"/>
    <col min="218" max="218" width="2.5546875" style="393" customWidth="1"/>
    <col min="219" max="223" width="7.44140625" style="393" customWidth="1" outlineLevel="1"/>
    <col min="224" max="224" width="2.44140625" style="393" customWidth="1" outlineLevel="1"/>
    <col min="225" max="225" width="7.44140625" style="393" customWidth="1" outlineLevel="1"/>
    <col min="226" max="226" width="2.5546875" style="393" customWidth="1" outlineLevel="1"/>
    <col min="227" max="228" width="7.44140625" style="393" customWidth="1" outlineLevel="1"/>
    <col min="229" max="229" width="2.5546875" style="393" customWidth="1" outlineLevel="1"/>
    <col min="230" max="230" width="7.44140625" style="393" customWidth="1" outlineLevel="1"/>
    <col min="231" max="231" width="2.5546875" style="393" customWidth="1" outlineLevel="1"/>
    <col min="232" max="242" width="7.44140625" style="393" customWidth="1" outlineLevel="1"/>
    <col min="243" max="243" width="2.5546875" style="393" customWidth="1"/>
    <col min="244" max="248" width="7.44140625" style="393" customWidth="1" outlineLevel="1"/>
    <col min="249" max="249" width="2.44140625" style="393" customWidth="1" outlineLevel="1"/>
    <col min="250" max="250" width="7.44140625" style="393" customWidth="1" outlineLevel="1"/>
    <col min="251" max="251" width="2.5546875" style="393" customWidth="1" outlineLevel="1"/>
    <col min="252" max="253" width="7.44140625" style="393" customWidth="1" outlineLevel="1"/>
    <col min="254" max="254" width="2.5546875" style="393" customWidth="1" outlineLevel="1"/>
    <col min="255" max="255" width="7.44140625" style="393" customWidth="1" outlineLevel="1"/>
    <col min="256" max="256" width="2.5546875" style="393" customWidth="1" outlineLevel="1"/>
    <col min="257" max="267" width="7.44140625" style="393" customWidth="1" outlineLevel="1"/>
    <col min="268" max="268" width="2.44140625" style="393" customWidth="1"/>
    <col min="269" max="1024" width="11.5546875" style="393"/>
  </cols>
  <sheetData>
    <row r="1" spans="1:269" ht="15" thickBot="1" x14ac:dyDescent="0.35">
      <c r="S1" s="1046" t="s">
        <v>343</v>
      </c>
      <c r="T1" s="1046"/>
      <c r="U1" s="1046"/>
      <c r="V1" s="1046"/>
      <c r="W1" s="1046"/>
      <c r="X1" s="1046"/>
      <c r="Y1" s="1046"/>
      <c r="Z1" s="1046"/>
      <c r="AA1" s="1046"/>
      <c r="AB1" s="1046"/>
      <c r="AC1" s="1046"/>
      <c r="AD1" s="1046"/>
      <c r="AE1" s="1046"/>
      <c r="AF1" s="1046"/>
      <c r="AG1" s="1046"/>
      <c r="AH1" s="1046"/>
      <c r="AI1" s="1046"/>
      <c r="AJ1" s="1046"/>
      <c r="AK1" s="1046"/>
      <c r="AL1" s="1046"/>
      <c r="AM1" s="1046"/>
      <c r="AN1" s="1046"/>
      <c r="AO1" s="1046"/>
      <c r="AP1" s="1046"/>
      <c r="AR1" s="824"/>
      <c r="AS1" s="824"/>
      <c r="AT1" s="824"/>
      <c r="AU1" s="824"/>
      <c r="AV1" s="824"/>
      <c r="AW1" s="824"/>
      <c r="AX1" s="1047" t="s">
        <v>344</v>
      </c>
      <c r="AY1" s="1047"/>
      <c r="AZ1" s="1047"/>
      <c r="BA1" s="1047"/>
      <c r="BB1" s="1047"/>
      <c r="BC1" s="1047"/>
      <c r="BD1" s="1047"/>
      <c r="BE1" s="824"/>
      <c r="BF1" s="1048" t="s">
        <v>150</v>
      </c>
      <c r="BG1" s="1048"/>
      <c r="BH1" s="1048"/>
      <c r="BI1" s="1048"/>
      <c r="BJ1" s="1048"/>
      <c r="BK1" s="1048"/>
      <c r="BL1" s="396"/>
      <c r="BM1" s="1043" t="s">
        <v>345</v>
      </c>
      <c r="BN1" s="1043"/>
      <c r="BO1" s="1043"/>
      <c r="BP1" s="1043"/>
      <c r="BQ1" s="1043"/>
      <c r="BR1" s="1043"/>
      <c r="BS1" s="396"/>
      <c r="BT1" s="1043" t="s">
        <v>346</v>
      </c>
      <c r="BU1" s="1043"/>
      <c r="BV1" s="1043"/>
      <c r="BW1" s="1043"/>
      <c r="BX1" s="1043"/>
      <c r="BY1" s="1043"/>
      <c r="BZ1" s="396"/>
      <c r="CA1" s="1043" t="s">
        <v>347</v>
      </c>
      <c r="CB1" s="1043"/>
      <c r="CC1" s="1043"/>
      <c r="CD1" s="1043"/>
      <c r="CE1" s="1043"/>
      <c r="CF1" s="1043"/>
      <c r="CG1" s="396"/>
      <c r="CH1" s="1043" t="s">
        <v>348</v>
      </c>
      <c r="CI1" s="1043"/>
      <c r="CJ1" s="1043"/>
      <c r="CK1" s="1043"/>
      <c r="CL1" s="1043"/>
      <c r="CM1" s="1043"/>
      <c r="CN1" s="396"/>
      <c r="CO1" s="1043" t="s">
        <v>349</v>
      </c>
      <c r="CP1" s="1043"/>
      <c r="CQ1" s="1043"/>
      <c r="CR1" s="1043"/>
      <c r="CS1" s="1043"/>
      <c r="CT1" s="1043"/>
      <c r="CU1" s="824"/>
      <c r="CV1" s="1043" t="s">
        <v>350</v>
      </c>
      <c r="CW1" s="1043"/>
      <c r="CX1" s="1043"/>
      <c r="CY1" s="1043"/>
      <c r="CZ1" s="1043"/>
      <c r="DA1" s="1043"/>
      <c r="DB1" s="824"/>
      <c r="DC1" s="824"/>
      <c r="DD1" s="824"/>
      <c r="DE1" s="824"/>
      <c r="DF1" s="824"/>
      <c r="DG1" s="824"/>
      <c r="DH1" s="824"/>
      <c r="DI1" s="824"/>
      <c r="DJ1" s="824"/>
      <c r="DK1" s="824"/>
      <c r="DL1" s="824"/>
      <c r="DM1" s="824"/>
      <c r="DO1" s="824"/>
      <c r="DP1" s="824"/>
      <c r="DQ1" s="824"/>
      <c r="DR1" s="824"/>
      <c r="DS1" s="824"/>
      <c r="DT1" s="824"/>
      <c r="DU1" s="824"/>
      <c r="DV1" s="824"/>
      <c r="DW1" s="824"/>
      <c r="DX1" s="824"/>
      <c r="DY1" s="824"/>
      <c r="DZ1" s="824"/>
      <c r="EA1" s="824"/>
      <c r="EB1" s="824"/>
      <c r="EC1" s="824"/>
      <c r="ED1" s="824"/>
      <c r="EE1" s="824"/>
      <c r="EF1" s="824"/>
      <c r="EG1" s="824"/>
      <c r="EH1" s="824"/>
      <c r="EI1" s="824"/>
      <c r="EJ1" s="824"/>
      <c r="EK1" s="824"/>
      <c r="EL1" s="824"/>
      <c r="EN1" s="824"/>
      <c r="EO1" s="824"/>
      <c r="EP1" s="824"/>
      <c r="EQ1" s="824"/>
      <c r="ER1" s="824"/>
      <c r="ES1" s="824"/>
      <c r="ET1" s="824"/>
      <c r="EU1" s="824"/>
      <c r="EV1" s="824"/>
      <c r="EW1" s="824"/>
      <c r="EX1" s="824"/>
      <c r="EY1" s="824"/>
      <c r="EZ1" s="824"/>
      <c r="FA1" s="824"/>
      <c r="FB1" s="824"/>
      <c r="FC1" s="824"/>
      <c r="FD1" s="824"/>
      <c r="FE1" s="824"/>
      <c r="FF1" s="824"/>
      <c r="FG1" s="824"/>
      <c r="FH1" s="824"/>
      <c r="FI1" s="824"/>
      <c r="FJ1" s="824"/>
      <c r="FK1" s="824"/>
      <c r="FM1" s="824"/>
      <c r="FN1" s="824"/>
      <c r="FO1" s="824"/>
      <c r="FP1" s="824"/>
      <c r="FQ1" s="824"/>
      <c r="FR1" s="824"/>
      <c r="FS1" s="824"/>
      <c r="FT1" s="824"/>
      <c r="FU1" s="824"/>
      <c r="FV1" s="824"/>
      <c r="FW1" s="824"/>
      <c r="FX1" s="824"/>
      <c r="FY1" s="824"/>
      <c r="FZ1" s="824"/>
      <c r="GA1" s="824"/>
      <c r="GB1" s="824"/>
      <c r="GC1" s="824"/>
      <c r="GD1" s="824"/>
      <c r="GE1" s="824"/>
      <c r="GF1" s="824"/>
      <c r="GG1" s="824"/>
      <c r="GH1" s="824"/>
      <c r="GI1" s="824"/>
      <c r="GJ1" s="824"/>
      <c r="GL1" s="824"/>
      <c r="GM1" s="824"/>
      <c r="GN1" s="824"/>
      <c r="GO1" s="824"/>
      <c r="GP1" s="824"/>
      <c r="GQ1" s="824"/>
      <c r="GR1" s="824"/>
      <c r="GS1" s="824"/>
      <c r="GT1" s="824"/>
      <c r="GU1" s="824"/>
      <c r="GV1" s="824"/>
      <c r="GW1" s="824"/>
      <c r="GX1" s="824"/>
      <c r="GY1" s="824"/>
      <c r="GZ1" s="824"/>
      <c r="HA1" s="824"/>
      <c r="HB1" s="824"/>
      <c r="HC1" s="824"/>
      <c r="HD1" s="824"/>
      <c r="HE1" s="824"/>
      <c r="HF1" s="824"/>
      <c r="HG1" s="824"/>
      <c r="HH1" s="824"/>
      <c r="HI1" s="824"/>
      <c r="HK1" s="824"/>
      <c r="HL1" s="824"/>
      <c r="HM1" s="824"/>
      <c r="HN1" s="824"/>
      <c r="HO1" s="824"/>
      <c r="HP1" s="824"/>
      <c r="HQ1" s="824"/>
      <c r="HR1" s="824"/>
      <c r="HS1" s="824"/>
      <c r="HT1" s="824"/>
      <c r="HU1" s="824"/>
      <c r="HV1" s="824"/>
      <c r="HW1" s="824"/>
      <c r="HX1" s="824"/>
      <c r="HY1" s="824"/>
      <c r="HZ1" s="824"/>
      <c r="IA1" s="824"/>
      <c r="IB1" s="824"/>
      <c r="IC1" s="824"/>
      <c r="ID1" s="824"/>
      <c r="IE1" s="824"/>
      <c r="IF1" s="824"/>
      <c r="IG1" s="824"/>
      <c r="IH1" s="824"/>
      <c r="IJ1" s="824"/>
      <c r="IK1" s="824"/>
      <c r="IL1" s="824"/>
      <c r="IM1" s="824"/>
      <c r="IN1" s="824"/>
      <c r="IO1" s="824"/>
      <c r="IP1" s="824"/>
      <c r="IQ1" s="824"/>
      <c r="IR1" s="824"/>
      <c r="IS1" s="824"/>
      <c r="IT1" s="824"/>
      <c r="IU1" s="824"/>
      <c r="IV1" s="824"/>
      <c r="IW1" s="824"/>
      <c r="IX1" s="824"/>
      <c r="IY1" s="824"/>
      <c r="IZ1" s="824"/>
      <c r="JA1" s="824"/>
      <c r="JB1" s="824"/>
      <c r="JC1" s="824"/>
      <c r="JD1" s="824"/>
      <c r="JE1" s="824"/>
      <c r="JF1" s="824"/>
      <c r="JG1" s="824"/>
    </row>
    <row r="2" spans="1:269" s="396" customFormat="1" ht="13.5" customHeight="1" thickTop="1" x14ac:dyDescent="0.25">
      <c r="A2" s="395" t="s">
        <v>662</v>
      </c>
      <c r="B2" s="1044" t="s">
        <v>663</v>
      </c>
      <c r="C2" s="1044"/>
      <c r="D2" s="1044"/>
      <c r="E2" s="1044"/>
      <c r="F2" s="1044"/>
      <c r="G2" s="1044"/>
      <c r="H2" s="1044"/>
      <c r="I2" s="1044"/>
      <c r="J2" s="1044"/>
      <c r="K2" s="1044"/>
      <c r="L2" s="1044"/>
      <c r="M2" s="1044"/>
      <c r="N2" s="1044"/>
      <c r="O2" s="1044"/>
      <c r="P2" s="1044"/>
      <c r="Q2" s="1044"/>
      <c r="S2" s="1045" t="s">
        <v>664</v>
      </c>
      <c r="T2" s="1045"/>
      <c r="U2" s="1045"/>
      <c r="V2" s="1045"/>
      <c r="W2" s="1045"/>
      <c r="Y2" s="397" t="s">
        <v>665</v>
      </c>
      <c r="Z2" s="618" t="s">
        <v>815</v>
      </c>
      <c r="AA2" s="848" t="s">
        <v>913</v>
      </c>
      <c r="AB2" s="849" t="s">
        <v>915</v>
      </c>
      <c r="AC2" s="850" t="s">
        <v>815</v>
      </c>
      <c r="AD2" s="848" t="s">
        <v>914</v>
      </c>
      <c r="AE2" s="552" t="s">
        <v>813</v>
      </c>
      <c r="AF2" s="1045" t="s">
        <v>668</v>
      </c>
      <c r="AG2" s="1045"/>
      <c r="AH2" s="1045"/>
      <c r="AI2" s="1045"/>
      <c r="AJ2" s="1045"/>
      <c r="AK2" s="1045"/>
      <c r="AL2" s="1045"/>
      <c r="AM2" s="1045"/>
      <c r="AN2" s="1045"/>
      <c r="AO2" s="1045"/>
      <c r="AP2" s="1045"/>
      <c r="AQ2" s="398" t="s">
        <v>669</v>
      </c>
      <c r="AR2" s="1044" t="s">
        <v>664</v>
      </c>
      <c r="AS2" s="1044"/>
      <c r="AT2" s="1044"/>
      <c r="AU2" s="1044"/>
      <c r="AV2" s="1044"/>
      <c r="AX2" s="397" t="s">
        <v>665</v>
      </c>
      <c r="AY2" s="618" t="s">
        <v>815</v>
      </c>
      <c r="AZ2" s="1042" t="s">
        <v>666</v>
      </c>
      <c r="BA2" s="1042"/>
      <c r="BB2" s="620" t="s">
        <v>667</v>
      </c>
      <c r="BC2" s="616" t="s">
        <v>667</v>
      </c>
      <c r="BD2" s="552" t="s">
        <v>813</v>
      </c>
      <c r="BE2" s="827"/>
      <c r="BF2" s="618" t="s">
        <v>815</v>
      </c>
      <c r="BG2" s="1042" t="s">
        <v>666</v>
      </c>
      <c r="BH2" s="1042"/>
      <c r="BI2" s="620" t="s">
        <v>667</v>
      </c>
      <c r="BJ2" s="616" t="s">
        <v>667</v>
      </c>
      <c r="BK2" s="552" t="s">
        <v>813</v>
      </c>
      <c r="BL2" s="827"/>
      <c r="BM2" s="618" t="s">
        <v>815</v>
      </c>
      <c r="BN2" s="1042" t="s">
        <v>666</v>
      </c>
      <c r="BO2" s="1042"/>
      <c r="BP2" s="620" t="s">
        <v>667</v>
      </c>
      <c r="BQ2" s="616" t="s">
        <v>667</v>
      </c>
      <c r="BR2" s="552" t="s">
        <v>813</v>
      </c>
      <c r="BS2" s="839"/>
      <c r="BT2" s="618" t="s">
        <v>815</v>
      </c>
      <c r="BU2" s="1042" t="s">
        <v>666</v>
      </c>
      <c r="BV2" s="1042"/>
      <c r="BW2" s="620" t="s">
        <v>667</v>
      </c>
      <c r="BX2" s="616" t="s">
        <v>667</v>
      </c>
      <c r="BY2" s="552" t="s">
        <v>813</v>
      </c>
      <c r="BZ2" s="827"/>
      <c r="CA2" s="618" t="s">
        <v>815</v>
      </c>
      <c r="CB2" s="1042" t="s">
        <v>666</v>
      </c>
      <c r="CC2" s="1042"/>
      <c r="CD2" s="620" t="s">
        <v>667</v>
      </c>
      <c r="CE2" s="616" t="s">
        <v>667</v>
      </c>
      <c r="CF2" s="552" t="s">
        <v>813</v>
      </c>
      <c r="CG2" s="827"/>
      <c r="CH2" s="618" t="s">
        <v>815</v>
      </c>
      <c r="CI2" s="1042" t="s">
        <v>666</v>
      </c>
      <c r="CJ2" s="1042"/>
      <c r="CK2" s="620" t="s">
        <v>667</v>
      </c>
      <c r="CL2" s="616" t="s">
        <v>667</v>
      </c>
      <c r="CM2" s="552" t="s">
        <v>813</v>
      </c>
      <c r="CN2" s="827"/>
      <c r="CO2" s="618" t="s">
        <v>815</v>
      </c>
      <c r="CP2" s="1042" t="s">
        <v>666</v>
      </c>
      <c r="CQ2" s="1042"/>
      <c r="CR2" s="620" t="s">
        <v>667</v>
      </c>
      <c r="CS2" s="616" t="s">
        <v>667</v>
      </c>
      <c r="CT2" s="552" t="s">
        <v>813</v>
      </c>
      <c r="CV2" s="618" t="s">
        <v>815</v>
      </c>
      <c r="CW2" s="1042" t="s">
        <v>666</v>
      </c>
      <c r="CX2" s="1042"/>
      <c r="CY2" s="620" t="s">
        <v>667</v>
      </c>
      <c r="CZ2" s="616" t="s">
        <v>667</v>
      </c>
      <c r="DA2" s="552" t="s">
        <v>813</v>
      </c>
      <c r="DC2" s="825"/>
      <c r="DD2" s="825"/>
      <c r="DE2" s="825"/>
      <c r="DF2" s="825"/>
      <c r="DG2" s="825"/>
      <c r="DH2" s="825"/>
      <c r="DI2" s="825"/>
      <c r="DJ2" s="825"/>
      <c r="DK2" s="825"/>
      <c r="DL2" s="825"/>
      <c r="DM2" s="825"/>
      <c r="DO2" s="825"/>
      <c r="DP2" s="825"/>
      <c r="DQ2" s="825"/>
      <c r="DR2" s="825"/>
      <c r="DS2" s="825"/>
      <c r="DU2" s="823"/>
      <c r="DW2" s="826"/>
      <c r="DX2" s="826"/>
      <c r="DZ2" s="823"/>
      <c r="EB2" s="825"/>
      <c r="EC2" s="825"/>
      <c r="ED2" s="825"/>
      <c r="EE2" s="825"/>
      <c r="EF2" s="825"/>
      <c r="EG2" s="825"/>
      <c r="EH2" s="825"/>
      <c r="EI2" s="825"/>
      <c r="EJ2" s="825"/>
      <c r="EK2" s="825"/>
      <c r="EL2" s="825"/>
      <c r="EN2" s="825"/>
      <c r="EO2" s="825"/>
      <c r="EP2" s="825"/>
      <c r="EQ2" s="825"/>
      <c r="ER2" s="825"/>
      <c r="ET2" s="823"/>
      <c r="EV2" s="826"/>
      <c r="EW2" s="826"/>
      <c r="EY2" s="823"/>
      <c r="FA2" s="825"/>
      <c r="FB2" s="825"/>
      <c r="FC2" s="825"/>
      <c r="FD2" s="825"/>
      <c r="FE2" s="825"/>
      <c r="FF2" s="825"/>
      <c r="FG2" s="825"/>
      <c r="FH2" s="825"/>
      <c r="FI2" s="825"/>
      <c r="FJ2" s="825"/>
      <c r="FK2" s="825"/>
      <c r="FM2" s="825"/>
      <c r="FN2" s="825"/>
      <c r="FO2" s="825"/>
      <c r="FP2" s="825"/>
      <c r="FQ2" s="825"/>
      <c r="FS2" s="823"/>
      <c r="FU2" s="826"/>
      <c r="FV2" s="826"/>
      <c r="FX2" s="823"/>
      <c r="FZ2" s="825"/>
      <c r="GA2" s="825"/>
      <c r="GB2" s="825"/>
      <c r="GC2" s="825"/>
      <c r="GD2" s="825"/>
      <c r="GE2" s="825"/>
      <c r="GF2" s="825"/>
      <c r="GG2" s="825"/>
      <c r="GH2" s="825"/>
      <c r="GI2" s="825"/>
      <c r="GJ2" s="825"/>
      <c r="GL2" s="825"/>
      <c r="GM2" s="825"/>
      <c r="GN2" s="825"/>
      <c r="GO2" s="825"/>
      <c r="GP2" s="825"/>
      <c r="GR2" s="823"/>
      <c r="GT2" s="826"/>
      <c r="GU2" s="826"/>
      <c r="GW2" s="823"/>
      <c r="GY2" s="825"/>
      <c r="GZ2" s="825"/>
      <c r="HA2" s="825"/>
      <c r="HB2" s="825"/>
      <c r="HC2" s="825"/>
      <c r="HD2" s="825"/>
      <c r="HE2" s="825"/>
      <c r="HF2" s="825"/>
      <c r="HG2" s="825"/>
      <c r="HH2" s="825"/>
      <c r="HI2" s="825"/>
      <c r="HK2" s="825"/>
      <c r="HL2" s="825"/>
      <c r="HM2" s="825"/>
      <c r="HN2" s="825"/>
      <c r="HO2" s="825"/>
      <c r="HQ2" s="823"/>
      <c r="HS2" s="826"/>
      <c r="HT2" s="826"/>
      <c r="HV2" s="823"/>
      <c r="HX2" s="825"/>
      <c r="HY2" s="825"/>
      <c r="HZ2" s="825"/>
      <c r="IA2" s="825"/>
      <c r="IB2" s="825"/>
      <c r="IC2" s="825"/>
      <c r="ID2" s="825"/>
      <c r="IE2" s="825"/>
      <c r="IF2" s="825"/>
      <c r="IG2" s="825"/>
      <c r="IH2" s="825"/>
      <c r="IJ2" s="825"/>
      <c r="IK2" s="825"/>
      <c r="IL2" s="825"/>
      <c r="IM2" s="825"/>
      <c r="IN2" s="825"/>
      <c r="IP2" s="823"/>
      <c r="IR2" s="826"/>
      <c r="IS2" s="826"/>
      <c r="IU2" s="823"/>
      <c r="IW2" s="825"/>
      <c r="IX2" s="825"/>
      <c r="IY2" s="825"/>
      <c r="IZ2" s="825"/>
      <c r="JA2" s="825"/>
      <c r="JB2" s="825"/>
      <c r="JC2" s="825"/>
      <c r="JD2" s="825"/>
      <c r="JE2" s="825"/>
      <c r="JF2" s="825"/>
      <c r="JG2" s="825"/>
    </row>
    <row r="3" spans="1:269" s="396" customFormat="1" ht="12" x14ac:dyDescent="0.25">
      <c r="A3" s="399" t="s">
        <v>670</v>
      </c>
      <c r="B3" s="399" t="s">
        <v>26</v>
      </c>
      <c r="C3" s="399" t="s">
        <v>671</v>
      </c>
      <c r="D3" s="399" t="s">
        <v>310</v>
      </c>
      <c r="E3" s="399" t="s">
        <v>672</v>
      </c>
      <c r="F3" s="399" t="s">
        <v>159</v>
      </c>
      <c r="G3" s="399" t="s">
        <v>673</v>
      </c>
      <c r="H3" s="399" t="s">
        <v>674</v>
      </c>
      <c r="I3" s="399" t="s">
        <v>675</v>
      </c>
      <c r="J3" s="399" t="s">
        <v>676</v>
      </c>
      <c r="K3" s="399" t="s">
        <v>389</v>
      </c>
      <c r="L3" s="399" t="s">
        <v>121</v>
      </c>
      <c r="M3" s="399" t="s">
        <v>677</v>
      </c>
      <c r="N3" s="399" t="s">
        <v>208</v>
      </c>
      <c r="O3" s="399" t="s">
        <v>678</v>
      </c>
      <c r="P3" s="399" t="s">
        <v>203</v>
      </c>
      <c r="Q3" s="399" t="s">
        <v>679</v>
      </c>
      <c r="S3" s="400" t="s">
        <v>680</v>
      </c>
      <c r="T3" s="399" t="s">
        <v>293</v>
      </c>
      <c r="U3" s="399" t="s">
        <v>294</v>
      </c>
      <c r="V3" s="399" t="s">
        <v>295</v>
      </c>
      <c r="W3" s="401" t="s">
        <v>310</v>
      </c>
      <c r="Y3" s="402" t="s">
        <v>681</v>
      </c>
      <c r="Z3" s="610" t="s">
        <v>816</v>
      </c>
      <c r="AA3" s="400" t="s">
        <v>50</v>
      </c>
      <c r="AB3" s="619" t="s">
        <v>343</v>
      </c>
      <c r="AC3" s="611" t="s">
        <v>176</v>
      </c>
      <c r="AD3" s="617" t="s">
        <v>343</v>
      </c>
      <c r="AE3" s="552" t="s">
        <v>814</v>
      </c>
      <c r="AF3" s="400" t="s">
        <v>684</v>
      </c>
      <c r="AG3" s="399" t="s">
        <v>299</v>
      </c>
      <c r="AH3" s="399" t="s">
        <v>127</v>
      </c>
      <c r="AI3" s="399" t="s">
        <v>685</v>
      </c>
      <c r="AJ3" s="399" t="s">
        <v>686</v>
      </c>
      <c r="AK3" s="399" t="s">
        <v>687</v>
      </c>
      <c r="AL3" s="399" t="s">
        <v>688</v>
      </c>
      <c r="AM3" s="399" t="s">
        <v>689</v>
      </c>
      <c r="AN3" s="399" t="s">
        <v>690</v>
      </c>
      <c r="AO3" s="399" t="s">
        <v>691</v>
      </c>
      <c r="AP3" s="401" t="s">
        <v>692</v>
      </c>
      <c r="AQ3" s="403" t="s">
        <v>669</v>
      </c>
      <c r="AR3" s="399" t="s">
        <v>680</v>
      </c>
      <c r="AS3" s="399" t="s">
        <v>293</v>
      </c>
      <c r="AT3" s="399" t="s">
        <v>294</v>
      </c>
      <c r="AU3" s="399" t="s">
        <v>295</v>
      </c>
      <c r="AV3" s="399" t="s">
        <v>310</v>
      </c>
      <c r="AX3" s="402" t="s">
        <v>681</v>
      </c>
      <c r="AY3" s="610" t="s">
        <v>816</v>
      </c>
      <c r="AZ3" s="400" t="s">
        <v>682</v>
      </c>
      <c r="BA3" s="619" t="s">
        <v>683</v>
      </c>
      <c r="BB3" s="611" t="s">
        <v>176</v>
      </c>
      <c r="BC3" s="617" t="s">
        <v>344</v>
      </c>
      <c r="BD3" s="552" t="s">
        <v>814</v>
      </c>
      <c r="BE3" s="828"/>
      <c r="BF3" s="610" t="s">
        <v>816</v>
      </c>
      <c r="BG3" s="400" t="s">
        <v>682</v>
      </c>
      <c r="BH3" s="619" t="s">
        <v>683</v>
      </c>
      <c r="BI3" s="611" t="s">
        <v>176</v>
      </c>
      <c r="BJ3" s="617" t="s">
        <v>150</v>
      </c>
      <c r="BK3" s="552" t="s">
        <v>814</v>
      </c>
      <c r="BL3" s="833"/>
      <c r="BM3" s="610" t="s">
        <v>816</v>
      </c>
      <c r="BN3" s="400" t="s">
        <v>682</v>
      </c>
      <c r="BO3" s="619" t="s">
        <v>683</v>
      </c>
      <c r="BP3" s="611" t="s">
        <v>176</v>
      </c>
      <c r="BQ3" s="617" t="s">
        <v>345</v>
      </c>
      <c r="BR3" s="552" t="s">
        <v>814</v>
      </c>
      <c r="BS3" s="833"/>
      <c r="BT3" s="610" t="s">
        <v>816</v>
      </c>
      <c r="BU3" s="400" t="s">
        <v>682</v>
      </c>
      <c r="BV3" s="619" t="s">
        <v>683</v>
      </c>
      <c r="BW3" s="611" t="s">
        <v>176</v>
      </c>
      <c r="BX3" s="617" t="s">
        <v>346</v>
      </c>
      <c r="BY3" s="552" t="s">
        <v>814</v>
      </c>
      <c r="BZ3" s="840"/>
      <c r="CA3" s="610" t="s">
        <v>816</v>
      </c>
      <c r="CB3" s="400" t="s">
        <v>682</v>
      </c>
      <c r="CC3" s="619" t="s">
        <v>683</v>
      </c>
      <c r="CD3" s="611" t="s">
        <v>176</v>
      </c>
      <c r="CE3" s="617" t="s">
        <v>347</v>
      </c>
      <c r="CF3" s="552" t="s">
        <v>814</v>
      </c>
      <c r="CG3" s="833"/>
      <c r="CH3" s="610" t="s">
        <v>816</v>
      </c>
      <c r="CI3" s="400" t="s">
        <v>682</v>
      </c>
      <c r="CJ3" s="619" t="s">
        <v>683</v>
      </c>
      <c r="CK3" s="611" t="s">
        <v>176</v>
      </c>
      <c r="CL3" s="617" t="s">
        <v>348</v>
      </c>
      <c r="CM3" s="552" t="s">
        <v>814</v>
      </c>
      <c r="CN3" s="847"/>
      <c r="CO3" s="610" t="s">
        <v>816</v>
      </c>
      <c r="CP3" s="400" t="s">
        <v>682</v>
      </c>
      <c r="CQ3" s="619" t="s">
        <v>683</v>
      </c>
      <c r="CR3" s="611" t="s">
        <v>176</v>
      </c>
      <c r="CS3" s="617" t="s">
        <v>349</v>
      </c>
      <c r="CT3" s="552" t="s">
        <v>814</v>
      </c>
      <c r="CV3" s="610" t="s">
        <v>816</v>
      </c>
      <c r="CW3" s="400" t="s">
        <v>682</v>
      </c>
      <c r="CX3" s="619" t="s">
        <v>683</v>
      </c>
      <c r="CY3" s="611" t="s">
        <v>176</v>
      </c>
      <c r="CZ3" s="617" t="s">
        <v>350</v>
      </c>
      <c r="DA3" s="552" t="s">
        <v>814</v>
      </c>
      <c r="DC3" s="399"/>
      <c r="DD3" s="399"/>
      <c r="DE3" s="399"/>
      <c r="DF3" s="399"/>
      <c r="DG3" s="399"/>
      <c r="DH3" s="399"/>
      <c r="DI3" s="399"/>
      <c r="DJ3" s="399"/>
      <c r="DK3" s="399"/>
      <c r="DL3" s="399"/>
      <c r="DM3" s="399"/>
      <c r="DO3" s="399"/>
      <c r="DP3" s="399"/>
      <c r="DQ3" s="399"/>
      <c r="DR3" s="399"/>
      <c r="DS3" s="399"/>
      <c r="DU3" s="399"/>
      <c r="DW3" s="399"/>
      <c r="DX3" s="399"/>
      <c r="DZ3" s="399"/>
      <c r="EB3" s="399"/>
      <c r="EC3" s="399"/>
      <c r="ED3" s="399"/>
      <c r="EE3" s="399"/>
      <c r="EF3" s="399"/>
      <c r="EG3" s="399"/>
      <c r="EH3" s="399"/>
      <c r="EI3" s="399"/>
      <c r="EJ3" s="399"/>
      <c r="EK3" s="399"/>
      <c r="EL3" s="399"/>
      <c r="EN3" s="399"/>
      <c r="EO3" s="399"/>
      <c r="EP3" s="399"/>
      <c r="EQ3" s="399"/>
      <c r="ER3" s="399"/>
      <c r="ET3" s="399"/>
      <c r="EV3" s="399"/>
      <c r="EW3" s="399"/>
      <c r="EY3" s="399"/>
      <c r="FA3" s="399"/>
      <c r="FB3" s="399"/>
      <c r="FC3" s="399"/>
      <c r="FD3" s="399"/>
      <c r="FE3" s="399"/>
      <c r="FF3" s="399"/>
      <c r="FG3" s="399"/>
      <c r="FH3" s="399"/>
      <c r="FI3" s="399"/>
      <c r="FJ3" s="399"/>
      <c r="FK3" s="399"/>
      <c r="FM3" s="399"/>
      <c r="FN3" s="399"/>
      <c r="FO3" s="399"/>
      <c r="FP3" s="399"/>
      <c r="FQ3" s="399"/>
      <c r="FS3" s="399"/>
      <c r="FU3" s="399"/>
      <c r="FV3" s="399"/>
      <c r="FX3" s="399"/>
      <c r="FZ3" s="399"/>
      <c r="GA3" s="399"/>
      <c r="GB3" s="399"/>
      <c r="GC3" s="399"/>
      <c r="GD3" s="399"/>
      <c r="GE3" s="399"/>
      <c r="GF3" s="399"/>
      <c r="GG3" s="399"/>
      <c r="GH3" s="399"/>
      <c r="GI3" s="399"/>
      <c r="GJ3" s="399"/>
      <c r="GL3" s="399"/>
      <c r="GM3" s="399"/>
      <c r="GN3" s="399"/>
      <c r="GO3" s="399"/>
      <c r="GP3" s="399"/>
      <c r="GR3" s="399"/>
      <c r="GT3" s="399"/>
      <c r="GU3" s="399"/>
      <c r="GW3" s="399"/>
      <c r="GY3" s="399"/>
      <c r="GZ3" s="399"/>
      <c r="HA3" s="399"/>
      <c r="HB3" s="399"/>
      <c r="HC3" s="399"/>
      <c r="HD3" s="399"/>
      <c r="HE3" s="399"/>
      <c r="HF3" s="399"/>
      <c r="HG3" s="399"/>
      <c r="HH3" s="399"/>
      <c r="HI3" s="399"/>
      <c r="HK3" s="404"/>
      <c r="HL3" s="404"/>
      <c r="HM3" s="404"/>
      <c r="HN3" s="404"/>
      <c r="HO3" s="404"/>
      <c r="HQ3" s="404"/>
      <c r="HS3" s="404"/>
      <c r="HT3" s="404"/>
      <c r="HV3" s="404"/>
      <c r="HX3" s="404"/>
      <c r="HY3" s="404"/>
      <c r="HZ3" s="404"/>
      <c r="IA3" s="404"/>
      <c r="IB3" s="404"/>
      <c r="IC3" s="404"/>
      <c r="ID3" s="404"/>
      <c r="IE3" s="404"/>
      <c r="IF3" s="404"/>
      <c r="IG3" s="404"/>
      <c r="IH3" s="404"/>
      <c r="IJ3" s="399"/>
      <c r="IK3" s="399"/>
      <c r="IL3" s="399"/>
      <c r="IM3" s="399"/>
      <c r="IN3" s="399"/>
      <c r="IP3" s="399"/>
      <c r="IR3" s="399"/>
      <c r="IS3" s="399"/>
      <c r="IU3" s="399"/>
      <c r="IW3" s="399"/>
      <c r="IX3" s="399"/>
      <c r="IY3" s="399"/>
      <c r="IZ3" s="399"/>
      <c r="JA3" s="399"/>
      <c r="JB3" s="399"/>
      <c r="JC3" s="399"/>
      <c r="JD3" s="399"/>
      <c r="JE3" s="399"/>
      <c r="JF3" s="399"/>
      <c r="JG3" s="399"/>
    </row>
    <row r="4" spans="1:269" ht="12.75" customHeight="1" x14ac:dyDescent="0.3">
      <c r="A4" s="752" t="s">
        <v>916</v>
      </c>
      <c r="B4" s="757" t="s">
        <v>355</v>
      </c>
      <c r="C4" s="757" t="s">
        <v>693</v>
      </c>
      <c r="D4" s="757" t="s">
        <v>168</v>
      </c>
      <c r="E4" s="757" t="s">
        <v>353</v>
      </c>
      <c r="F4" s="757" t="s">
        <v>168</v>
      </c>
      <c r="G4" s="757">
        <v>4.3250000000000002</v>
      </c>
      <c r="H4" s="757">
        <v>71</v>
      </c>
      <c r="I4" s="757">
        <v>307.10000000000002</v>
      </c>
      <c r="J4" s="757">
        <v>13</v>
      </c>
      <c r="K4" s="757">
        <v>8</v>
      </c>
      <c r="L4" s="757">
        <v>9</v>
      </c>
      <c r="M4" s="757">
        <v>230.21</v>
      </c>
      <c r="N4" s="757">
        <v>7.4000000000000003E-3</v>
      </c>
      <c r="O4" s="757">
        <v>9</v>
      </c>
      <c r="P4" s="757">
        <v>21</v>
      </c>
      <c r="Q4" s="757" t="s">
        <v>355</v>
      </c>
      <c r="R4" s="406"/>
      <c r="S4" s="760">
        <v>253.11699999999999</v>
      </c>
      <c r="T4" s="760">
        <v>714.44399999999996</v>
      </c>
      <c r="U4" s="760">
        <v>676.23099999999999</v>
      </c>
      <c r="V4" s="760">
        <v>789.63599999999997</v>
      </c>
      <c r="W4" s="761">
        <v>511.38600000000002</v>
      </c>
      <c r="X4" s="407"/>
      <c r="Y4" s="775">
        <v>145.114</v>
      </c>
      <c r="Z4" s="776">
        <v>0.99</v>
      </c>
      <c r="AA4" s="777">
        <v>0.875</v>
      </c>
      <c r="AB4" s="778">
        <v>0.76500000000000001</v>
      </c>
      <c r="AC4" s="778">
        <v>0.65</v>
      </c>
      <c r="AD4" s="779">
        <v>0.99299999999999999</v>
      </c>
      <c r="AE4" s="776">
        <v>0.99</v>
      </c>
      <c r="AF4" s="780">
        <v>29.91</v>
      </c>
      <c r="AG4" s="781">
        <v>52.5</v>
      </c>
      <c r="AH4" s="781">
        <v>20.56</v>
      </c>
      <c r="AI4" s="781">
        <v>22.43</v>
      </c>
      <c r="AJ4" s="781">
        <v>20.56</v>
      </c>
      <c r="AK4" s="781">
        <v>26.04</v>
      </c>
      <c r="AL4" s="781">
        <v>18.600000000000001</v>
      </c>
      <c r="AM4" s="781">
        <v>39.26</v>
      </c>
      <c r="AN4" s="781">
        <v>44.87</v>
      </c>
      <c r="AO4" s="781">
        <v>28.04</v>
      </c>
      <c r="AP4" s="781">
        <v>22.51</v>
      </c>
      <c r="AQ4" s="782">
        <v>192.69399999999999</v>
      </c>
      <c r="AR4" s="411"/>
      <c r="AS4" s="411"/>
      <c r="AT4" s="411"/>
      <c r="AU4" s="411"/>
      <c r="AV4" s="411"/>
      <c r="AW4" s="412"/>
      <c r="AX4" s="775">
        <v>145.114</v>
      </c>
      <c r="AY4" s="776"/>
      <c r="AZ4" s="851">
        <v>0.875</v>
      </c>
      <c r="BA4" s="852">
        <v>0.76500000000000001</v>
      </c>
      <c r="BB4" s="852">
        <v>0.65</v>
      </c>
      <c r="BC4" s="853">
        <v>0.99299999999999999</v>
      </c>
      <c r="BD4" s="776"/>
      <c r="BE4" s="808"/>
      <c r="BF4" s="776"/>
      <c r="BG4" s="851">
        <v>0.875</v>
      </c>
      <c r="BH4" s="852">
        <v>0.76500000000000001</v>
      </c>
      <c r="BI4" s="852">
        <v>0.65</v>
      </c>
      <c r="BJ4" s="853">
        <v>0.99299999999999999</v>
      </c>
      <c r="BK4" s="776"/>
      <c r="BL4" s="834"/>
      <c r="BM4" s="776">
        <v>0.99</v>
      </c>
      <c r="BN4" s="777">
        <v>0.875</v>
      </c>
      <c r="BO4" s="778">
        <v>0.76500000000000001</v>
      </c>
      <c r="BP4" s="778">
        <v>0.65</v>
      </c>
      <c r="BQ4" s="779">
        <v>0.99299999999999999</v>
      </c>
      <c r="BR4" s="776">
        <v>0.99</v>
      </c>
      <c r="BS4" s="841"/>
      <c r="BT4" s="776">
        <v>0.99</v>
      </c>
      <c r="BU4" s="777">
        <v>0.875</v>
      </c>
      <c r="BV4" s="778">
        <v>0.76500000000000001</v>
      </c>
      <c r="BW4" s="778">
        <v>0.65</v>
      </c>
      <c r="BX4" s="779">
        <v>0.99299999999999999</v>
      </c>
      <c r="BY4" s="776">
        <v>0.99</v>
      </c>
      <c r="BZ4" s="773"/>
      <c r="CA4" s="776">
        <v>0.99</v>
      </c>
      <c r="CB4" s="777">
        <v>0.875</v>
      </c>
      <c r="CC4" s="778">
        <v>0.76500000000000001</v>
      </c>
      <c r="CD4" s="778">
        <v>0.65</v>
      </c>
      <c r="CE4" s="779">
        <v>0.99299999999999999</v>
      </c>
      <c r="CF4" s="776">
        <v>0.99</v>
      </c>
      <c r="CG4" s="834"/>
      <c r="CH4" s="776">
        <v>0.99</v>
      </c>
      <c r="CI4" s="777">
        <v>0.875</v>
      </c>
      <c r="CJ4" s="778">
        <v>0.76500000000000001</v>
      </c>
      <c r="CK4" s="778">
        <v>0.65</v>
      </c>
      <c r="CL4" s="779">
        <v>0.99299999999999999</v>
      </c>
      <c r="CM4" s="776">
        <v>0.99</v>
      </c>
      <c r="CN4" s="834"/>
      <c r="CO4" s="776">
        <v>0.99</v>
      </c>
      <c r="CP4" s="777">
        <v>0.875</v>
      </c>
      <c r="CQ4" s="778">
        <v>0.76500000000000001</v>
      </c>
      <c r="CR4" s="778">
        <v>0.65</v>
      </c>
      <c r="CS4" s="779">
        <v>0.99299999999999999</v>
      </c>
      <c r="CT4" s="776">
        <v>0.99</v>
      </c>
      <c r="CU4" s="414"/>
      <c r="CV4" s="776">
        <v>0.99</v>
      </c>
      <c r="CW4" s="777">
        <v>0.875</v>
      </c>
      <c r="CX4" s="778">
        <v>0.76500000000000001</v>
      </c>
      <c r="CY4" s="778">
        <v>0.65</v>
      </c>
      <c r="CZ4" s="779">
        <v>0.99299999999999999</v>
      </c>
      <c r="DA4" s="776">
        <v>0.99</v>
      </c>
      <c r="DB4" s="394"/>
      <c r="DC4" s="411"/>
      <c r="DD4" s="411"/>
      <c r="DE4" s="411"/>
      <c r="DF4" s="411"/>
      <c r="DG4" s="411"/>
      <c r="DH4" s="411"/>
      <c r="DI4" s="411"/>
      <c r="DJ4" s="411"/>
      <c r="DK4" s="411"/>
      <c r="DL4" s="411"/>
      <c r="DM4" s="411"/>
      <c r="DN4" s="394"/>
      <c r="DO4" s="411"/>
      <c r="DP4" s="411"/>
      <c r="DQ4" s="411"/>
      <c r="DR4" s="411"/>
      <c r="DS4" s="411"/>
      <c r="DT4" s="412"/>
      <c r="DU4" s="411"/>
      <c r="DV4" s="412"/>
      <c r="DW4" s="411"/>
      <c r="DX4" s="411"/>
      <c r="DY4" s="412"/>
      <c r="DZ4" s="411"/>
      <c r="EA4" s="412"/>
      <c r="EB4" s="411"/>
      <c r="EC4" s="411"/>
      <c r="ED4" s="411"/>
      <c r="EE4" s="411"/>
      <c r="EF4" s="411"/>
      <c r="EG4" s="411"/>
      <c r="EH4" s="411"/>
      <c r="EI4" s="411"/>
      <c r="EJ4" s="411"/>
      <c r="EK4" s="411"/>
      <c r="EL4" s="411"/>
      <c r="EM4" s="394"/>
      <c r="EN4" s="411"/>
      <c r="EO4" s="411"/>
      <c r="EP4" s="411"/>
      <c r="EQ4" s="411"/>
      <c r="ER4" s="411"/>
      <c r="ES4" s="412"/>
      <c r="ET4" s="411"/>
      <c r="EU4" s="412"/>
      <c r="EV4" s="411"/>
      <c r="EW4" s="411"/>
      <c r="EX4" s="412"/>
      <c r="EY4" s="411"/>
      <c r="EZ4" s="412"/>
      <c r="FA4" s="411"/>
      <c r="FB4" s="411"/>
      <c r="FC4" s="411"/>
      <c r="FD4" s="411"/>
      <c r="FE4" s="411"/>
      <c r="FF4" s="411"/>
      <c r="FG4" s="411"/>
      <c r="FH4" s="411"/>
      <c r="FI4" s="411"/>
      <c r="FJ4" s="411"/>
      <c r="FK4" s="411"/>
      <c r="FL4" s="394"/>
      <c r="FM4" s="411"/>
      <c r="FN4" s="411"/>
      <c r="FO4" s="411"/>
      <c r="FP4" s="411"/>
      <c r="FQ4" s="411"/>
      <c r="FR4" s="412"/>
      <c r="FS4" s="411"/>
      <c r="FT4" s="412"/>
      <c r="FU4" s="411"/>
      <c r="FV4" s="411"/>
      <c r="FW4" s="412"/>
      <c r="FX4" s="411"/>
      <c r="FY4" s="412"/>
      <c r="FZ4" s="411"/>
      <c r="GA4" s="411"/>
      <c r="GB4" s="411"/>
      <c r="GC4" s="411"/>
      <c r="GD4" s="411"/>
      <c r="GE4" s="411"/>
      <c r="GF4" s="411"/>
      <c r="GG4" s="411"/>
      <c r="GH4" s="411"/>
      <c r="GI4" s="411"/>
      <c r="GJ4" s="411"/>
      <c r="GK4" s="394"/>
      <c r="GL4" s="411"/>
      <c r="GM4" s="411"/>
      <c r="GN4" s="411"/>
      <c r="GO4" s="411"/>
      <c r="GP4" s="411"/>
      <c r="GQ4" s="394"/>
      <c r="GR4" s="411"/>
      <c r="GS4" s="394"/>
      <c r="GT4" s="411"/>
      <c r="GU4" s="411"/>
      <c r="GV4" s="394"/>
      <c r="GW4" s="411"/>
      <c r="GX4" s="394"/>
      <c r="GY4" s="411"/>
      <c r="GZ4" s="411"/>
      <c r="HA4" s="411"/>
      <c r="HB4" s="411"/>
      <c r="HC4" s="411"/>
      <c r="HD4" s="411"/>
      <c r="HE4" s="411"/>
      <c r="HF4" s="411"/>
      <c r="HG4" s="411"/>
      <c r="HH4" s="411"/>
      <c r="HI4" s="411"/>
      <c r="HJ4" s="394"/>
      <c r="HK4" s="411"/>
      <c r="HL4" s="411"/>
      <c r="HM4" s="411"/>
      <c r="HN4" s="411"/>
      <c r="HO4" s="411"/>
      <c r="HQ4" s="411"/>
      <c r="HR4" s="394"/>
      <c r="HS4" s="411"/>
      <c r="HT4" s="411"/>
      <c r="HU4" s="394"/>
      <c r="HV4" s="411"/>
      <c r="HX4" s="411"/>
      <c r="HY4" s="411"/>
      <c r="HZ4" s="411"/>
      <c r="IA4" s="411"/>
      <c r="IB4" s="411"/>
      <c r="IC4" s="411"/>
      <c r="ID4" s="411"/>
      <c r="IE4" s="411"/>
      <c r="IF4" s="411"/>
      <c r="IG4" s="411"/>
      <c r="IH4" s="411"/>
      <c r="II4" s="394"/>
      <c r="IJ4" s="411"/>
      <c r="IK4" s="411"/>
      <c r="IL4" s="411"/>
      <c r="IM4" s="411"/>
      <c r="IN4" s="411"/>
      <c r="IP4" s="411"/>
      <c r="IR4" s="411"/>
      <c r="IS4" s="411"/>
      <c r="IU4" s="411"/>
      <c r="IW4" s="411"/>
      <c r="IX4" s="411"/>
      <c r="IY4" s="411"/>
      <c r="IZ4" s="411"/>
      <c r="JA4" s="411"/>
      <c r="JB4" s="411"/>
      <c r="JC4" s="411"/>
      <c r="JD4" s="411"/>
      <c r="JE4" s="411"/>
      <c r="JF4" s="411"/>
      <c r="JG4" s="411"/>
    </row>
    <row r="5" spans="1:269" ht="12.75" customHeight="1" x14ac:dyDescent="0.3">
      <c r="A5" s="752" t="s">
        <v>917</v>
      </c>
      <c r="B5" s="757" t="s">
        <v>168</v>
      </c>
      <c r="C5" s="757" t="s">
        <v>174</v>
      </c>
      <c r="D5" s="757" t="s">
        <v>168</v>
      </c>
      <c r="E5" s="757" t="s">
        <v>355</v>
      </c>
      <c r="F5" s="757" t="s">
        <v>168</v>
      </c>
      <c r="G5" s="757">
        <v>3.78</v>
      </c>
      <c r="H5" s="757">
        <v>79</v>
      </c>
      <c r="I5" s="757">
        <v>298.60000000000002</v>
      </c>
      <c r="J5" s="757">
        <v>8</v>
      </c>
      <c r="K5" s="757">
        <v>9</v>
      </c>
      <c r="L5" s="757">
        <v>10</v>
      </c>
      <c r="M5" s="757">
        <v>193.33</v>
      </c>
      <c r="N5" s="757">
        <v>8.0000000000000002E-3</v>
      </c>
      <c r="O5" s="757">
        <v>12</v>
      </c>
      <c r="P5" s="757">
        <v>19.5</v>
      </c>
      <c r="Q5" s="757" t="s">
        <v>355</v>
      </c>
      <c r="R5" s="406"/>
      <c r="S5" s="762">
        <v>626</v>
      </c>
      <c r="T5" s="760">
        <v>498.596</v>
      </c>
      <c r="U5" s="760">
        <v>356.1</v>
      </c>
      <c r="V5" s="760">
        <v>550.9</v>
      </c>
      <c r="W5" s="760">
        <v>650.1</v>
      </c>
      <c r="X5" s="407"/>
      <c r="Y5" s="775">
        <v>58</v>
      </c>
      <c r="Z5" s="776">
        <v>0.98</v>
      </c>
      <c r="AA5" s="777">
        <v>0.80400000000000005</v>
      </c>
      <c r="AB5" s="779">
        <v>0.68</v>
      </c>
      <c r="AC5" s="779">
        <v>0.755</v>
      </c>
      <c r="AD5" s="779">
        <v>1.042</v>
      </c>
      <c r="AE5" s="776">
        <v>0.98</v>
      </c>
      <c r="AF5" s="780">
        <v>39.119999999999997</v>
      </c>
      <c r="AG5" s="781">
        <v>23</v>
      </c>
      <c r="AH5" s="781">
        <v>42.68</v>
      </c>
      <c r="AI5" s="781">
        <v>49.25</v>
      </c>
      <c r="AJ5" s="781">
        <v>44.87</v>
      </c>
      <c r="AK5" s="781">
        <v>28.96</v>
      </c>
      <c r="AL5" s="781">
        <v>34.08</v>
      </c>
      <c r="AM5" s="781">
        <v>31.74</v>
      </c>
      <c r="AN5" s="781">
        <v>25.87</v>
      </c>
      <c r="AO5" s="781">
        <v>17.420000000000002</v>
      </c>
      <c r="AP5" s="781">
        <v>24.29</v>
      </c>
      <c r="AQ5" s="782">
        <v>247.19399999999999</v>
      </c>
      <c r="AR5" s="411"/>
      <c r="AS5" s="411"/>
      <c r="AT5" s="411"/>
      <c r="AU5" s="411"/>
      <c r="AV5" s="411"/>
      <c r="AW5" s="412"/>
      <c r="AX5" s="775">
        <v>58</v>
      </c>
      <c r="AY5" s="776"/>
      <c r="AZ5" s="851">
        <v>0.80400000000000005</v>
      </c>
      <c r="BA5" s="853">
        <v>0.68</v>
      </c>
      <c r="BB5" s="853">
        <v>0.755</v>
      </c>
      <c r="BC5" s="853">
        <v>1.042</v>
      </c>
      <c r="BD5" s="776"/>
      <c r="BE5" s="808"/>
      <c r="BF5" s="776"/>
      <c r="BG5" s="851">
        <v>0.80400000000000005</v>
      </c>
      <c r="BH5" s="853">
        <v>0.68</v>
      </c>
      <c r="BI5" s="853">
        <v>0.755</v>
      </c>
      <c r="BJ5" s="853">
        <v>1.042</v>
      </c>
      <c r="BK5" s="776"/>
      <c r="BL5" s="834"/>
      <c r="BM5" s="776">
        <v>0.98</v>
      </c>
      <c r="BN5" s="777">
        <v>0.80400000000000005</v>
      </c>
      <c r="BO5" s="779">
        <v>0.68</v>
      </c>
      <c r="BP5" s="779">
        <v>0.755</v>
      </c>
      <c r="BQ5" s="779">
        <v>1.042</v>
      </c>
      <c r="BR5" s="776">
        <v>0.98</v>
      </c>
      <c r="BS5" s="842"/>
      <c r="BT5" s="776">
        <v>0.98</v>
      </c>
      <c r="BU5" s="777">
        <v>0.80400000000000005</v>
      </c>
      <c r="BV5" s="779">
        <v>0.68</v>
      </c>
      <c r="BW5" s="779">
        <v>0.755</v>
      </c>
      <c r="BX5" s="779">
        <v>1.042</v>
      </c>
      <c r="BY5" s="776">
        <v>0.98</v>
      </c>
      <c r="BZ5" s="774"/>
      <c r="CA5" s="776">
        <v>0.98</v>
      </c>
      <c r="CB5" s="777">
        <v>0.80400000000000005</v>
      </c>
      <c r="CC5" s="779">
        <v>0.68</v>
      </c>
      <c r="CD5" s="779">
        <v>0.755</v>
      </c>
      <c r="CE5" s="779">
        <v>1.042</v>
      </c>
      <c r="CF5" s="776">
        <v>0.98</v>
      </c>
      <c r="CG5" s="834"/>
      <c r="CH5" s="776">
        <v>0.98</v>
      </c>
      <c r="CI5" s="777">
        <v>0.80400000000000005</v>
      </c>
      <c r="CJ5" s="779">
        <v>0.68</v>
      </c>
      <c r="CK5" s="779">
        <v>0.755</v>
      </c>
      <c r="CL5" s="779">
        <v>1.042</v>
      </c>
      <c r="CM5" s="776">
        <v>0.98</v>
      </c>
      <c r="CN5" s="834"/>
      <c r="CO5" s="776">
        <v>0.98</v>
      </c>
      <c r="CP5" s="777">
        <v>0.80400000000000005</v>
      </c>
      <c r="CQ5" s="779">
        <v>0.68</v>
      </c>
      <c r="CR5" s="779">
        <v>0.755</v>
      </c>
      <c r="CS5" s="779">
        <v>1.042</v>
      </c>
      <c r="CT5" s="776">
        <v>0.98</v>
      </c>
      <c r="CU5" s="396"/>
      <c r="CV5" s="776">
        <v>0.98</v>
      </c>
      <c r="CW5" s="777">
        <v>0.80400000000000005</v>
      </c>
      <c r="CX5" s="779">
        <v>0.68</v>
      </c>
      <c r="CY5" s="779">
        <v>0.755</v>
      </c>
      <c r="CZ5" s="779">
        <v>1.042</v>
      </c>
      <c r="DA5" s="776">
        <v>0.98</v>
      </c>
      <c r="DB5" s="396"/>
      <c r="DC5" s="411"/>
      <c r="DD5" s="411"/>
      <c r="DE5" s="411"/>
      <c r="DF5" s="411"/>
      <c r="DG5" s="411"/>
      <c r="DH5" s="411"/>
      <c r="DI5" s="411"/>
      <c r="DJ5" s="411"/>
      <c r="DK5" s="411"/>
      <c r="DL5" s="411"/>
      <c r="DM5" s="411"/>
      <c r="DN5" s="394"/>
      <c r="DO5" s="411"/>
      <c r="DP5" s="411"/>
      <c r="DQ5" s="411"/>
      <c r="DR5" s="411"/>
      <c r="DS5" s="411"/>
      <c r="DU5" s="411"/>
      <c r="DW5" s="411"/>
      <c r="DX5" s="411"/>
      <c r="DZ5" s="411"/>
      <c r="EB5" s="411"/>
      <c r="EC5" s="411"/>
      <c r="ED5" s="411"/>
      <c r="EE5" s="411"/>
      <c r="EF5" s="411"/>
      <c r="EG5" s="411"/>
      <c r="EH5" s="411"/>
      <c r="EI5" s="411"/>
      <c r="EJ5" s="411"/>
      <c r="EK5" s="411"/>
      <c r="EL5" s="411"/>
      <c r="EM5" s="394"/>
      <c r="EN5" s="411"/>
      <c r="EO5" s="411"/>
      <c r="EP5" s="411"/>
      <c r="EQ5" s="411"/>
      <c r="ER5" s="411"/>
      <c r="ES5" s="394"/>
      <c r="ET5" s="411"/>
      <c r="EU5" s="394"/>
      <c r="EV5" s="411"/>
      <c r="EW5" s="411"/>
      <c r="EX5" s="394"/>
      <c r="EY5" s="411"/>
      <c r="EZ5" s="394"/>
      <c r="FA5" s="411"/>
      <c r="FB5" s="411"/>
      <c r="FC5" s="411"/>
      <c r="FD5" s="411"/>
      <c r="FE5" s="411"/>
      <c r="FF5" s="411"/>
      <c r="FG5" s="411"/>
      <c r="FH5" s="411"/>
      <c r="FI5" s="411"/>
      <c r="FJ5" s="411"/>
      <c r="FK5" s="411"/>
      <c r="FL5" s="394"/>
      <c r="FM5" s="411"/>
      <c r="FN5" s="411"/>
      <c r="FO5" s="411"/>
      <c r="FP5" s="411"/>
      <c r="FQ5" s="411"/>
      <c r="FR5" s="394"/>
      <c r="FS5" s="411"/>
      <c r="FT5" s="394"/>
      <c r="FU5" s="411"/>
      <c r="FV5" s="411"/>
      <c r="FW5" s="394"/>
      <c r="FX5" s="411"/>
      <c r="FY5" s="394"/>
      <c r="FZ5" s="411"/>
      <c r="GA5" s="411"/>
      <c r="GB5" s="411"/>
      <c r="GC5" s="411"/>
      <c r="GD5" s="411"/>
      <c r="GE5" s="411"/>
      <c r="GF5" s="411"/>
      <c r="GG5" s="411"/>
      <c r="GH5" s="411"/>
      <c r="GI5" s="411"/>
      <c r="GJ5" s="411"/>
      <c r="GK5" s="394"/>
      <c r="GL5" s="411"/>
      <c r="GM5" s="411"/>
      <c r="GN5" s="411"/>
      <c r="GO5" s="411"/>
      <c r="GP5" s="411"/>
      <c r="GQ5" s="394"/>
      <c r="GR5" s="411"/>
      <c r="GS5" s="394"/>
      <c r="GT5" s="411"/>
      <c r="GU5" s="411"/>
      <c r="GV5" s="394"/>
      <c r="GW5" s="411"/>
      <c r="GX5" s="394"/>
      <c r="GY5" s="411"/>
      <c r="GZ5" s="411"/>
      <c r="HA5" s="411"/>
      <c r="HB5" s="411"/>
      <c r="HC5" s="411"/>
      <c r="HD5" s="411"/>
      <c r="HE5" s="411"/>
      <c r="HF5" s="411"/>
      <c r="HG5" s="411"/>
      <c r="HH5" s="411"/>
      <c r="HI5" s="411"/>
      <c r="HJ5" s="394"/>
      <c r="HK5" s="411"/>
      <c r="HL5" s="411"/>
      <c r="HM5" s="411"/>
      <c r="HN5" s="411"/>
      <c r="HO5" s="411"/>
      <c r="HQ5" s="411"/>
      <c r="HR5" s="394"/>
      <c r="HS5" s="411"/>
      <c r="HT5" s="411"/>
      <c r="HU5" s="394"/>
      <c r="HV5" s="411"/>
      <c r="HX5" s="416"/>
      <c r="HY5" s="416"/>
      <c r="HZ5" s="416"/>
      <c r="IA5" s="416"/>
      <c r="IB5" s="416"/>
      <c r="IC5" s="416"/>
      <c r="ID5" s="416"/>
      <c r="IE5" s="416"/>
      <c r="IF5" s="416"/>
      <c r="IG5" s="416"/>
      <c r="IH5" s="416"/>
      <c r="II5" s="394"/>
      <c r="IJ5" s="411"/>
      <c r="IK5" s="411"/>
      <c r="IL5" s="411"/>
      <c r="IM5" s="411"/>
      <c r="IN5" s="411"/>
      <c r="IP5" s="411"/>
      <c r="IR5" s="411"/>
      <c r="IS5" s="411"/>
      <c r="IU5" s="411"/>
      <c r="IW5" s="411"/>
      <c r="IX5" s="411"/>
      <c r="IY5" s="411"/>
      <c r="IZ5" s="411"/>
      <c r="JA5" s="411"/>
      <c r="JB5" s="411"/>
      <c r="JC5" s="411"/>
      <c r="JD5" s="411"/>
      <c r="JE5" s="411"/>
      <c r="JF5" s="411"/>
      <c r="JG5" s="411"/>
    </row>
    <row r="6" spans="1:269" x14ac:dyDescent="0.3">
      <c r="A6" s="753" t="s">
        <v>918</v>
      </c>
      <c r="B6" s="810" t="s">
        <v>353</v>
      </c>
      <c r="C6" s="757" t="s">
        <v>30</v>
      </c>
      <c r="D6" s="810" t="s">
        <v>162</v>
      </c>
      <c r="E6" s="757" t="s">
        <v>168</v>
      </c>
      <c r="F6" s="757" t="s">
        <v>353</v>
      </c>
      <c r="G6" s="757">
        <v>3.04</v>
      </c>
      <c r="H6" s="757">
        <v>80</v>
      </c>
      <c r="I6" s="757">
        <v>243.2</v>
      </c>
      <c r="J6" s="757">
        <v>5</v>
      </c>
      <c r="K6" s="757">
        <v>10</v>
      </c>
      <c r="L6" s="757">
        <v>7</v>
      </c>
      <c r="M6" s="757">
        <v>150.94999999999999</v>
      </c>
      <c r="N6" s="757">
        <v>6.3E-3</v>
      </c>
      <c r="O6" s="757">
        <v>10</v>
      </c>
      <c r="P6" s="757">
        <v>11.5</v>
      </c>
      <c r="Q6" s="757" t="s">
        <v>30</v>
      </c>
      <c r="R6" s="406"/>
      <c r="S6" s="760">
        <v>995.81899999999996</v>
      </c>
      <c r="T6" s="760">
        <v>467.05900000000003</v>
      </c>
      <c r="U6" s="760">
        <v>699.27599999999995</v>
      </c>
      <c r="V6" s="760">
        <v>764.84299999999996</v>
      </c>
      <c r="W6" s="761">
        <v>242.33699999999999</v>
      </c>
      <c r="X6" s="407"/>
      <c r="Y6" s="775">
        <v>190.405</v>
      </c>
      <c r="Z6" s="776">
        <v>0.98</v>
      </c>
      <c r="AA6" s="777">
        <v>0.84199999999999997</v>
      </c>
      <c r="AB6" s="779">
        <v>0.63300000000000001</v>
      </c>
      <c r="AC6" s="779">
        <v>0.71499999999999997</v>
      </c>
      <c r="AD6" s="779">
        <v>0.99</v>
      </c>
      <c r="AE6" s="776">
        <v>0.98</v>
      </c>
      <c r="AF6" s="780">
        <v>22.29</v>
      </c>
      <c r="AG6" s="781">
        <v>28.1</v>
      </c>
      <c r="AH6" s="781">
        <v>28.66</v>
      </c>
      <c r="AI6" s="781">
        <v>27.07</v>
      </c>
      <c r="AJ6" s="781">
        <v>23.88</v>
      </c>
      <c r="AK6" s="781">
        <v>22.29</v>
      </c>
      <c r="AL6" s="781">
        <v>17.510000000000002</v>
      </c>
      <c r="AM6" s="781">
        <v>27.07</v>
      </c>
      <c r="AN6" s="781">
        <v>31.84</v>
      </c>
      <c r="AO6" s="781">
        <v>25.47</v>
      </c>
      <c r="AP6" s="781">
        <v>14.33</v>
      </c>
      <c r="AQ6" s="782">
        <v>262.17500000000001</v>
      </c>
      <c r="AR6" s="411"/>
      <c r="AS6" s="411"/>
      <c r="AT6" s="411"/>
      <c r="AU6" s="411"/>
      <c r="AV6" s="411"/>
      <c r="AW6" s="396"/>
      <c r="AX6" s="775">
        <v>190.405</v>
      </c>
      <c r="AY6" s="776"/>
      <c r="AZ6" s="851">
        <v>0.84199999999999997</v>
      </c>
      <c r="BA6" s="853">
        <v>0.63300000000000001</v>
      </c>
      <c r="BB6" s="853">
        <v>0.71499999999999997</v>
      </c>
      <c r="BC6" s="853">
        <v>0.99</v>
      </c>
      <c r="BD6" s="776"/>
      <c r="BE6" s="808"/>
      <c r="BF6" s="776"/>
      <c r="BG6" s="851">
        <v>0.84199999999999997</v>
      </c>
      <c r="BH6" s="853">
        <v>0.63300000000000001</v>
      </c>
      <c r="BI6" s="853">
        <v>0.71499999999999997</v>
      </c>
      <c r="BJ6" s="853">
        <v>0.99</v>
      </c>
      <c r="BK6" s="776"/>
      <c r="BL6" s="834"/>
      <c r="BM6" s="776">
        <v>0.98</v>
      </c>
      <c r="BN6" s="777">
        <v>0.84199999999999997</v>
      </c>
      <c r="BO6" s="779">
        <v>0.63300000000000001</v>
      </c>
      <c r="BP6" s="779">
        <v>0.71499999999999997</v>
      </c>
      <c r="BQ6" s="779">
        <v>0.99</v>
      </c>
      <c r="BR6" s="776">
        <v>0.98</v>
      </c>
      <c r="BS6" s="842"/>
      <c r="BT6" s="776">
        <v>0.98</v>
      </c>
      <c r="BU6" s="777">
        <v>0.84199999999999997</v>
      </c>
      <c r="BV6" s="779">
        <v>0.63300000000000001</v>
      </c>
      <c r="BW6" s="779">
        <v>0.71499999999999997</v>
      </c>
      <c r="BX6" s="779">
        <v>0.99</v>
      </c>
      <c r="BY6" s="776">
        <v>0.98</v>
      </c>
      <c r="BZ6" s="774"/>
      <c r="CA6" s="776">
        <v>0.98</v>
      </c>
      <c r="CB6" s="777">
        <v>0.84199999999999997</v>
      </c>
      <c r="CC6" s="779">
        <v>0.63300000000000001</v>
      </c>
      <c r="CD6" s="779">
        <v>0.71499999999999997</v>
      </c>
      <c r="CE6" s="779">
        <v>0.99</v>
      </c>
      <c r="CF6" s="776">
        <v>0.98</v>
      </c>
      <c r="CG6" s="834"/>
      <c r="CH6" s="776">
        <v>0.98</v>
      </c>
      <c r="CI6" s="777">
        <v>0.84199999999999997</v>
      </c>
      <c r="CJ6" s="779">
        <v>0.63300000000000001</v>
      </c>
      <c r="CK6" s="779">
        <v>0.71499999999999997</v>
      </c>
      <c r="CL6" s="779">
        <v>0.99</v>
      </c>
      <c r="CM6" s="776">
        <v>0.98</v>
      </c>
      <c r="CN6" s="834"/>
      <c r="CO6" s="776">
        <v>0.98</v>
      </c>
      <c r="CP6" s="777">
        <v>0.84199999999999997</v>
      </c>
      <c r="CQ6" s="779">
        <v>0.63300000000000001</v>
      </c>
      <c r="CR6" s="779">
        <v>0.71499999999999997</v>
      </c>
      <c r="CS6" s="779">
        <v>0.99</v>
      </c>
      <c r="CT6" s="776">
        <v>0.98</v>
      </c>
      <c r="CU6" s="418"/>
      <c r="CV6" s="776">
        <v>0.98</v>
      </c>
      <c r="CW6" s="777">
        <v>0.84199999999999997</v>
      </c>
      <c r="CX6" s="779">
        <v>0.63300000000000001</v>
      </c>
      <c r="CY6" s="779">
        <v>0.71499999999999997</v>
      </c>
      <c r="CZ6" s="779">
        <v>0.99</v>
      </c>
      <c r="DA6" s="776">
        <v>0.98</v>
      </c>
      <c r="DB6" s="418"/>
      <c r="DC6" s="417"/>
      <c r="DD6" s="417"/>
      <c r="DE6" s="417"/>
      <c r="DF6" s="417"/>
      <c r="DG6" s="417"/>
      <c r="DH6" s="417"/>
      <c r="DI6" s="417"/>
      <c r="DJ6" s="417"/>
      <c r="DK6" s="417"/>
      <c r="DL6" s="417"/>
      <c r="DM6" s="417"/>
      <c r="DN6" s="394"/>
      <c r="DO6" s="411"/>
      <c r="DP6" s="411"/>
      <c r="DQ6" s="411"/>
      <c r="DR6" s="411"/>
      <c r="DS6" s="411"/>
      <c r="DU6" s="411"/>
      <c r="DW6" s="411"/>
      <c r="DX6" s="411"/>
      <c r="DZ6" s="411"/>
      <c r="EB6" s="411"/>
      <c r="EC6" s="411"/>
      <c r="ED6" s="411"/>
      <c r="EE6" s="411"/>
      <c r="EF6" s="411"/>
      <c r="EG6" s="411"/>
      <c r="EH6" s="411"/>
      <c r="EI6" s="411"/>
      <c r="EJ6" s="411"/>
      <c r="EK6" s="411"/>
      <c r="EL6" s="411"/>
      <c r="EM6" s="394"/>
      <c r="EN6" s="411"/>
      <c r="EO6" s="411"/>
      <c r="EP6" s="411"/>
      <c r="EQ6" s="411"/>
      <c r="ER6" s="411"/>
      <c r="ES6" s="394"/>
      <c r="ET6" s="411"/>
      <c r="EU6" s="394"/>
      <c r="EV6" s="417"/>
      <c r="EW6" s="417"/>
      <c r="EX6" s="418"/>
      <c r="EY6" s="417"/>
      <c r="EZ6" s="418"/>
      <c r="FA6" s="417"/>
      <c r="FB6" s="417"/>
      <c r="FC6" s="417"/>
      <c r="FD6" s="417"/>
      <c r="FE6" s="417"/>
      <c r="FF6" s="417"/>
      <c r="FG6" s="417"/>
      <c r="FH6" s="417"/>
      <c r="FI6" s="417"/>
      <c r="FJ6" s="417"/>
      <c r="FK6" s="417"/>
      <c r="FL6" s="394"/>
      <c r="FM6" s="411"/>
      <c r="FN6" s="411"/>
      <c r="FO6" s="411"/>
      <c r="FP6" s="411"/>
      <c r="FQ6" s="411"/>
      <c r="FS6" s="411"/>
      <c r="FU6" s="411"/>
      <c r="FV6" s="411"/>
      <c r="FX6" s="411"/>
      <c r="FZ6" s="411"/>
      <c r="GA6" s="411"/>
      <c r="GB6" s="411"/>
      <c r="GC6" s="411"/>
      <c r="GD6" s="411"/>
      <c r="GE6" s="411"/>
      <c r="GF6" s="411"/>
      <c r="GG6" s="411"/>
      <c r="GH6" s="411"/>
      <c r="GI6" s="411"/>
      <c r="GJ6" s="411"/>
      <c r="GL6" s="411"/>
      <c r="GM6" s="411"/>
      <c r="GN6" s="411"/>
      <c r="GO6" s="411"/>
      <c r="GP6" s="411"/>
      <c r="GR6" s="411"/>
      <c r="GT6" s="411"/>
      <c r="GU6" s="411"/>
      <c r="GW6" s="411"/>
      <c r="GY6" s="416"/>
      <c r="GZ6" s="416"/>
      <c r="HA6" s="416"/>
      <c r="HB6" s="416"/>
      <c r="HC6" s="416"/>
      <c r="HD6" s="416"/>
      <c r="HE6" s="416"/>
      <c r="HF6" s="416"/>
      <c r="HG6" s="416"/>
      <c r="HH6" s="416"/>
      <c r="HI6" s="416"/>
      <c r="HK6" s="411"/>
      <c r="HL6" s="411"/>
      <c r="HM6" s="411"/>
      <c r="HN6" s="411"/>
      <c r="HO6" s="411"/>
      <c r="HQ6" s="411"/>
      <c r="HS6" s="411"/>
      <c r="HT6" s="411"/>
      <c r="HV6" s="411"/>
      <c r="HX6" s="416"/>
      <c r="HY6" s="416"/>
      <c r="HZ6" s="416"/>
      <c r="IA6" s="416"/>
      <c r="IB6" s="416"/>
      <c r="IC6" s="416"/>
      <c r="ID6" s="416"/>
      <c r="IE6" s="416"/>
      <c r="IF6" s="416"/>
      <c r="IG6" s="416"/>
      <c r="IH6" s="416"/>
      <c r="II6" s="394"/>
      <c r="IJ6" s="417"/>
      <c r="IK6" s="417"/>
      <c r="IL6" s="417"/>
      <c r="IM6" s="417"/>
      <c r="IN6" s="417"/>
      <c r="IO6" s="418"/>
      <c r="IP6" s="417"/>
      <c r="IQ6" s="418"/>
      <c r="IR6" s="417"/>
      <c r="IS6" s="417"/>
      <c r="IT6" s="418"/>
      <c r="IU6" s="417"/>
      <c r="IW6" s="411"/>
      <c r="IX6" s="411"/>
      <c r="IY6" s="411"/>
      <c r="IZ6" s="411"/>
      <c r="JA6" s="411"/>
      <c r="JB6" s="411"/>
      <c r="JC6" s="411"/>
      <c r="JD6" s="411"/>
      <c r="JE6" s="411"/>
      <c r="JF6" s="411"/>
      <c r="JG6" s="411"/>
    </row>
    <row r="7" spans="1:269" ht="12.75" customHeight="1" x14ac:dyDescent="0.3">
      <c r="A7" s="754" t="s">
        <v>919</v>
      </c>
      <c r="B7" s="757" t="s">
        <v>355</v>
      </c>
      <c r="C7" s="757" t="s">
        <v>694</v>
      </c>
      <c r="D7" s="757" t="s">
        <v>162</v>
      </c>
      <c r="E7" s="757" t="s">
        <v>353</v>
      </c>
      <c r="F7" s="757" t="s">
        <v>168</v>
      </c>
      <c r="G7" s="757">
        <v>4.0259999999999998</v>
      </c>
      <c r="H7" s="757">
        <v>70</v>
      </c>
      <c r="I7" s="757">
        <v>281.8</v>
      </c>
      <c r="J7" s="757">
        <v>9</v>
      </c>
      <c r="K7" s="757">
        <v>11</v>
      </c>
      <c r="L7" s="757">
        <v>9</v>
      </c>
      <c r="M7" s="757">
        <v>207.25</v>
      </c>
      <c r="N7" s="757">
        <v>7.4999999999999997E-3</v>
      </c>
      <c r="O7" s="757">
        <v>10</v>
      </c>
      <c r="P7" s="757">
        <v>13.5</v>
      </c>
      <c r="Q7" s="757" t="s">
        <v>355</v>
      </c>
      <c r="R7" s="406"/>
      <c r="S7" s="763">
        <v>250.72</v>
      </c>
      <c r="T7" s="763">
        <v>699.88</v>
      </c>
      <c r="U7" s="763">
        <v>769.29</v>
      </c>
      <c r="V7" s="763">
        <v>611.17999999999995</v>
      </c>
      <c r="W7" s="763">
        <v>107.05</v>
      </c>
      <c r="X7" s="407"/>
      <c r="Y7" s="775">
        <v>75.319999999999993</v>
      </c>
      <c r="Z7" s="776">
        <v>0.97</v>
      </c>
      <c r="AA7" s="777">
        <v>0.89</v>
      </c>
      <c r="AB7" s="779">
        <v>0.73399999999999999</v>
      </c>
      <c r="AC7" s="779">
        <v>0.68500000000000005</v>
      </c>
      <c r="AD7" s="779">
        <v>1.0449999999999999</v>
      </c>
      <c r="AE7" s="776">
        <v>0.97</v>
      </c>
      <c r="AF7" s="780">
        <v>24.39</v>
      </c>
      <c r="AG7" s="781">
        <v>51.43</v>
      </c>
      <c r="AH7" s="781">
        <v>19.5</v>
      </c>
      <c r="AI7" s="781">
        <v>18.309999999999999</v>
      </c>
      <c r="AJ7" s="781">
        <v>41.68</v>
      </c>
      <c r="AK7" s="781">
        <v>27.13</v>
      </c>
      <c r="AL7" s="781">
        <v>15.32</v>
      </c>
      <c r="AM7" s="781">
        <v>40.26</v>
      </c>
      <c r="AN7" s="781">
        <v>51.49</v>
      </c>
      <c r="AO7" s="781">
        <v>21.31</v>
      </c>
      <c r="AP7" s="781">
        <v>12.99</v>
      </c>
      <c r="AQ7" s="782">
        <v>193.89099999999999</v>
      </c>
      <c r="AR7" s="411"/>
      <c r="AS7" s="411"/>
      <c r="AT7" s="411"/>
      <c r="AU7" s="411"/>
      <c r="AV7" s="411"/>
      <c r="AW7" s="412"/>
      <c r="AX7" s="775">
        <v>75.319999999999993</v>
      </c>
      <c r="AY7" s="776"/>
      <c r="AZ7" s="851">
        <v>0.89</v>
      </c>
      <c r="BA7" s="853">
        <v>0.73399999999999999</v>
      </c>
      <c r="BB7" s="853">
        <v>0.68500000000000005</v>
      </c>
      <c r="BC7" s="853">
        <v>1.0449999999999999</v>
      </c>
      <c r="BD7" s="776"/>
      <c r="BE7" s="808"/>
      <c r="BF7" s="776"/>
      <c r="BG7" s="851">
        <v>0.89</v>
      </c>
      <c r="BH7" s="853">
        <v>0.73399999999999999</v>
      </c>
      <c r="BI7" s="853">
        <v>0.68500000000000005</v>
      </c>
      <c r="BJ7" s="853">
        <v>1.0449999999999999</v>
      </c>
      <c r="BK7" s="776"/>
      <c r="BL7" s="834"/>
      <c r="BM7" s="776">
        <v>0.97</v>
      </c>
      <c r="BN7" s="777">
        <v>0.89</v>
      </c>
      <c r="BO7" s="779">
        <v>0.73399999999999999</v>
      </c>
      <c r="BP7" s="779">
        <v>0.68500000000000005</v>
      </c>
      <c r="BQ7" s="779">
        <v>1.0449999999999999</v>
      </c>
      <c r="BR7" s="776">
        <v>0.97</v>
      </c>
      <c r="BS7" s="842"/>
      <c r="BT7" s="776">
        <v>0.97</v>
      </c>
      <c r="BU7" s="777">
        <v>0.89</v>
      </c>
      <c r="BV7" s="779">
        <v>0.73399999999999999</v>
      </c>
      <c r="BW7" s="779">
        <v>0.68500000000000005</v>
      </c>
      <c r="BX7" s="779">
        <v>1.0449999999999999</v>
      </c>
      <c r="BY7" s="776">
        <v>0.97</v>
      </c>
      <c r="BZ7" s="774"/>
      <c r="CA7" s="776">
        <v>0.97</v>
      </c>
      <c r="CB7" s="777">
        <v>0.89</v>
      </c>
      <c r="CC7" s="779">
        <v>0.73399999999999999</v>
      </c>
      <c r="CD7" s="779">
        <v>0.68500000000000005</v>
      </c>
      <c r="CE7" s="779">
        <v>1.0449999999999999</v>
      </c>
      <c r="CF7" s="776">
        <v>0.97</v>
      </c>
      <c r="CG7" s="834"/>
      <c r="CH7" s="776">
        <v>0.97</v>
      </c>
      <c r="CI7" s="777">
        <v>0.89</v>
      </c>
      <c r="CJ7" s="779">
        <v>0.73399999999999999</v>
      </c>
      <c r="CK7" s="779">
        <v>0.68500000000000005</v>
      </c>
      <c r="CL7" s="779">
        <v>1.0449999999999999</v>
      </c>
      <c r="CM7" s="776">
        <v>0.97</v>
      </c>
      <c r="CN7" s="834"/>
      <c r="CO7" s="776">
        <v>0.97</v>
      </c>
      <c r="CP7" s="777">
        <v>0.89</v>
      </c>
      <c r="CQ7" s="779">
        <v>0.73399999999999999</v>
      </c>
      <c r="CR7" s="779">
        <v>0.68500000000000005</v>
      </c>
      <c r="CS7" s="779">
        <v>1.0449999999999999</v>
      </c>
      <c r="CT7" s="776">
        <v>0.97</v>
      </c>
      <c r="CV7" s="776">
        <v>0.97</v>
      </c>
      <c r="CW7" s="777">
        <v>0.89</v>
      </c>
      <c r="CX7" s="779">
        <v>0.73399999999999999</v>
      </c>
      <c r="CY7" s="779">
        <v>0.68500000000000005</v>
      </c>
      <c r="CZ7" s="779">
        <v>1.0449999999999999</v>
      </c>
      <c r="DA7" s="776">
        <v>0.97</v>
      </c>
      <c r="DB7" s="396"/>
      <c r="DC7" s="411"/>
      <c r="DD7" s="411"/>
      <c r="DE7" s="411"/>
      <c r="DF7" s="411"/>
      <c r="DG7" s="411"/>
      <c r="DH7" s="411"/>
      <c r="DI7" s="411"/>
      <c r="DJ7" s="411"/>
      <c r="DK7" s="411"/>
      <c r="DL7" s="411"/>
      <c r="DM7" s="411"/>
      <c r="DN7" s="394"/>
      <c r="DO7" s="411"/>
      <c r="DP7" s="411"/>
      <c r="DQ7" s="411"/>
      <c r="DR7" s="411"/>
      <c r="DS7" s="411"/>
      <c r="DT7" s="394"/>
      <c r="DU7" s="411"/>
      <c r="DV7" s="394"/>
      <c r="DW7" s="411"/>
      <c r="DX7" s="411"/>
      <c r="DY7" s="394"/>
      <c r="DZ7" s="411"/>
      <c r="EA7" s="394"/>
      <c r="EB7" s="411"/>
      <c r="EC7" s="411"/>
      <c r="ED7" s="411"/>
      <c r="EE7" s="411"/>
      <c r="EF7" s="411"/>
      <c r="EG7" s="411"/>
      <c r="EH7" s="411"/>
      <c r="EI7" s="411"/>
      <c r="EJ7" s="411"/>
      <c r="EK7" s="411"/>
      <c r="EL7" s="411"/>
      <c r="EM7" s="394"/>
      <c r="EN7" s="411"/>
      <c r="EO7" s="411"/>
      <c r="EP7" s="411"/>
      <c r="EQ7" s="411"/>
      <c r="ER7" s="411"/>
      <c r="ES7" s="394"/>
      <c r="ET7" s="411"/>
      <c r="EU7" s="394"/>
      <c r="EV7" s="411"/>
      <c r="EW7" s="411"/>
      <c r="EX7" s="394"/>
      <c r="EY7" s="411"/>
      <c r="EZ7" s="394"/>
      <c r="FA7" s="411"/>
      <c r="FB7" s="411"/>
      <c r="FC7" s="411"/>
      <c r="FD7" s="411"/>
      <c r="FE7" s="411"/>
      <c r="FF7" s="411"/>
      <c r="FG7" s="411"/>
      <c r="FH7" s="411"/>
      <c r="FI7" s="411"/>
      <c r="FJ7" s="411"/>
      <c r="FK7" s="411"/>
      <c r="FL7" s="394"/>
      <c r="FM7" s="411"/>
      <c r="FN7" s="411"/>
      <c r="FO7" s="411"/>
      <c r="FP7" s="411"/>
      <c r="FQ7" s="411"/>
      <c r="FR7" s="394"/>
      <c r="FS7" s="411"/>
      <c r="FT7" s="394"/>
      <c r="FU7" s="411"/>
      <c r="FV7" s="411"/>
      <c r="FW7" s="394"/>
      <c r="FX7" s="411"/>
      <c r="FY7" s="394"/>
      <c r="FZ7" s="411"/>
      <c r="GA7" s="411"/>
      <c r="GB7" s="411"/>
      <c r="GC7" s="411"/>
      <c r="GD7" s="411"/>
      <c r="GE7" s="411"/>
      <c r="GF7" s="411"/>
      <c r="GG7" s="411"/>
      <c r="GH7" s="411"/>
      <c r="GI7" s="411"/>
      <c r="GJ7" s="411"/>
      <c r="GK7" s="394"/>
      <c r="GL7" s="411"/>
      <c r="GM7" s="411"/>
      <c r="GN7" s="411"/>
      <c r="GO7" s="411"/>
      <c r="GP7" s="411"/>
      <c r="GQ7" s="394"/>
      <c r="GR7" s="411"/>
      <c r="GS7" s="394"/>
      <c r="GT7" s="411"/>
      <c r="GU7" s="411"/>
      <c r="GV7" s="394"/>
      <c r="GW7" s="411"/>
      <c r="GX7" s="394"/>
      <c r="GY7" s="411"/>
      <c r="GZ7" s="411"/>
      <c r="HA7" s="411"/>
      <c r="HB7" s="411"/>
      <c r="HC7" s="411"/>
      <c r="HD7" s="411"/>
      <c r="HE7" s="411"/>
      <c r="HF7" s="411"/>
      <c r="HG7" s="411"/>
      <c r="HH7" s="411"/>
      <c r="HI7" s="411"/>
      <c r="HJ7" s="394"/>
      <c r="HK7" s="411"/>
      <c r="HL7" s="411"/>
      <c r="HM7" s="411"/>
      <c r="HN7" s="411"/>
      <c r="HO7" s="411"/>
      <c r="HP7" s="394"/>
      <c r="HQ7" s="411"/>
      <c r="HR7" s="394"/>
      <c r="HS7" s="411"/>
      <c r="HT7" s="411"/>
      <c r="HU7" s="394"/>
      <c r="HV7" s="411"/>
      <c r="HW7" s="394"/>
      <c r="HX7" s="411"/>
      <c r="HY7" s="411"/>
      <c r="HZ7" s="411"/>
      <c r="IA7" s="411"/>
      <c r="IB7" s="411"/>
      <c r="IC7" s="411"/>
      <c r="ID7" s="411"/>
      <c r="IE7" s="411"/>
      <c r="IF7" s="411"/>
      <c r="IG7" s="411"/>
      <c r="IH7" s="411"/>
      <c r="II7" s="394"/>
      <c r="IJ7" s="411"/>
      <c r="IK7" s="411"/>
      <c r="IL7" s="411"/>
      <c r="IM7" s="411"/>
      <c r="IN7" s="411"/>
      <c r="IP7" s="411"/>
      <c r="IR7" s="411"/>
      <c r="IS7" s="411"/>
      <c r="IU7" s="411"/>
      <c r="IW7" s="411"/>
      <c r="IX7" s="411"/>
      <c r="IY7" s="411"/>
      <c r="IZ7" s="411"/>
      <c r="JA7" s="411"/>
      <c r="JB7" s="411"/>
      <c r="JC7" s="411"/>
      <c r="JD7" s="411"/>
      <c r="JE7" s="411"/>
      <c r="JF7" s="411"/>
      <c r="JG7" s="411"/>
    </row>
    <row r="8" spans="1:269" x14ac:dyDescent="0.3">
      <c r="A8" s="754" t="s">
        <v>920</v>
      </c>
      <c r="B8" s="757" t="s">
        <v>168</v>
      </c>
      <c r="C8" s="757" t="s">
        <v>693</v>
      </c>
      <c r="D8" s="757" t="s">
        <v>174</v>
      </c>
      <c r="E8" s="757" t="s">
        <v>168</v>
      </c>
      <c r="F8" s="757" t="s">
        <v>168</v>
      </c>
      <c r="G8" s="757">
        <v>5.516</v>
      </c>
      <c r="H8" s="810">
        <v>56</v>
      </c>
      <c r="I8" s="757">
        <v>308.89999999999998</v>
      </c>
      <c r="J8" s="757">
        <v>11</v>
      </c>
      <c r="K8" s="757">
        <v>18</v>
      </c>
      <c r="L8" s="757">
        <v>10</v>
      </c>
      <c r="M8" s="757">
        <v>193.78</v>
      </c>
      <c r="N8" s="757">
        <v>2.06E-2</v>
      </c>
      <c r="O8" s="757">
        <v>20</v>
      </c>
      <c r="P8" s="757">
        <v>17.5</v>
      </c>
      <c r="Q8" s="757" t="s">
        <v>353</v>
      </c>
      <c r="R8" s="406"/>
      <c r="S8" s="764">
        <v>526.87</v>
      </c>
      <c r="T8" s="760">
        <v>606.79899999999998</v>
      </c>
      <c r="U8" s="760">
        <v>606.15200000000004</v>
      </c>
      <c r="V8" s="760">
        <v>641.79899999999998</v>
      </c>
      <c r="W8" s="760">
        <v>787.11900000000003</v>
      </c>
      <c r="X8" s="407"/>
      <c r="Y8" s="775">
        <v>165.023</v>
      </c>
      <c r="Z8" s="776">
        <v>0.98</v>
      </c>
      <c r="AA8" s="777">
        <v>0.85699999999999998</v>
      </c>
      <c r="AB8" s="779">
        <v>0.73299999999999998</v>
      </c>
      <c r="AC8" s="779">
        <v>0.68899999999999995</v>
      </c>
      <c r="AD8" s="779">
        <v>0.97</v>
      </c>
      <c r="AE8" s="776">
        <v>0.98</v>
      </c>
      <c r="AF8" s="780">
        <v>18.84</v>
      </c>
      <c r="AG8" s="781">
        <v>39.9</v>
      </c>
      <c r="AH8" s="781">
        <v>31.36</v>
      </c>
      <c r="AI8" s="781">
        <v>31.36</v>
      </c>
      <c r="AJ8" s="781">
        <v>21.33</v>
      </c>
      <c r="AK8" s="781">
        <v>19.11</v>
      </c>
      <c r="AL8" s="781">
        <v>20.12</v>
      </c>
      <c r="AM8" s="781">
        <v>31.89</v>
      </c>
      <c r="AN8" s="781">
        <v>38.43</v>
      </c>
      <c r="AO8" s="781">
        <v>16.309999999999999</v>
      </c>
      <c r="AP8" s="781">
        <v>15.11</v>
      </c>
      <c r="AQ8" s="782">
        <v>181.58</v>
      </c>
      <c r="AR8" s="411"/>
      <c r="AS8" s="411"/>
      <c r="AT8" s="411"/>
      <c r="AU8" s="411"/>
      <c r="AV8" s="411"/>
      <c r="AX8" s="775">
        <v>165.023</v>
      </c>
      <c r="AY8" s="776"/>
      <c r="AZ8" s="851">
        <v>0.85699999999999998</v>
      </c>
      <c r="BA8" s="853">
        <v>0.73299999999999998</v>
      </c>
      <c r="BB8" s="853">
        <v>0.68899999999999995</v>
      </c>
      <c r="BC8" s="853">
        <v>0.97</v>
      </c>
      <c r="BD8" s="776"/>
      <c r="BE8" s="808"/>
      <c r="BF8" s="776"/>
      <c r="BG8" s="851">
        <v>0.85699999999999998</v>
      </c>
      <c r="BH8" s="853">
        <v>0.73299999999999998</v>
      </c>
      <c r="BI8" s="853">
        <v>0.68899999999999995</v>
      </c>
      <c r="BJ8" s="853">
        <v>0.97</v>
      </c>
      <c r="BK8" s="776"/>
      <c r="BL8" s="834"/>
      <c r="BM8" s="776">
        <v>0.98</v>
      </c>
      <c r="BN8" s="777">
        <v>0.85699999999999998</v>
      </c>
      <c r="BO8" s="779">
        <v>0.73299999999999998</v>
      </c>
      <c r="BP8" s="779">
        <v>0.68899999999999995</v>
      </c>
      <c r="BQ8" s="779">
        <v>0.97</v>
      </c>
      <c r="BR8" s="776">
        <v>0.98</v>
      </c>
      <c r="BS8" s="842"/>
      <c r="BT8" s="776">
        <v>0.98</v>
      </c>
      <c r="BU8" s="777">
        <v>0.85699999999999998</v>
      </c>
      <c r="BV8" s="779">
        <v>0.73299999999999998</v>
      </c>
      <c r="BW8" s="779">
        <v>0.68899999999999995</v>
      </c>
      <c r="BX8" s="779">
        <v>0.97</v>
      </c>
      <c r="BY8" s="776">
        <v>0.98</v>
      </c>
      <c r="BZ8" s="774"/>
      <c r="CA8" s="776">
        <v>0.98</v>
      </c>
      <c r="CB8" s="777">
        <v>0.85699999999999998</v>
      </c>
      <c r="CC8" s="779">
        <v>0.73299999999999998</v>
      </c>
      <c r="CD8" s="779">
        <v>0.68899999999999995</v>
      </c>
      <c r="CE8" s="779">
        <v>0.97</v>
      </c>
      <c r="CF8" s="776">
        <v>0.98</v>
      </c>
      <c r="CG8" s="834"/>
      <c r="CH8" s="776">
        <v>0.98</v>
      </c>
      <c r="CI8" s="777">
        <v>0.85699999999999998</v>
      </c>
      <c r="CJ8" s="779">
        <v>0.73299999999999998</v>
      </c>
      <c r="CK8" s="779">
        <v>0.68899999999999995</v>
      </c>
      <c r="CL8" s="779">
        <v>0.97</v>
      </c>
      <c r="CM8" s="776">
        <v>0.98</v>
      </c>
      <c r="CN8" s="834"/>
      <c r="CO8" s="776">
        <v>0.98</v>
      </c>
      <c r="CP8" s="777">
        <v>0.85699999999999998</v>
      </c>
      <c r="CQ8" s="779">
        <v>0.73299999999999998</v>
      </c>
      <c r="CR8" s="779">
        <v>0.68899999999999995</v>
      </c>
      <c r="CS8" s="779">
        <v>0.97</v>
      </c>
      <c r="CT8" s="776">
        <v>0.98</v>
      </c>
      <c r="CU8" s="418"/>
      <c r="CV8" s="776">
        <v>0.98</v>
      </c>
      <c r="CW8" s="777">
        <v>0.85699999999999998</v>
      </c>
      <c r="CX8" s="779">
        <v>0.73299999999999998</v>
      </c>
      <c r="CY8" s="779">
        <v>0.68899999999999995</v>
      </c>
      <c r="CZ8" s="779">
        <v>0.97</v>
      </c>
      <c r="DA8" s="776">
        <v>0.98</v>
      </c>
      <c r="DB8" s="418"/>
      <c r="DC8" s="417"/>
      <c r="DD8" s="417"/>
      <c r="DE8" s="417"/>
      <c r="DF8" s="417"/>
      <c r="DG8" s="417"/>
      <c r="DH8" s="417"/>
      <c r="DI8" s="417"/>
      <c r="DJ8" s="417"/>
      <c r="DK8" s="417"/>
      <c r="DL8" s="417"/>
      <c r="DM8" s="417"/>
      <c r="DN8" s="394"/>
      <c r="DO8" s="411"/>
      <c r="DP8" s="411"/>
      <c r="DQ8" s="411"/>
      <c r="DR8" s="411"/>
      <c r="DS8" s="411"/>
      <c r="DU8" s="411"/>
      <c r="DW8" s="411"/>
      <c r="DX8" s="411"/>
      <c r="DZ8" s="411"/>
      <c r="EB8" s="411"/>
      <c r="EC8" s="411"/>
      <c r="ED8" s="411"/>
      <c r="EE8" s="411"/>
      <c r="EF8" s="411"/>
      <c r="EG8" s="411"/>
      <c r="EH8" s="411"/>
      <c r="EI8" s="411"/>
      <c r="EJ8" s="411"/>
      <c r="EK8" s="411"/>
      <c r="EL8" s="411"/>
      <c r="EM8" s="394"/>
      <c r="EN8" s="411"/>
      <c r="EO8" s="411"/>
      <c r="EP8" s="411"/>
      <c r="EQ8" s="411"/>
      <c r="ER8" s="411"/>
      <c r="ES8" s="394"/>
      <c r="ET8" s="411"/>
      <c r="EU8" s="394"/>
      <c r="EV8" s="417"/>
      <c r="EW8" s="417"/>
      <c r="EX8" s="418"/>
      <c r="EY8" s="417"/>
      <c r="EZ8" s="418"/>
      <c r="FA8" s="417"/>
      <c r="FB8" s="417"/>
      <c r="FC8" s="417"/>
      <c r="FD8" s="417"/>
      <c r="FE8" s="417"/>
      <c r="FF8" s="417"/>
      <c r="FG8" s="417"/>
      <c r="FH8" s="417"/>
      <c r="FI8" s="417"/>
      <c r="FJ8" s="417"/>
      <c r="FK8" s="417"/>
      <c r="FL8" s="394"/>
      <c r="FM8" s="411"/>
      <c r="FN8" s="411"/>
      <c r="FO8" s="411"/>
      <c r="FP8" s="411"/>
      <c r="FQ8" s="411"/>
      <c r="FS8" s="411"/>
      <c r="FU8" s="411"/>
      <c r="FV8" s="411"/>
      <c r="FX8" s="411"/>
      <c r="FZ8" s="411"/>
      <c r="GA8" s="411"/>
      <c r="GB8" s="411"/>
      <c r="GC8" s="411"/>
      <c r="GD8" s="411"/>
      <c r="GE8" s="411"/>
      <c r="GF8" s="411"/>
      <c r="GG8" s="411"/>
      <c r="GH8" s="411"/>
      <c r="GI8" s="411"/>
      <c r="GJ8" s="411"/>
      <c r="GL8" s="411"/>
      <c r="GM8" s="411"/>
      <c r="GN8" s="411"/>
      <c r="GO8" s="411"/>
      <c r="GP8" s="411"/>
      <c r="GR8" s="411"/>
      <c r="GT8" s="411"/>
      <c r="GU8" s="411"/>
      <c r="GW8" s="411"/>
      <c r="GY8" s="411"/>
      <c r="GZ8" s="411"/>
      <c r="HA8" s="411"/>
      <c r="HB8" s="411"/>
      <c r="HC8" s="411"/>
      <c r="HD8" s="411"/>
      <c r="HE8" s="411"/>
      <c r="HF8" s="411"/>
      <c r="HG8" s="411"/>
      <c r="HH8" s="411"/>
      <c r="HI8" s="411"/>
      <c r="HK8" s="411"/>
      <c r="HL8" s="411"/>
      <c r="HM8" s="411"/>
      <c r="HN8" s="411"/>
      <c r="HO8" s="411"/>
      <c r="HQ8" s="411"/>
      <c r="HS8" s="411"/>
      <c r="HT8" s="411"/>
      <c r="HV8" s="411"/>
      <c r="HX8" s="411"/>
      <c r="HY8" s="411"/>
      <c r="HZ8" s="411"/>
      <c r="IA8" s="411"/>
      <c r="IB8" s="411"/>
      <c r="IC8" s="411"/>
      <c r="ID8" s="411"/>
      <c r="IE8" s="411"/>
      <c r="IF8" s="411"/>
      <c r="IG8" s="411"/>
      <c r="IH8" s="411"/>
      <c r="II8" s="394"/>
      <c r="IJ8" s="417"/>
      <c r="IK8" s="417"/>
      <c r="IL8" s="417"/>
      <c r="IM8" s="417"/>
      <c r="IN8" s="417"/>
      <c r="IO8" s="418"/>
      <c r="IP8" s="417"/>
      <c r="IQ8" s="418"/>
      <c r="IR8" s="417"/>
      <c r="IS8" s="417"/>
      <c r="IT8" s="418"/>
      <c r="IU8" s="417"/>
      <c r="IV8" s="418"/>
      <c r="IW8" s="417"/>
      <c r="IX8" s="417"/>
      <c r="IY8" s="417"/>
      <c r="IZ8" s="417"/>
      <c r="JA8" s="417"/>
      <c r="JB8" s="417"/>
      <c r="JC8" s="417"/>
      <c r="JD8" s="417"/>
      <c r="JE8" s="417"/>
      <c r="JF8" s="417"/>
      <c r="JG8" s="417"/>
    </row>
    <row r="9" spans="1:269" ht="12.75" customHeight="1" x14ac:dyDescent="0.3">
      <c r="A9" s="753" t="s">
        <v>921</v>
      </c>
      <c r="B9" s="757" t="s">
        <v>355</v>
      </c>
      <c r="C9" s="757" t="s">
        <v>693</v>
      </c>
      <c r="D9" s="757" t="s">
        <v>174</v>
      </c>
      <c r="E9" s="757" t="s">
        <v>351</v>
      </c>
      <c r="F9" s="757" t="s">
        <v>355</v>
      </c>
      <c r="G9" s="757">
        <v>4.88</v>
      </c>
      <c r="H9" s="757">
        <v>64</v>
      </c>
      <c r="I9" s="757">
        <v>312.3</v>
      </c>
      <c r="J9" s="757">
        <v>22</v>
      </c>
      <c r="K9" s="757">
        <v>3</v>
      </c>
      <c r="L9" s="757">
        <v>9</v>
      </c>
      <c r="M9" s="757">
        <v>298.70999999999998</v>
      </c>
      <c r="N9" s="757">
        <v>2.6571400000000001E-3</v>
      </c>
      <c r="O9" s="757">
        <v>4</v>
      </c>
      <c r="P9" s="757">
        <v>23</v>
      </c>
      <c r="Q9" s="757" t="s">
        <v>30</v>
      </c>
      <c r="R9" s="406"/>
      <c r="S9" s="765">
        <v>295.19400000000002</v>
      </c>
      <c r="T9" s="765">
        <v>637.83799999999997</v>
      </c>
      <c r="U9" s="765">
        <v>411.17</v>
      </c>
      <c r="V9" s="765">
        <v>386.262</v>
      </c>
      <c r="W9" s="765">
        <v>821.89400000000001</v>
      </c>
      <c r="X9" s="407"/>
      <c r="Y9" s="775">
        <v>104.184</v>
      </c>
      <c r="Z9" s="776">
        <v>0.97</v>
      </c>
      <c r="AA9" s="777">
        <v>0.9</v>
      </c>
      <c r="AB9" s="779">
        <v>0.78200000000000003</v>
      </c>
      <c r="AC9" s="779">
        <v>0.80700000000000005</v>
      </c>
      <c r="AD9" s="779">
        <v>1.1619999999999999</v>
      </c>
      <c r="AE9" s="776">
        <v>0.97</v>
      </c>
      <c r="AF9" s="780">
        <v>28.477</v>
      </c>
      <c r="AG9" s="781">
        <v>86.2</v>
      </c>
      <c r="AH9" s="781">
        <v>15.91</v>
      </c>
      <c r="AI9" s="781">
        <v>17.972999999999999</v>
      </c>
      <c r="AJ9" s="781">
        <v>35.719000000000001</v>
      </c>
      <c r="AK9" s="781">
        <v>16.925999999999998</v>
      </c>
      <c r="AL9" s="781">
        <v>18.544</v>
      </c>
      <c r="AM9" s="781">
        <v>25.937000000000001</v>
      </c>
      <c r="AN9" s="781">
        <v>23.042999999999999</v>
      </c>
      <c r="AO9" s="781">
        <v>59.493000000000002</v>
      </c>
      <c r="AP9" s="781">
        <v>21.138000000000002</v>
      </c>
      <c r="AQ9" s="782">
        <v>139.833</v>
      </c>
      <c r="AR9" s="411"/>
      <c r="AS9" s="411"/>
      <c r="AT9" s="411"/>
      <c r="AU9" s="411"/>
      <c r="AV9" s="411"/>
      <c r="AW9" s="412"/>
      <c r="AX9" s="775">
        <v>104.184</v>
      </c>
      <c r="AY9" s="776"/>
      <c r="AZ9" s="851">
        <v>0.9</v>
      </c>
      <c r="BA9" s="853">
        <v>0.78200000000000003</v>
      </c>
      <c r="BB9" s="853">
        <v>0.80700000000000005</v>
      </c>
      <c r="BC9" s="853">
        <v>1.1619999999999999</v>
      </c>
      <c r="BD9" s="776"/>
      <c r="BE9" s="808"/>
      <c r="BF9" s="776"/>
      <c r="BG9" s="851">
        <v>0.9</v>
      </c>
      <c r="BH9" s="853">
        <v>0.78200000000000003</v>
      </c>
      <c r="BI9" s="853">
        <v>0.80700000000000005</v>
      </c>
      <c r="BJ9" s="853">
        <v>1.1619999999999999</v>
      </c>
      <c r="BK9" s="776"/>
      <c r="BL9" s="834"/>
      <c r="BM9" s="776">
        <v>0.97</v>
      </c>
      <c r="BN9" s="777">
        <v>0.9</v>
      </c>
      <c r="BO9" s="779">
        <v>0.78200000000000003</v>
      </c>
      <c r="BP9" s="779">
        <v>0.80700000000000005</v>
      </c>
      <c r="BQ9" s="779">
        <v>1.1619999999999999</v>
      </c>
      <c r="BR9" s="776">
        <v>0.97</v>
      </c>
      <c r="BS9" s="842"/>
      <c r="BT9" s="776">
        <v>0.97</v>
      </c>
      <c r="BU9" s="777">
        <v>0.9</v>
      </c>
      <c r="BV9" s="779">
        <v>0.78200000000000003</v>
      </c>
      <c r="BW9" s="779">
        <v>0.80700000000000005</v>
      </c>
      <c r="BX9" s="779">
        <v>1.1619999999999999</v>
      </c>
      <c r="BY9" s="776">
        <v>0.97</v>
      </c>
      <c r="BZ9" s="774"/>
      <c r="CA9" s="776">
        <v>0.97</v>
      </c>
      <c r="CB9" s="777">
        <v>0.9</v>
      </c>
      <c r="CC9" s="779">
        <v>0.78200000000000003</v>
      </c>
      <c r="CD9" s="779">
        <v>0.80700000000000005</v>
      </c>
      <c r="CE9" s="779">
        <v>1.1619999999999999</v>
      </c>
      <c r="CF9" s="776">
        <v>0.97</v>
      </c>
      <c r="CG9" s="834"/>
      <c r="CH9" s="776">
        <v>0.97</v>
      </c>
      <c r="CI9" s="777">
        <v>0.9</v>
      </c>
      <c r="CJ9" s="779">
        <v>0.78200000000000003</v>
      </c>
      <c r="CK9" s="779">
        <v>0.80700000000000005</v>
      </c>
      <c r="CL9" s="779">
        <v>1.1619999999999999</v>
      </c>
      <c r="CM9" s="776">
        <v>0.97</v>
      </c>
      <c r="CN9" s="834"/>
      <c r="CO9" s="776">
        <v>0.97</v>
      </c>
      <c r="CP9" s="777">
        <v>0.9</v>
      </c>
      <c r="CQ9" s="779">
        <v>0.78200000000000003</v>
      </c>
      <c r="CR9" s="779">
        <v>0.80700000000000005</v>
      </c>
      <c r="CS9" s="779">
        <v>1.1619999999999999</v>
      </c>
      <c r="CT9" s="776">
        <v>0.97</v>
      </c>
      <c r="CU9" s="394"/>
      <c r="CV9" s="776">
        <v>0.97</v>
      </c>
      <c r="CW9" s="777">
        <v>0.9</v>
      </c>
      <c r="CX9" s="779">
        <v>0.78200000000000003</v>
      </c>
      <c r="CY9" s="779">
        <v>0.80700000000000005</v>
      </c>
      <c r="CZ9" s="779">
        <v>1.1619999999999999</v>
      </c>
      <c r="DA9" s="776">
        <v>0.97</v>
      </c>
      <c r="DB9" s="414"/>
      <c r="DC9" s="413"/>
      <c r="DD9" s="413"/>
      <c r="DE9" s="413"/>
      <c r="DF9" s="413"/>
      <c r="DG9" s="413"/>
      <c r="DH9" s="413"/>
      <c r="DI9" s="413"/>
      <c r="DJ9" s="413"/>
      <c r="DK9" s="413"/>
      <c r="DL9" s="413"/>
      <c r="DM9" s="413"/>
      <c r="DN9" s="394"/>
      <c r="DO9" s="411"/>
      <c r="DP9" s="411"/>
      <c r="DQ9" s="411"/>
      <c r="DR9" s="411"/>
      <c r="DS9" s="411"/>
      <c r="DT9" s="394"/>
      <c r="DU9" s="411"/>
      <c r="DV9" s="394"/>
      <c r="DW9" s="411"/>
      <c r="DX9" s="411"/>
      <c r="DY9" s="394"/>
      <c r="DZ9" s="411"/>
      <c r="EA9" s="394"/>
      <c r="EB9" s="411"/>
      <c r="EC9" s="411"/>
      <c r="ED9" s="411"/>
      <c r="EE9" s="411"/>
      <c r="EF9" s="411"/>
      <c r="EG9" s="411"/>
      <c r="EH9" s="411"/>
      <c r="EI9" s="411"/>
      <c r="EJ9" s="411"/>
      <c r="EK9" s="411"/>
      <c r="EL9" s="411"/>
      <c r="EM9" s="394"/>
      <c r="EN9" s="411"/>
      <c r="EO9" s="411"/>
      <c r="EP9" s="411"/>
      <c r="EQ9" s="411"/>
      <c r="ER9" s="411"/>
      <c r="ES9" s="394"/>
      <c r="ET9" s="411"/>
      <c r="EU9" s="394"/>
      <c r="EV9" s="411"/>
      <c r="EW9" s="411"/>
      <c r="EX9" s="394"/>
      <c r="EY9" s="411"/>
      <c r="EZ9" s="394"/>
      <c r="FA9" s="411"/>
      <c r="FB9" s="411"/>
      <c r="FC9" s="411"/>
      <c r="FD9" s="411"/>
      <c r="FE9" s="411"/>
      <c r="FF9" s="411"/>
      <c r="FG9" s="411"/>
      <c r="FH9" s="411"/>
      <c r="FI9" s="411"/>
      <c r="FJ9" s="411"/>
      <c r="FK9" s="411"/>
      <c r="FL9" s="394"/>
      <c r="FM9" s="411"/>
      <c r="FN9" s="411"/>
      <c r="FO9" s="411"/>
      <c r="FP9" s="411"/>
      <c r="FQ9" s="411"/>
      <c r="FR9" s="394"/>
      <c r="FS9" s="411"/>
      <c r="FT9" s="394"/>
      <c r="FU9" s="411"/>
      <c r="FV9" s="411"/>
      <c r="FW9" s="394"/>
      <c r="FX9" s="411"/>
      <c r="FY9" s="394"/>
      <c r="FZ9" s="411"/>
      <c r="GA9" s="411"/>
      <c r="GB9" s="411"/>
      <c r="GC9" s="411"/>
      <c r="GD9" s="411"/>
      <c r="GE9" s="411"/>
      <c r="GF9" s="411"/>
      <c r="GG9" s="411"/>
      <c r="GH9" s="411"/>
      <c r="GI9" s="411"/>
      <c r="GJ9" s="411"/>
      <c r="GK9" s="394"/>
      <c r="GL9" s="411"/>
      <c r="GM9" s="411"/>
      <c r="GN9" s="411"/>
      <c r="GO9" s="411"/>
      <c r="GP9" s="411"/>
      <c r="GQ9" s="394"/>
      <c r="GR9" s="411"/>
      <c r="GS9" s="394"/>
      <c r="GT9" s="411"/>
      <c r="GU9" s="411"/>
      <c r="GV9" s="394"/>
      <c r="GW9" s="411"/>
      <c r="GX9" s="394"/>
      <c r="GY9" s="411"/>
      <c r="GZ9" s="411"/>
      <c r="HA9" s="411"/>
      <c r="HB9" s="411"/>
      <c r="HC9" s="411"/>
      <c r="HD9" s="411"/>
      <c r="HE9" s="411"/>
      <c r="HF9" s="411"/>
      <c r="HG9" s="411"/>
      <c r="HH9" s="411"/>
      <c r="HI9" s="411"/>
      <c r="HJ9" s="394"/>
      <c r="HK9" s="411"/>
      <c r="HL9" s="411"/>
      <c r="HM9" s="411"/>
      <c r="HN9" s="411"/>
      <c r="HO9" s="411"/>
      <c r="HP9" s="394"/>
      <c r="HQ9" s="411"/>
      <c r="HR9" s="394"/>
      <c r="HS9" s="411"/>
      <c r="HT9" s="411"/>
      <c r="HU9" s="394"/>
      <c r="HV9" s="411"/>
      <c r="HW9" s="394"/>
      <c r="HX9" s="411"/>
      <c r="HY9" s="411"/>
      <c r="HZ9" s="411"/>
      <c r="IA9" s="411"/>
      <c r="IB9" s="411"/>
      <c r="IC9" s="411"/>
      <c r="ID9" s="411"/>
      <c r="IE9" s="411"/>
      <c r="IF9" s="411"/>
      <c r="IG9" s="411"/>
      <c r="IH9" s="411"/>
      <c r="II9" s="394"/>
      <c r="IJ9" s="411"/>
      <c r="IK9" s="411"/>
      <c r="IL9" s="411"/>
      <c r="IM9" s="411"/>
      <c r="IN9" s="411"/>
      <c r="IP9" s="411"/>
      <c r="IR9" s="411"/>
      <c r="IS9" s="411"/>
      <c r="IU9" s="411"/>
      <c r="IW9" s="411"/>
      <c r="IX9" s="411"/>
      <c r="IY9" s="411"/>
      <c r="IZ9" s="411"/>
      <c r="JA9" s="411"/>
      <c r="JB9" s="411"/>
      <c r="JC9" s="411"/>
      <c r="JD9" s="411"/>
      <c r="JE9" s="411"/>
      <c r="JF9" s="411"/>
      <c r="JG9" s="411"/>
    </row>
    <row r="10" spans="1:269" ht="12.75" customHeight="1" x14ac:dyDescent="0.3">
      <c r="A10" s="754" t="s">
        <v>922</v>
      </c>
      <c r="B10" s="757" t="s">
        <v>168</v>
      </c>
      <c r="C10" s="757" t="s">
        <v>693</v>
      </c>
      <c r="D10" s="757" t="s">
        <v>174</v>
      </c>
      <c r="E10" s="757" t="s">
        <v>353</v>
      </c>
      <c r="F10" s="757" t="s">
        <v>351</v>
      </c>
      <c r="G10" s="757">
        <v>6.0060000000000002</v>
      </c>
      <c r="H10" s="757">
        <v>51</v>
      </c>
      <c r="I10" s="757">
        <v>306.3</v>
      </c>
      <c r="J10" s="757">
        <v>18</v>
      </c>
      <c r="K10" s="757">
        <v>8</v>
      </c>
      <c r="L10" s="757">
        <v>16</v>
      </c>
      <c r="M10" s="757">
        <v>211.53</v>
      </c>
      <c r="N10" s="757">
        <v>2.7400000000000001E-2</v>
      </c>
      <c r="O10" s="757">
        <v>20</v>
      </c>
      <c r="P10" s="757">
        <v>17</v>
      </c>
      <c r="Q10" s="757" t="s">
        <v>353</v>
      </c>
      <c r="R10" s="406"/>
      <c r="S10" s="764">
        <v>351.25400000000002</v>
      </c>
      <c r="T10" s="760">
        <v>614.25099999999998</v>
      </c>
      <c r="U10" s="760">
        <v>609.49599999999998</v>
      </c>
      <c r="V10" s="760">
        <v>704.27800000000002</v>
      </c>
      <c r="W10" s="760">
        <v>801.79100000000005</v>
      </c>
      <c r="X10" s="415"/>
      <c r="Y10" s="775">
        <v>98.564999999999998</v>
      </c>
      <c r="Z10" s="776">
        <v>0.99</v>
      </c>
      <c r="AA10" s="777">
        <v>0.89400000000000002</v>
      </c>
      <c r="AB10" s="779">
        <v>0.77800000000000002</v>
      </c>
      <c r="AC10" s="779">
        <v>0.74199999999999999</v>
      </c>
      <c r="AD10" s="779">
        <v>0.98</v>
      </c>
      <c r="AE10" s="776">
        <v>0.99</v>
      </c>
      <c r="AF10" s="780">
        <v>22.8</v>
      </c>
      <c r="AG10" s="781">
        <v>56.2</v>
      </c>
      <c r="AH10" s="781">
        <v>20.7</v>
      </c>
      <c r="AI10" s="781">
        <v>22.42</v>
      </c>
      <c r="AJ10" s="781">
        <v>18.97</v>
      </c>
      <c r="AK10" s="781">
        <v>24.88</v>
      </c>
      <c r="AL10" s="781">
        <v>17.23</v>
      </c>
      <c r="AM10" s="781">
        <v>28.43</v>
      </c>
      <c r="AN10" s="781">
        <v>47</v>
      </c>
      <c r="AO10" s="781">
        <v>20</v>
      </c>
      <c r="AP10" s="781">
        <v>15</v>
      </c>
      <c r="AQ10" s="782">
        <v>147.75700000000001</v>
      </c>
      <c r="AR10" s="411"/>
      <c r="AS10" s="411"/>
      <c r="AT10" s="411"/>
      <c r="AU10" s="411"/>
      <c r="AV10" s="411"/>
      <c r="AW10" s="394"/>
      <c r="AX10" s="775">
        <v>98.564999999999998</v>
      </c>
      <c r="AY10" s="776"/>
      <c r="AZ10" s="851">
        <v>0.89400000000000002</v>
      </c>
      <c r="BA10" s="853">
        <v>0.77800000000000002</v>
      </c>
      <c r="BB10" s="853">
        <v>0.74199999999999999</v>
      </c>
      <c r="BC10" s="853">
        <v>0.98</v>
      </c>
      <c r="BD10" s="776"/>
      <c r="BE10" s="808"/>
      <c r="BF10" s="776"/>
      <c r="BG10" s="851">
        <v>0.89400000000000002</v>
      </c>
      <c r="BH10" s="853">
        <v>0.77800000000000002</v>
      </c>
      <c r="BI10" s="853">
        <v>0.74199999999999999</v>
      </c>
      <c r="BJ10" s="853">
        <v>0.98</v>
      </c>
      <c r="BK10" s="776"/>
      <c r="BL10" s="834"/>
      <c r="BM10" s="776">
        <v>0.99</v>
      </c>
      <c r="BN10" s="777">
        <v>0.89400000000000002</v>
      </c>
      <c r="BO10" s="779">
        <v>0.77800000000000002</v>
      </c>
      <c r="BP10" s="779">
        <v>0.74199999999999999</v>
      </c>
      <c r="BQ10" s="779">
        <v>0.98</v>
      </c>
      <c r="BR10" s="776">
        <v>0.99</v>
      </c>
      <c r="BS10" s="842"/>
      <c r="BT10" s="776">
        <v>0.99</v>
      </c>
      <c r="BU10" s="777">
        <v>0.89400000000000002</v>
      </c>
      <c r="BV10" s="779">
        <v>0.77800000000000002</v>
      </c>
      <c r="BW10" s="779">
        <v>0.74199999999999999</v>
      </c>
      <c r="BX10" s="779">
        <v>0.98</v>
      </c>
      <c r="BY10" s="776">
        <v>0.99</v>
      </c>
      <c r="BZ10" s="774"/>
      <c r="CA10" s="776">
        <v>0.99</v>
      </c>
      <c r="CB10" s="777">
        <v>0.89400000000000002</v>
      </c>
      <c r="CC10" s="779">
        <v>0.77800000000000002</v>
      </c>
      <c r="CD10" s="779">
        <v>0.74199999999999999</v>
      </c>
      <c r="CE10" s="779">
        <v>0.98</v>
      </c>
      <c r="CF10" s="776">
        <v>0.99</v>
      </c>
      <c r="CG10" s="834"/>
      <c r="CH10" s="776">
        <v>0.99</v>
      </c>
      <c r="CI10" s="777">
        <v>0.89400000000000002</v>
      </c>
      <c r="CJ10" s="779">
        <v>0.77800000000000002</v>
      </c>
      <c r="CK10" s="779">
        <v>0.74199999999999999</v>
      </c>
      <c r="CL10" s="779">
        <v>0.98</v>
      </c>
      <c r="CM10" s="776">
        <v>0.99</v>
      </c>
      <c r="CN10" s="834"/>
      <c r="CO10" s="776">
        <v>0.99</v>
      </c>
      <c r="CP10" s="777">
        <v>0.89400000000000002</v>
      </c>
      <c r="CQ10" s="779">
        <v>0.77800000000000002</v>
      </c>
      <c r="CR10" s="779">
        <v>0.74199999999999999</v>
      </c>
      <c r="CS10" s="779">
        <v>0.98</v>
      </c>
      <c r="CT10" s="776">
        <v>0.99</v>
      </c>
      <c r="CU10" s="414"/>
      <c r="CV10" s="776">
        <v>0.99</v>
      </c>
      <c r="CW10" s="777">
        <v>0.89400000000000002</v>
      </c>
      <c r="CX10" s="779">
        <v>0.77800000000000002</v>
      </c>
      <c r="CY10" s="779">
        <v>0.74199999999999999</v>
      </c>
      <c r="CZ10" s="779">
        <v>0.98</v>
      </c>
      <c r="DA10" s="776">
        <v>0.99</v>
      </c>
      <c r="DB10" s="414"/>
      <c r="DC10" s="413"/>
      <c r="DD10" s="413"/>
      <c r="DE10" s="413"/>
      <c r="DF10" s="413"/>
      <c r="DG10" s="413"/>
      <c r="DH10" s="413"/>
      <c r="DI10" s="413"/>
      <c r="DJ10" s="413"/>
      <c r="DK10" s="413"/>
      <c r="DL10" s="413"/>
      <c r="DM10" s="413"/>
      <c r="DN10" s="394"/>
      <c r="DO10" s="411"/>
      <c r="DP10" s="411"/>
      <c r="DQ10" s="411"/>
      <c r="DR10" s="411"/>
      <c r="DS10" s="411"/>
      <c r="DU10" s="411"/>
      <c r="DW10" s="411"/>
      <c r="DX10" s="411"/>
      <c r="DZ10" s="411"/>
      <c r="EB10" s="411"/>
      <c r="EC10" s="411"/>
      <c r="ED10" s="411"/>
      <c r="EE10" s="411"/>
      <c r="EF10" s="411"/>
      <c r="EG10" s="411"/>
      <c r="EH10" s="411"/>
      <c r="EI10" s="411"/>
      <c r="EJ10" s="411"/>
      <c r="EK10" s="411"/>
      <c r="EL10" s="411"/>
      <c r="EM10" s="394"/>
      <c r="EN10" s="411"/>
      <c r="EO10" s="411"/>
      <c r="EP10" s="411"/>
      <c r="EQ10" s="411"/>
      <c r="ER10" s="411"/>
      <c r="ES10" s="394"/>
      <c r="ET10" s="411"/>
      <c r="EU10" s="394"/>
      <c r="EV10" s="411"/>
      <c r="EW10" s="411"/>
      <c r="EX10" s="394"/>
      <c r="EY10" s="411"/>
      <c r="EZ10" s="394"/>
      <c r="FA10" s="411"/>
      <c r="FB10" s="411"/>
      <c r="FC10" s="411"/>
      <c r="FD10" s="411"/>
      <c r="FE10" s="411"/>
      <c r="FF10" s="411"/>
      <c r="FG10" s="411"/>
      <c r="FH10" s="411"/>
      <c r="FI10" s="411"/>
      <c r="FJ10" s="411"/>
      <c r="FK10" s="411"/>
      <c r="FL10" s="394"/>
      <c r="FM10" s="411"/>
      <c r="FN10" s="411"/>
      <c r="FO10" s="411"/>
      <c r="FP10" s="411"/>
      <c r="FQ10" s="411"/>
      <c r="FS10" s="411"/>
      <c r="FU10" s="411"/>
      <c r="FV10" s="411"/>
      <c r="FX10" s="411"/>
      <c r="FZ10" s="411"/>
      <c r="GA10" s="411"/>
      <c r="GB10" s="411"/>
      <c r="GC10" s="411"/>
      <c r="GD10" s="411"/>
      <c r="GE10" s="411"/>
      <c r="GF10" s="411"/>
      <c r="GG10" s="411"/>
      <c r="GH10" s="411"/>
      <c r="GI10" s="411"/>
      <c r="GJ10" s="411"/>
      <c r="GL10" s="411"/>
      <c r="GM10" s="411"/>
      <c r="GN10" s="411"/>
      <c r="GO10" s="411"/>
      <c r="GP10" s="411"/>
      <c r="GR10" s="411"/>
      <c r="GT10" s="411"/>
      <c r="GU10" s="411"/>
      <c r="GW10" s="411"/>
      <c r="GY10" s="411"/>
      <c r="GZ10" s="411"/>
      <c r="HA10" s="411"/>
      <c r="HB10" s="411"/>
      <c r="HC10" s="411"/>
      <c r="HD10" s="411"/>
      <c r="HE10" s="411"/>
      <c r="HF10" s="411"/>
      <c r="HG10" s="411"/>
      <c r="HH10" s="411"/>
      <c r="HI10" s="411"/>
      <c r="HK10" s="411"/>
      <c r="HL10" s="411"/>
      <c r="HM10" s="411"/>
      <c r="HN10" s="411"/>
      <c r="HO10" s="411"/>
      <c r="HQ10" s="411"/>
      <c r="HS10" s="411"/>
      <c r="HT10" s="411"/>
      <c r="HV10" s="411"/>
      <c r="HX10" s="411"/>
      <c r="HY10" s="411"/>
      <c r="HZ10" s="411"/>
      <c r="IA10" s="411"/>
      <c r="IB10" s="411"/>
      <c r="IC10" s="411"/>
      <c r="ID10" s="411"/>
      <c r="IE10" s="411"/>
      <c r="IF10" s="411"/>
      <c r="IG10" s="411"/>
      <c r="IH10" s="411"/>
      <c r="II10" s="394"/>
      <c r="IJ10" s="413"/>
      <c r="IK10" s="413"/>
      <c r="IL10" s="413"/>
      <c r="IM10" s="413"/>
      <c r="IN10" s="413"/>
      <c r="IO10" s="414"/>
      <c r="IP10" s="413"/>
      <c r="IQ10" s="414"/>
      <c r="IR10" s="413"/>
      <c r="IS10" s="413"/>
      <c r="IT10" s="414"/>
      <c r="IU10" s="413"/>
      <c r="IV10" s="414"/>
      <c r="IW10" s="413"/>
      <c r="IX10" s="413"/>
      <c r="IY10" s="413"/>
      <c r="IZ10" s="413"/>
      <c r="JA10" s="413"/>
      <c r="JB10" s="413"/>
      <c r="JC10" s="413"/>
      <c r="JD10" s="413"/>
      <c r="JE10" s="413"/>
      <c r="JF10" s="413"/>
      <c r="JG10" s="413"/>
    </row>
    <row r="11" spans="1:269" ht="12.75" customHeight="1" x14ac:dyDescent="0.3">
      <c r="A11" s="754" t="s">
        <v>923</v>
      </c>
      <c r="B11" s="757" t="s">
        <v>168</v>
      </c>
      <c r="C11" s="757" t="s">
        <v>174</v>
      </c>
      <c r="D11" s="757" t="s">
        <v>162</v>
      </c>
      <c r="E11" s="757" t="s">
        <v>353</v>
      </c>
      <c r="F11" s="757" t="s">
        <v>168</v>
      </c>
      <c r="G11" s="757">
        <v>4.7279999999999998</v>
      </c>
      <c r="H11" s="757">
        <v>65</v>
      </c>
      <c r="I11" s="757">
        <v>307.3</v>
      </c>
      <c r="J11" s="757">
        <v>11</v>
      </c>
      <c r="K11" s="757">
        <v>13</v>
      </c>
      <c r="L11" s="757">
        <v>8</v>
      </c>
      <c r="M11" s="757">
        <v>221.28</v>
      </c>
      <c r="N11" s="757">
        <v>1.285E-2</v>
      </c>
      <c r="O11" s="757">
        <v>16</v>
      </c>
      <c r="P11" s="757">
        <v>21</v>
      </c>
      <c r="Q11" s="757" t="s">
        <v>355</v>
      </c>
      <c r="S11" s="760">
        <v>455.20800000000003</v>
      </c>
      <c r="T11" s="760">
        <v>674.08799999999997</v>
      </c>
      <c r="U11" s="760">
        <v>500.59800000000001</v>
      </c>
      <c r="V11" s="760">
        <v>673.57399999999996</v>
      </c>
      <c r="W11" s="760">
        <v>315.84399999999999</v>
      </c>
      <c r="X11" s="409"/>
      <c r="Y11" s="775">
        <v>142.173</v>
      </c>
      <c r="Z11" s="776">
        <v>0.99</v>
      </c>
      <c r="AA11" s="777">
        <v>0.86799999999999999</v>
      </c>
      <c r="AB11" s="779">
        <v>0.625</v>
      </c>
      <c r="AC11" s="779">
        <v>0.70199999999999996</v>
      </c>
      <c r="AD11" s="779">
        <v>1.083</v>
      </c>
      <c r="AE11" s="776">
        <v>0.99</v>
      </c>
      <c r="AF11" s="780">
        <v>28.22</v>
      </c>
      <c r="AG11" s="781">
        <v>60</v>
      </c>
      <c r="AH11" s="781">
        <v>48.35</v>
      </c>
      <c r="AI11" s="781">
        <v>53</v>
      </c>
      <c r="AJ11" s="781">
        <v>34.909999999999997</v>
      </c>
      <c r="AK11" s="781">
        <v>24.28</v>
      </c>
      <c r="AL11" s="781">
        <v>23.7</v>
      </c>
      <c r="AM11" s="781">
        <v>37.24</v>
      </c>
      <c r="AN11" s="781">
        <v>57.56</v>
      </c>
      <c r="AO11" s="781">
        <v>45.13</v>
      </c>
      <c r="AP11" s="781">
        <v>22.01</v>
      </c>
      <c r="AQ11" s="782">
        <v>184.09200000000001</v>
      </c>
      <c r="AR11" s="411"/>
      <c r="AS11" s="411"/>
      <c r="AT11" s="411"/>
      <c r="AU11" s="411"/>
      <c r="AV11" s="411"/>
      <c r="AW11" s="412"/>
      <c r="AX11" s="775">
        <v>142.173</v>
      </c>
      <c r="AY11" s="776"/>
      <c r="AZ11" s="851">
        <v>0.86799999999999999</v>
      </c>
      <c r="BA11" s="853">
        <v>0.625</v>
      </c>
      <c r="BB11" s="853">
        <v>0.70199999999999996</v>
      </c>
      <c r="BC11" s="853">
        <v>1.083</v>
      </c>
      <c r="BD11" s="776"/>
      <c r="BE11" s="808"/>
      <c r="BF11" s="776"/>
      <c r="BG11" s="851">
        <v>0.86799999999999999</v>
      </c>
      <c r="BH11" s="853">
        <v>0.625</v>
      </c>
      <c r="BI11" s="853">
        <v>0.70199999999999996</v>
      </c>
      <c r="BJ11" s="853">
        <v>1.083</v>
      </c>
      <c r="BK11" s="776"/>
      <c r="BL11" s="834"/>
      <c r="BM11" s="776">
        <v>0.99</v>
      </c>
      <c r="BN11" s="777">
        <v>0.86799999999999999</v>
      </c>
      <c r="BO11" s="779">
        <v>0.625</v>
      </c>
      <c r="BP11" s="779">
        <v>0.70199999999999996</v>
      </c>
      <c r="BQ11" s="779">
        <v>1.083</v>
      </c>
      <c r="BR11" s="776">
        <v>0.99</v>
      </c>
      <c r="BS11" s="841"/>
      <c r="BT11" s="776">
        <v>0.99</v>
      </c>
      <c r="BU11" s="777">
        <v>0.86799999999999999</v>
      </c>
      <c r="BV11" s="779">
        <v>0.625</v>
      </c>
      <c r="BW11" s="779">
        <v>0.70199999999999996</v>
      </c>
      <c r="BX11" s="779">
        <v>1.083</v>
      </c>
      <c r="BY11" s="776">
        <v>0.99</v>
      </c>
      <c r="BZ11" s="774"/>
      <c r="CA11" s="776">
        <v>0.99</v>
      </c>
      <c r="CB11" s="777">
        <v>0.86799999999999999</v>
      </c>
      <c r="CC11" s="779">
        <v>0.625</v>
      </c>
      <c r="CD11" s="779">
        <v>0.70199999999999996</v>
      </c>
      <c r="CE11" s="779">
        <v>1.083</v>
      </c>
      <c r="CF11" s="776">
        <v>0.99</v>
      </c>
      <c r="CG11" s="834"/>
      <c r="CH11" s="776">
        <v>0.99</v>
      </c>
      <c r="CI11" s="777">
        <v>0.86799999999999999</v>
      </c>
      <c r="CJ11" s="779">
        <v>0.625</v>
      </c>
      <c r="CK11" s="779">
        <v>0.70199999999999996</v>
      </c>
      <c r="CL11" s="779">
        <v>1.083</v>
      </c>
      <c r="CM11" s="776">
        <v>0.99</v>
      </c>
      <c r="CN11" s="834"/>
      <c r="CO11" s="776">
        <v>0.99</v>
      </c>
      <c r="CP11" s="777">
        <v>0.86799999999999999</v>
      </c>
      <c r="CQ11" s="779">
        <v>0.625</v>
      </c>
      <c r="CR11" s="779">
        <v>0.70199999999999996</v>
      </c>
      <c r="CS11" s="779">
        <v>1.083</v>
      </c>
      <c r="CT11" s="776">
        <v>0.99</v>
      </c>
      <c r="CU11" s="414"/>
      <c r="CV11" s="776">
        <v>0.99</v>
      </c>
      <c r="CW11" s="777">
        <v>0.86799999999999999</v>
      </c>
      <c r="CX11" s="779">
        <v>0.625</v>
      </c>
      <c r="CY11" s="779">
        <v>0.70199999999999996</v>
      </c>
      <c r="CZ11" s="779">
        <v>1.083</v>
      </c>
      <c r="DA11" s="776">
        <v>0.99</v>
      </c>
      <c r="DB11" s="414"/>
      <c r="DC11" s="413"/>
      <c r="DD11" s="413"/>
      <c r="DE11" s="413"/>
      <c r="DF11" s="413"/>
      <c r="DG11" s="413"/>
      <c r="DH11" s="413"/>
      <c r="DI11" s="413"/>
      <c r="DJ11" s="413"/>
      <c r="DK11" s="413"/>
      <c r="DL11" s="413"/>
      <c r="DM11" s="413"/>
      <c r="DN11" s="394"/>
      <c r="DO11" s="411"/>
      <c r="DP11" s="411"/>
      <c r="DQ11" s="411"/>
      <c r="DR11" s="411"/>
      <c r="DS11" s="411"/>
      <c r="DU11" s="411"/>
      <c r="DW11" s="411"/>
      <c r="DX11" s="411"/>
      <c r="DZ11" s="411"/>
      <c r="EB11" s="411"/>
      <c r="EC11" s="411"/>
      <c r="ED11" s="411"/>
      <c r="EE11" s="411"/>
      <c r="EF11" s="411"/>
      <c r="EG11" s="411"/>
      <c r="EH11" s="411"/>
      <c r="EI11" s="411"/>
      <c r="EJ11" s="411"/>
      <c r="EK11" s="411"/>
      <c r="EL11" s="411"/>
      <c r="EM11" s="394"/>
      <c r="EN11" s="411"/>
      <c r="EO11" s="411"/>
      <c r="EP11" s="411"/>
      <c r="EQ11" s="411"/>
      <c r="ER11" s="411"/>
      <c r="ES11" s="394"/>
      <c r="ET11" s="411"/>
      <c r="EU11" s="394"/>
      <c r="EV11" s="411"/>
      <c r="EW11" s="411"/>
      <c r="EX11" s="394"/>
      <c r="EY11" s="411"/>
      <c r="EZ11" s="394"/>
      <c r="FA11" s="411"/>
      <c r="FB11" s="411"/>
      <c r="FC11" s="411"/>
      <c r="FD11" s="411"/>
      <c r="FE11" s="411"/>
      <c r="FF11" s="411"/>
      <c r="FG11" s="411"/>
      <c r="FH11" s="411"/>
      <c r="FI11" s="411"/>
      <c r="FJ11" s="411"/>
      <c r="FK11" s="411"/>
      <c r="FL11" s="394"/>
      <c r="FM11" s="411"/>
      <c r="FN11" s="411"/>
      <c r="FO11" s="411"/>
      <c r="FP11" s="411"/>
      <c r="FQ11" s="411"/>
      <c r="FR11" s="394"/>
      <c r="FS11" s="411"/>
      <c r="FT11" s="394"/>
      <c r="FU11" s="411"/>
      <c r="FV11" s="411"/>
      <c r="FW11" s="394"/>
      <c r="FX11" s="411"/>
      <c r="FY11" s="394"/>
      <c r="FZ11" s="411"/>
      <c r="GA11" s="411"/>
      <c r="GB11" s="411"/>
      <c r="GC11" s="411"/>
      <c r="GD11" s="411"/>
      <c r="GE11" s="411"/>
      <c r="GF11" s="411"/>
      <c r="GG11" s="411"/>
      <c r="GH11" s="411"/>
      <c r="GI11" s="411"/>
      <c r="GJ11" s="411"/>
      <c r="GK11" s="394"/>
      <c r="GL11" s="411"/>
      <c r="GM11" s="411"/>
      <c r="GN11" s="411"/>
      <c r="GO11" s="411"/>
      <c r="GP11" s="411"/>
      <c r="GQ11" s="394"/>
      <c r="GR11" s="411"/>
      <c r="GS11" s="394"/>
      <c r="GT11" s="411"/>
      <c r="GU11" s="411"/>
      <c r="GV11" s="394"/>
      <c r="GW11" s="411"/>
      <c r="GX11" s="394"/>
      <c r="GY11" s="411"/>
      <c r="GZ11" s="411"/>
      <c r="HA11" s="411"/>
      <c r="HB11" s="411"/>
      <c r="HC11" s="411"/>
      <c r="HD11" s="411"/>
      <c r="HE11" s="411"/>
      <c r="HF11" s="411"/>
      <c r="HG11" s="411"/>
      <c r="HH11" s="411"/>
      <c r="HI11" s="411"/>
      <c r="HJ11" s="394"/>
      <c r="HK11" s="411"/>
      <c r="HL11" s="411"/>
      <c r="HM11" s="411"/>
      <c r="HN11" s="411"/>
      <c r="HO11" s="411"/>
      <c r="HP11" s="394"/>
      <c r="HQ11" s="411"/>
      <c r="HR11" s="394"/>
      <c r="HS11" s="411"/>
      <c r="HT11" s="411"/>
      <c r="HU11" s="394"/>
      <c r="HV11" s="411"/>
      <c r="HW11" s="394"/>
      <c r="HX11" s="411"/>
      <c r="HY11" s="411"/>
      <c r="HZ11" s="411"/>
      <c r="IA11" s="411"/>
      <c r="IB11" s="411"/>
      <c r="IC11" s="411"/>
      <c r="ID11" s="411"/>
      <c r="IE11" s="411"/>
      <c r="IF11" s="411"/>
      <c r="IG11" s="411"/>
      <c r="IH11" s="411"/>
      <c r="II11" s="394"/>
      <c r="IJ11" s="411"/>
      <c r="IK11" s="411"/>
      <c r="IL11" s="411"/>
      <c r="IM11" s="411"/>
      <c r="IN11" s="411"/>
      <c r="IP11" s="411"/>
      <c r="IR11" s="411"/>
      <c r="IS11" s="411"/>
      <c r="IU11" s="411"/>
      <c r="IW11" s="411"/>
      <c r="IX11" s="411"/>
      <c r="IY11" s="411"/>
      <c r="IZ11" s="411"/>
      <c r="JA11" s="411"/>
      <c r="JB11" s="411"/>
      <c r="JC11" s="411"/>
      <c r="JD11" s="411"/>
      <c r="JE11" s="411"/>
      <c r="JF11" s="411"/>
      <c r="JG11" s="411"/>
      <c r="JI11" s="420"/>
    </row>
    <row r="12" spans="1:269" ht="12.75" customHeight="1" x14ac:dyDescent="0.3">
      <c r="A12" s="754" t="s">
        <v>924</v>
      </c>
      <c r="B12" s="757" t="s">
        <v>168</v>
      </c>
      <c r="C12" s="757" t="s">
        <v>30</v>
      </c>
      <c r="D12" s="757" t="s">
        <v>168</v>
      </c>
      <c r="E12" s="757" t="s">
        <v>355</v>
      </c>
      <c r="F12" s="757" t="s">
        <v>355</v>
      </c>
      <c r="G12" s="757">
        <v>4.2069999999999999</v>
      </c>
      <c r="H12" s="757">
        <v>75</v>
      </c>
      <c r="I12" s="757">
        <v>315.5</v>
      </c>
      <c r="J12" s="757">
        <v>10</v>
      </c>
      <c r="K12" s="757">
        <v>12</v>
      </c>
      <c r="L12" s="757">
        <v>8</v>
      </c>
      <c r="M12" s="757">
        <v>213.29</v>
      </c>
      <c r="N12" s="757">
        <v>7.7999999999999996E-3</v>
      </c>
      <c r="O12" s="757">
        <v>12</v>
      </c>
      <c r="P12" s="757">
        <v>25.5</v>
      </c>
      <c r="Q12" s="757" t="s">
        <v>30</v>
      </c>
      <c r="S12" s="760">
        <v>480.22699999999998</v>
      </c>
      <c r="T12" s="760">
        <v>647.63900000000001</v>
      </c>
      <c r="U12" s="760">
        <v>386.85399999999998</v>
      </c>
      <c r="V12" s="760">
        <v>709.58</v>
      </c>
      <c r="W12" s="760">
        <v>641.22400000000005</v>
      </c>
      <c r="X12" s="409"/>
      <c r="Y12" s="775">
        <v>116.85599999999999</v>
      </c>
      <c r="Z12" s="776"/>
      <c r="AA12" s="780">
        <v>0.83099999999999996</v>
      </c>
      <c r="AB12" s="783">
        <v>0.64</v>
      </c>
      <c r="AC12" s="775">
        <v>0.85799999999999998</v>
      </c>
      <c r="AD12" s="784">
        <v>1.0565</v>
      </c>
      <c r="AE12" s="776"/>
      <c r="AF12" s="780">
        <v>16.5</v>
      </c>
      <c r="AG12" s="781">
        <v>33</v>
      </c>
      <c r="AH12" s="781">
        <v>22.05</v>
      </c>
      <c r="AI12" s="781">
        <v>26.77</v>
      </c>
      <c r="AJ12" s="781">
        <v>29.66</v>
      </c>
      <c r="AK12" s="781">
        <v>20</v>
      </c>
      <c r="AL12" s="781">
        <v>18.5</v>
      </c>
      <c r="AM12" s="781">
        <v>23.5</v>
      </c>
      <c r="AN12" s="781">
        <v>38</v>
      </c>
      <c r="AO12" s="781">
        <v>39</v>
      </c>
      <c r="AP12" s="781">
        <v>21.08</v>
      </c>
      <c r="AQ12" s="782">
        <v>224.286</v>
      </c>
      <c r="AR12" s="411"/>
      <c r="AS12" s="411"/>
      <c r="AT12" s="411"/>
      <c r="AU12" s="411"/>
      <c r="AV12" s="411"/>
      <c r="AW12" s="412"/>
      <c r="AX12" s="775">
        <v>116.85599999999999</v>
      </c>
      <c r="AY12" s="776"/>
      <c r="AZ12" s="854">
        <v>0.83099999999999996</v>
      </c>
      <c r="BA12" s="855">
        <v>0.64</v>
      </c>
      <c r="BB12" s="856">
        <v>0.85799999999999998</v>
      </c>
      <c r="BC12" s="857">
        <v>1.0565</v>
      </c>
      <c r="BD12" s="776"/>
      <c r="BE12" s="808"/>
      <c r="BF12" s="776"/>
      <c r="BG12" s="854">
        <v>0.83099999999999996</v>
      </c>
      <c r="BH12" s="855">
        <v>0.64</v>
      </c>
      <c r="BI12" s="856">
        <v>0.85799999999999998</v>
      </c>
      <c r="BJ12" s="857">
        <v>1.0565</v>
      </c>
      <c r="BK12" s="776"/>
      <c r="BL12" s="834"/>
      <c r="BM12" s="776"/>
      <c r="BN12" s="780">
        <v>0.83099999999999996</v>
      </c>
      <c r="BO12" s="783">
        <v>0.64</v>
      </c>
      <c r="BP12" s="775">
        <v>0.85799999999999998</v>
      </c>
      <c r="BQ12" s="784">
        <v>1.0565</v>
      </c>
      <c r="BR12" s="776"/>
      <c r="BS12" s="842"/>
      <c r="BT12" s="776"/>
      <c r="BU12" s="780">
        <v>0.83099999999999996</v>
      </c>
      <c r="BV12" s="783">
        <v>0.64</v>
      </c>
      <c r="BW12" s="775">
        <v>0.85799999999999998</v>
      </c>
      <c r="BX12" s="784">
        <v>1.0565</v>
      </c>
      <c r="BY12" s="776"/>
      <c r="BZ12" s="774"/>
      <c r="CA12" s="776"/>
      <c r="CB12" s="780">
        <v>0.83099999999999996</v>
      </c>
      <c r="CC12" s="783">
        <v>0.64</v>
      </c>
      <c r="CD12" s="775">
        <v>0.85799999999999998</v>
      </c>
      <c r="CE12" s="784">
        <v>1.0565</v>
      </c>
      <c r="CF12" s="776"/>
      <c r="CG12" s="834"/>
      <c r="CH12" s="776"/>
      <c r="CI12" s="780">
        <v>0.83099999999999996</v>
      </c>
      <c r="CJ12" s="783">
        <v>0.64</v>
      </c>
      <c r="CK12" s="775">
        <v>0.85799999999999998</v>
      </c>
      <c r="CL12" s="784">
        <v>1.0565</v>
      </c>
      <c r="CM12" s="776"/>
      <c r="CN12" s="834"/>
      <c r="CO12" s="776"/>
      <c r="CP12" s="780">
        <v>0.83099999999999996</v>
      </c>
      <c r="CQ12" s="783">
        <v>0.64</v>
      </c>
      <c r="CR12" s="775">
        <v>0.85799999999999998</v>
      </c>
      <c r="CS12" s="784">
        <v>1.0565</v>
      </c>
      <c r="CT12" s="776"/>
      <c r="CV12" s="776"/>
      <c r="CW12" s="780">
        <v>0.83099999999999996</v>
      </c>
      <c r="CX12" s="783">
        <v>0.64</v>
      </c>
      <c r="CY12" s="775">
        <v>0.85799999999999998</v>
      </c>
      <c r="CZ12" s="784">
        <v>1.0565</v>
      </c>
      <c r="DA12" s="776"/>
      <c r="DB12" s="396"/>
      <c r="DC12" s="411"/>
      <c r="DD12" s="411"/>
      <c r="DE12" s="411"/>
      <c r="DF12" s="411"/>
      <c r="DG12" s="411"/>
      <c r="DH12" s="411"/>
      <c r="DI12" s="411"/>
      <c r="DJ12" s="411"/>
      <c r="DK12" s="411"/>
      <c r="DL12" s="411"/>
      <c r="DM12" s="411"/>
      <c r="DN12" s="394"/>
      <c r="DO12" s="411"/>
      <c r="DP12" s="411"/>
      <c r="DQ12" s="411"/>
      <c r="DR12" s="411"/>
      <c r="DS12" s="411"/>
      <c r="DT12" s="394"/>
      <c r="DU12" s="411"/>
      <c r="DV12" s="394"/>
      <c r="DW12" s="411"/>
      <c r="DX12" s="411"/>
      <c r="DY12" s="394"/>
      <c r="DZ12" s="411"/>
      <c r="EA12" s="394"/>
      <c r="EB12" s="411"/>
      <c r="EC12" s="411"/>
      <c r="ED12" s="411"/>
      <c r="EE12" s="411"/>
      <c r="EF12" s="411"/>
      <c r="EG12" s="411"/>
      <c r="EH12" s="411"/>
      <c r="EI12" s="411"/>
      <c r="EJ12" s="411"/>
      <c r="EK12" s="411"/>
      <c r="EL12" s="411"/>
      <c r="EM12" s="394"/>
      <c r="EN12" s="411"/>
      <c r="EO12" s="411"/>
      <c r="EP12" s="411"/>
      <c r="EQ12" s="411"/>
      <c r="ER12" s="411"/>
      <c r="ES12" s="394"/>
      <c r="ET12" s="411"/>
      <c r="EU12" s="394"/>
      <c r="EV12" s="411"/>
      <c r="EW12" s="411"/>
      <c r="EX12" s="394"/>
      <c r="EY12" s="411"/>
      <c r="EZ12" s="394"/>
      <c r="FA12" s="411"/>
      <c r="FB12" s="411"/>
      <c r="FC12" s="411"/>
      <c r="FD12" s="411"/>
      <c r="FE12" s="411"/>
      <c r="FF12" s="411"/>
      <c r="FG12" s="411"/>
      <c r="FH12" s="411"/>
      <c r="FI12" s="411"/>
      <c r="FJ12" s="411"/>
      <c r="FK12" s="411"/>
      <c r="FL12" s="394"/>
      <c r="FM12" s="411"/>
      <c r="FN12" s="411"/>
      <c r="FO12" s="411"/>
      <c r="FP12" s="411"/>
      <c r="FQ12" s="411"/>
      <c r="FR12" s="394"/>
      <c r="FS12" s="411"/>
      <c r="FT12" s="394"/>
      <c r="FU12" s="411"/>
      <c r="FV12" s="411"/>
      <c r="FW12" s="394"/>
      <c r="FX12" s="411"/>
      <c r="FY12" s="394"/>
      <c r="FZ12" s="411"/>
      <c r="GA12" s="411"/>
      <c r="GB12" s="411"/>
      <c r="GC12" s="411"/>
      <c r="GD12" s="411"/>
      <c r="GE12" s="411"/>
      <c r="GF12" s="411"/>
      <c r="GG12" s="411"/>
      <c r="GH12" s="411"/>
      <c r="GI12" s="411"/>
      <c r="GJ12" s="411"/>
      <c r="GK12" s="394"/>
      <c r="GL12" s="411"/>
      <c r="GM12" s="411"/>
      <c r="GN12" s="411"/>
      <c r="GO12" s="411"/>
      <c r="GP12" s="411"/>
      <c r="GQ12" s="394"/>
      <c r="GR12" s="411"/>
      <c r="GS12" s="394"/>
      <c r="GT12" s="411"/>
      <c r="GU12" s="411"/>
      <c r="GV12" s="394"/>
      <c r="GW12" s="411"/>
      <c r="GX12" s="394"/>
      <c r="GY12" s="411"/>
      <c r="GZ12" s="411"/>
      <c r="HA12" s="411"/>
      <c r="HB12" s="411"/>
      <c r="HC12" s="411"/>
      <c r="HD12" s="411"/>
      <c r="HE12" s="411"/>
      <c r="HF12" s="411"/>
      <c r="HG12" s="411"/>
      <c r="HH12" s="411"/>
      <c r="HI12" s="411"/>
      <c r="HJ12" s="394"/>
      <c r="HK12" s="411"/>
      <c r="HL12" s="411"/>
      <c r="HM12" s="411"/>
      <c r="HN12" s="411"/>
      <c r="HO12" s="411"/>
      <c r="HP12" s="394"/>
      <c r="HQ12" s="411"/>
      <c r="HR12" s="394"/>
      <c r="HS12" s="411"/>
      <c r="HT12" s="411"/>
      <c r="HU12" s="394"/>
      <c r="HV12" s="411"/>
      <c r="HW12" s="394"/>
      <c r="HX12" s="411"/>
      <c r="HY12" s="411"/>
      <c r="HZ12" s="411"/>
      <c r="IA12" s="411"/>
      <c r="IB12" s="411"/>
      <c r="IC12" s="411"/>
      <c r="ID12" s="411"/>
      <c r="IE12" s="411"/>
      <c r="IF12" s="411"/>
      <c r="IG12" s="411"/>
      <c r="IH12" s="411"/>
      <c r="II12" s="394"/>
      <c r="IJ12" s="411"/>
      <c r="IK12" s="411"/>
      <c r="IL12" s="411"/>
      <c r="IM12" s="411"/>
      <c r="IN12" s="411"/>
      <c r="IP12" s="411"/>
      <c r="IR12" s="411"/>
      <c r="IS12" s="411"/>
      <c r="IU12" s="411"/>
      <c r="IW12" s="411"/>
      <c r="IX12" s="411"/>
      <c r="IY12" s="411"/>
      <c r="IZ12" s="411"/>
      <c r="JA12" s="411"/>
      <c r="JB12" s="411"/>
      <c r="JC12" s="411"/>
      <c r="JD12" s="411"/>
      <c r="JE12" s="411"/>
      <c r="JF12" s="411"/>
      <c r="JG12" s="411"/>
    </row>
    <row r="13" spans="1:269" ht="12.75" customHeight="1" x14ac:dyDescent="0.3">
      <c r="A13" s="752" t="s">
        <v>925</v>
      </c>
      <c r="B13" s="757" t="s">
        <v>168</v>
      </c>
      <c r="C13" s="757" t="s">
        <v>174</v>
      </c>
      <c r="D13" s="757" t="s">
        <v>174</v>
      </c>
      <c r="E13" s="757" t="s">
        <v>353</v>
      </c>
      <c r="F13" s="757" t="s">
        <v>168</v>
      </c>
      <c r="G13" s="757">
        <v>5.4749999999999996</v>
      </c>
      <c r="H13" s="757">
        <v>55</v>
      </c>
      <c r="I13" s="757">
        <v>301.10000000000002</v>
      </c>
      <c r="J13" s="757">
        <v>16</v>
      </c>
      <c r="K13" s="757">
        <v>15</v>
      </c>
      <c r="L13" s="757">
        <v>7</v>
      </c>
      <c r="M13" s="757">
        <v>208.11</v>
      </c>
      <c r="N13" s="757">
        <v>1.2E-2</v>
      </c>
      <c r="O13" s="757">
        <v>12</v>
      </c>
      <c r="P13" s="757">
        <v>13.5</v>
      </c>
      <c r="Q13" s="757" t="s">
        <v>30</v>
      </c>
      <c r="S13" s="760">
        <v>579.09699999999998</v>
      </c>
      <c r="T13" s="760">
        <v>406.70299999999997</v>
      </c>
      <c r="U13" s="760">
        <v>696.32799999999997</v>
      </c>
      <c r="V13" s="760">
        <v>849.32299999999998</v>
      </c>
      <c r="W13" s="760">
        <v>780.93799999999999</v>
      </c>
      <c r="X13" s="409"/>
      <c r="Y13" s="775">
        <v>62.021999999999998</v>
      </c>
      <c r="Z13" s="776"/>
      <c r="AA13" s="780">
        <v>0.88900000000000001</v>
      </c>
      <c r="AB13" s="783">
        <v>0.65800000000000003</v>
      </c>
      <c r="AC13" s="775">
        <v>0.65800000000000003</v>
      </c>
      <c r="AD13" s="784">
        <v>0.98499999999999999</v>
      </c>
      <c r="AE13" s="776"/>
      <c r="AF13" s="780">
        <v>20.03</v>
      </c>
      <c r="AG13" s="781">
        <v>41.7</v>
      </c>
      <c r="AH13" s="781">
        <v>27.36</v>
      </c>
      <c r="AI13" s="781">
        <v>33.380000000000003</v>
      </c>
      <c r="AJ13" s="781">
        <v>21.7</v>
      </c>
      <c r="AK13" s="781">
        <v>18.809999999999999</v>
      </c>
      <c r="AL13" s="781">
        <v>22.23</v>
      </c>
      <c r="AM13" s="781">
        <v>34.19</v>
      </c>
      <c r="AN13" s="781">
        <v>46.73</v>
      </c>
      <c r="AO13" s="781">
        <v>22.23</v>
      </c>
      <c r="AP13" s="781">
        <v>18.5</v>
      </c>
      <c r="AQ13" s="782">
        <v>160.732</v>
      </c>
      <c r="AR13" s="411"/>
      <c r="AS13" s="411"/>
      <c r="AT13" s="411"/>
      <c r="AU13" s="411"/>
      <c r="AV13" s="411"/>
      <c r="AW13" s="412"/>
      <c r="AX13" s="775">
        <v>62.021999999999998</v>
      </c>
      <c r="AY13" s="776"/>
      <c r="AZ13" s="854">
        <v>0.88900000000000001</v>
      </c>
      <c r="BA13" s="855">
        <v>0.65800000000000003</v>
      </c>
      <c r="BB13" s="856">
        <v>0.65800000000000003</v>
      </c>
      <c r="BC13" s="857">
        <v>0.98499999999999999</v>
      </c>
      <c r="BD13" s="776"/>
      <c r="BE13" s="808"/>
      <c r="BF13" s="776"/>
      <c r="BG13" s="854">
        <v>0.88900000000000001</v>
      </c>
      <c r="BH13" s="855">
        <v>0.65800000000000003</v>
      </c>
      <c r="BI13" s="856">
        <v>0.65800000000000003</v>
      </c>
      <c r="BJ13" s="857">
        <v>0.98499999999999999</v>
      </c>
      <c r="BK13" s="776"/>
      <c r="BL13" s="834"/>
      <c r="BM13" s="776"/>
      <c r="BN13" s="780">
        <v>0.88900000000000001</v>
      </c>
      <c r="BO13" s="783">
        <v>0.65800000000000003</v>
      </c>
      <c r="BP13" s="775">
        <v>0.65800000000000003</v>
      </c>
      <c r="BQ13" s="784">
        <v>0.98499999999999999</v>
      </c>
      <c r="BR13" s="776"/>
      <c r="BS13" s="842"/>
      <c r="BT13" s="776"/>
      <c r="BU13" s="780">
        <v>0.88900000000000001</v>
      </c>
      <c r="BV13" s="783">
        <v>0.65800000000000003</v>
      </c>
      <c r="BW13" s="775">
        <v>0.65800000000000003</v>
      </c>
      <c r="BX13" s="784">
        <v>0.98499999999999999</v>
      </c>
      <c r="BY13" s="776"/>
      <c r="BZ13" s="774"/>
      <c r="CA13" s="776"/>
      <c r="CB13" s="780">
        <v>0.88900000000000001</v>
      </c>
      <c r="CC13" s="783">
        <v>0.65800000000000003</v>
      </c>
      <c r="CD13" s="775">
        <v>0.65800000000000003</v>
      </c>
      <c r="CE13" s="784">
        <v>0.98499999999999999</v>
      </c>
      <c r="CF13" s="776"/>
      <c r="CG13" s="834"/>
      <c r="CH13" s="776"/>
      <c r="CI13" s="780">
        <v>0.88900000000000001</v>
      </c>
      <c r="CJ13" s="783">
        <v>0.65800000000000003</v>
      </c>
      <c r="CK13" s="775">
        <v>0.65800000000000003</v>
      </c>
      <c r="CL13" s="784">
        <v>0.98499999999999999</v>
      </c>
      <c r="CM13" s="776"/>
      <c r="CN13" s="834"/>
      <c r="CO13" s="776"/>
      <c r="CP13" s="780">
        <v>0.88900000000000001</v>
      </c>
      <c r="CQ13" s="783">
        <v>0.65800000000000003</v>
      </c>
      <c r="CR13" s="775">
        <v>0.65800000000000003</v>
      </c>
      <c r="CS13" s="784">
        <v>0.98499999999999999</v>
      </c>
      <c r="CT13" s="776"/>
      <c r="CV13" s="776"/>
      <c r="CW13" s="780">
        <v>0.88900000000000001</v>
      </c>
      <c r="CX13" s="783">
        <v>0.65800000000000003</v>
      </c>
      <c r="CY13" s="775">
        <v>0.65800000000000003</v>
      </c>
      <c r="CZ13" s="784">
        <v>0.98499999999999999</v>
      </c>
      <c r="DA13" s="776"/>
      <c r="DB13" s="396"/>
      <c r="DC13" s="411"/>
      <c r="DD13" s="411"/>
      <c r="DE13" s="411"/>
      <c r="DF13" s="411"/>
      <c r="DG13" s="411"/>
      <c r="DH13" s="411"/>
      <c r="DI13" s="411"/>
      <c r="DJ13" s="411"/>
      <c r="DK13" s="411"/>
      <c r="DL13" s="411"/>
      <c r="DM13" s="411"/>
      <c r="DN13" s="394"/>
      <c r="DO13" s="411"/>
      <c r="DP13" s="411"/>
      <c r="DQ13" s="411"/>
      <c r="DR13" s="411"/>
      <c r="DS13" s="411"/>
      <c r="DT13" s="394"/>
      <c r="DU13" s="411"/>
      <c r="DV13" s="394"/>
      <c r="DW13" s="411"/>
      <c r="DX13" s="411"/>
      <c r="DY13" s="394"/>
      <c r="DZ13" s="411"/>
      <c r="EA13" s="394"/>
      <c r="EB13" s="411"/>
      <c r="EC13" s="411"/>
      <c r="ED13" s="411"/>
      <c r="EE13" s="411"/>
      <c r="EF13" s="411"/>
      <c r="EG13" s="411"/>
      <c r="EH13" s="411"/>
      <c r="EI13" s="411"/>
      <c r="EJ13" s="411"/>
      <c r="EK13" s="411"/>
      <c r="EL13" s="411"/>
      <c r="EM13" s="394"/>
      <c r="EN13" s="411"/>
      <c r="EO13" s="411"/>
      <c r="EP13" s="411"/>
      <c r="EQ13" s="411"/>
      <c r="ER13" s="411"/>
      <c r="ES13" s="394"/>
      <c r="ET13" s="411"/>
      <c r="EU13" s="394"/>
      <c r="EV13" s="411"/>
      <c r="EW13" s="411"/>
      <c r="EX13" s="394"/>
      <c r="EY13" s="411"/>
      <c r="EZ13" s="394"/>
      <c r="FA13" s="411"/>
      <c r="FB13" s="411"/>
      <c r="FC13" s="411"/>
      <c r="FD13" s="411"/>
      <c r="FE13" s="411"/>
      <c r="FF13" s="411"/>
      <c r="FG13" s="411"/>
      <c r="FH13" s="411"/>
      <c r="FI13" s="411"/>
      <c r="FJ13" s="411"/>
      <c r="FK13" s="411"/>
      <c r="FL13" s="394"/>
      <c r="FM13" s="411"/>
      <c r="FN13" s="411"/>
      <c r="FO13" s="411"/>
      <c r="FP13" s="411"/>
      <c r="FQ13" s="411"/>
      <c r="FR13" s="394"/>
      <c r="FS13" s="411"/>
      <c r="FT13" s="394"/>
      <c r="FU13" s="411"/>
      <c r="FV13" s="411"/>
      <c r="FW13" s="394"/>
      <c r="FX13" s="421"/>
      <c r="FY13" s="394"/>
      <c r="FZ13" s="411"/>
      <c r="GA13" s="411"/>
      <c r="GB13" s="411"/>
      <c r="GC13" s="411"/>
      <c r="GD13" s="411"/>
      <c r="GE13" s="411"/>
      <c r="GF13" s="411"/>
      <c r="GG13" s="411"/>
      <c r="GH13" s="411"/>
      <c r="GI13" s="411"/>
      <c r="GJ13" s="411"/>
      <c r="GK13" s="394"/>
      <c r="GL13" s="411"/>
      <c r="GM13" s="411"/>
      <c r="GN13" s="411"/>
      <c r="GO13" s="411"/>
      <c r="GP13" s="411"/>
      <c r="GQ13" s="394"/>
      <c r="GR13" s="411"/>
      <c r="GS13" s="394"/>
      <c r="GT13" s="411"/>
      <c r="GU13" s="411"/>
      <c r="GV13" s="394"/>
      <c r="GW13" s="421"/>
      <c r="GX13" s="394"/>
      <c r="GY13" s="411"/>
      <c r="GZ13" s="411"/>
      <c r="HA13" s="411"/>
      <c r="HB13" s="411"/>
      <c r="HC13" s="411"/>
      <c r="HD13" s="411"/>
      <c r="HE13" s="411"/>
      <c r="HF13" s="411"/>
      <c r="HG13" s="411"/>
      <c r="HH13" s="411"/>
      <c r="HI13" s="411"/>
      <c r="HJ13" s="394"/>
      <c r="HK13" s="411"/>
      <c r="HL13" s="411"/>
      <c r="HM13" s="411"/>
      <c r="HN13" s="411"/>
      <c r="HO13" s="411"/>
      <c r="HP13" s="394"/>
      <c r="HQ13" s="411"/>
      <c r="HR13" s="394"/>
      <c r="HS13" s="411"/>
      <c r="HT13" s="411"/>
      <c r="HU13" s="394"/>
      <c r="HV13" s="421"/>
      <c r="HW13" s="394"/>
      <c r="HX13" s="411"/>
      <c r="HY13" s="411"/>
      <c r="HZ13" s="411"/>
      <c r="IA13" s="411"/>
      <c r="IB13" s="411"/>
      <c r="IC13" s="411"/>
      <c r="ID13" s="411"/>
      <c r="IE13" s="411"/>
      <c r="IF13" s="411"/>
      <c r="IG13" s="411"/>
      <c r="IH13" s="411"/>
      <c r="II13" s="394"/>
      <c r="IJ13" s="411"/>
      <c r="IK13" s="411"/>
      <c r="IL13" s="411"/>
      <c r="IM13" s="411"/>
      <c r="IN13" s="411"/>
      <c r="IP13" s="411"/>
      <c r="IR13" s="411"/>
      <c r="IS13" s="411"/>
      <c r="IU13" s="411"/>
      <c r="IW13" s="411"/>
      <c r="IX13" s="411"/>
      <c r="IY13" s="411"/>
      <c r="IZ13" s="411"/>
      <c r="JA13" s="411"/>
      <c r="JB13" s="411"/>
      <c r="JC13" s="411"/>
      <c r="JD13" s="411"/>
      <c r="JE13" s="411"/>
      <c r="JF13" s="411"/>
      <c r="JG13" s="411"/>
    </row>
    <row r="14" spans="1:269" ht="12.75" customHeight="1" x14ac:dyDescent="0.3">
      <c r="A14" s="753" t="s">
        <v>926</v>
      </c>
      <c r="B14" s="757" t="s">
        <v>168</v>
      </c>
      <c r="C14" s="757" t="s">
        <v>30</v>
      </c>
      <c r="D14" s="757" t="s">
        <v>168</v>
      </c>
      <c r="E14" s="757" t="s">
        <v>168</v>
      </c>
      <c r="F14" s="757" t="s">
        <v>168</v>
      </c>
      <c r="G14" s="757">
        <v>7.2809999999999997</v>
      </c>
      <c r="H14" s="757">
        <v>42</v>
      </c>
      <c r="I14" s="757">
        <v>305.8</v>
      </c>
      <c r="J14" s="757">
        <v>8</v>
      </c>
      <c r="K14" s="757">
        <v>26</v>
      </c>
      <c r="L14" s="757">
        <v>17</v>
      </c>
      <c r="M14" s="757">
        <v>262.89999999999998</v>
      </c>
      <c r="N14" s="757">
        <v>2.5286300000000001E-2</v>
      </c>
      <c r="O14" s="757">
        <v>16</v>
      </c>
      <c r="P14" s="757">
        <v>17</v>
      </c>
      <c r="Q14" s="757" t="s">
        <v>355</v>
      </c>
      <c r="S14" s="764">
        <v>702.596</v>
      </c>
      <c r="T14" s="760">
        <v>590.94899999999996</v>
      </c>
      <c r="U14" s="760">
        <v>588.04399999999998</v>
      </c>
      <c r="V14" s="760">
        <v>697.60699999999997</v>
      </c>
      <c r="W14" s="760">
        <v>539.476</v>
      </c>
      <c r="X14" s="415"/>
      <c r="Y14" s="775">
        <v>120.02</v>
      </c>
      <c r="Z14" s="776">
        <v>0.97</v>
      </c>
      <c r="AA14" s="777">
        <v>0.85099999999999998</v>
      </c>
      <c r="AB14" s="779">
        <v>0.74299999999999999</v>
      </c>
      <c r="AC14" s="779">
        <v>0.745</v>
      </c>
      <c r="AD14" s="779">
        <v>1.1910000000000001</v>
      </c>
      <c r="AE14" s="776">
        <v>0.97</v>
      </c>
      <c r="AF14" s="780">
        <v>39.43</v>
      </c>
      <c r="AG14" s="781">
        <v>21.75</v>
      </c>
      <c r="AH14" s="781">
        <v>18.93</v>
      </c>
      <c r="AI14" s="781">
        <v>18.350000000000001</v>
      </c>
      <c r="AJ14" s="781">
        <v>42.54</v>
      </c>
      <c r="AK14" s="781">
        <v>31.55</v>
      </c>
      <c r="AL14" s="781">
        <v>12.18</v>
      </c>
      <c r="AM14" s="781">
        <v>36.28</v>
      </c>
      <c r="AN14" s="781">
        <v>31.55</v>
      </c>
      <c r="AO14" s="781">
        <v>44.16</v>
      </c>
      <c r="AP14" s="781">
        <v>12.04</v>
      </c>
      <c r="AQ14" s="782">
        <v>99.664000000000001</v>
      </c>
      <c r="AR14" s="411"/>
      <c r="AS14" s="411"/>
      <c r="AT14" s="411"/>
      <c r="AU14" s="411"/>
      <c r="AV14" s="411"/>
      <c r="AW14" s="412"/>
      <c r="AX14" s="775">
        <v>120.02</v>
      </c>
      <c r="AY14" s="776"/>
      <c r="AZ14" s="851">
        <v>0.85099999999999998</v>
      </c>
      <c r="BA14" s="853">
        <v>0.74299999999999999</v>
      </c>
      <c r="BB14" s="853">
        <v>0.745</v>
      </c>
      <c r="BC14" s="853">
        <v>1.1910000000000001</v>
      </c>
      <c r="BD14" s="776"/>
      <c r="BE14" s="808"/>
      <c r="BF14" s="776"/>
      <c r="BG14" s="851">
        <v>0.85099999999999998</v>
      </c>
      <c r="BH14" s="853">
        <v>0.74299999999999999</v>
      </c>
      <c r="BI14" s="853">
        <v>0.745</v>
      </c>
      <c r="BJ14" s="853">
        <v>1.1910000000000001</v>
      </c>
      <c r="BK14" s="776"/>
      <c r="BL14" s="834"/>
      <c r="BM14" s="776">
        <v>0.97</v>
      </c>
      <c r="BN14" s="777">
        <v>0.85099999999999998</v>
      </c>
      <c r="BO14" s="779">
        <v>0.74299999999999999</v>
      </c>
      <c r="BP14" s="779">
        <v>0.745</v>
      </c>
      <c r="BQ14" s="779">
        <v>1.1910000000000001</v>
      </c>
      <c r="BR14" s="776">
        <v>0.97</v>
      </c>
      <c r="BS14" s="842"/>
      <c r="BT14" s="776">
        <v>0.97</v>
      </c>
      <c r="BU14" s="777">
        <v>0.85099999999999998</v>
      </c>
      <c r="BV14" s="779">
        <v>0.74299999999999999</v>
      </c>
      <c r="BW14" s="779">
        <v>0.745</v>
      </c>
      <c r="BX14" s="779">
        <v>1.1910000000000001</v>
      </c>
      <c r="BY14" s="776">
        <v>0.97</v>
      </c>
      <c r="BZ14" s="774"/>
      <c r="CA14" s="776">
        <v>0.97</v>
      </c>
      <c r="CB14" s="777">
        <v>0.85099999999999998</v>
      </c>
      <c r="CC14" s="779">
        <v>0.74299999999999999</v>
      </c>
      <c r="CD14" s="779">
        <v>0.745</v>
      </c>
      <c r="CE14" s="779">
        <v>1.1910000000000001</v>
      </c>
      <c r="CF14" s="776">
        <v>0.97</v>
      </c>
      <c r="CG14" s="834"/>
      <c r="CH14" s="776">
        <v>0.97</v>
      </c>
      <c r="CI14" s="777">
        <v>0.85099999999999998</v>
      </c>
      <c r="CJ14" s="779">
        <v>0.74299999999999999</v>
      </c>
      <c r="CK14" s="779">
        <v>0.745</v>
      </c>
      <c r="CL14" s="779">
        <v>1.1910000000000001</v>
      </c>
      <c r="CM14" s="776">
        <v>0.97</v>
      </c>
      <c r="CN14" s="834"/>
      <c r="CO14" s="776">
        <v>0.97</v>
      </c>
      <c r="CP14" s="777">
        <v>0.85099999999999998</v>
      </c>
      <c r="CQ14" s="779">
        <v>0.74299999999999999</v>
      </c>
      <c r="CR14" s="779">
        <v>0.745</v>
      </c>
      <c r="CS14" s="779">
        <v>1.1910000000000001</v>
      </c>
      <c r="CT14" s="776">
        <v>0.97</v>
      </c>
      <c r="CU14" s="394"/>
      <c r="CV14" s="776">
        <v>0.97</v>
      </c>
      <c r="CW14" s="777">
        <v>0.85099999999999998</v>
      </c>
      <c r="CX14" s="779">
        <v>0.74299999999999999</v>
      </c>
      <c r="CY14" s="779">
        <v>0.745</v>
      </c>
      <c r="CZ14" s="779">
        <v>1.1910000000000001</v>
      </c>
      <c r="DA14" s="776">
        <v>0.97</v>
      </c>
      <c r="DB14" s="394"/>
      <c r="DC14" s="411"/>
      <c r="DD14" s="411"/>
      <c r="DE14" s="411"/>
      <c r="DF14" s="411"/>
      <c r="DG14" s="411"/>
      <c r="DH14" s="411"/>
      <c r="DI14" s="411"/>
      <c r="DJ14" s="411"/>
      <c r="DK14" s="411"/>
      <c r="DL14" s="411"/>
      <c r="DM14" s="411"/>
      <c r="DN14" s="394"/>
      <c r="DO14" s="411"/>
      <c r="DP14" s="411"/>
      <c r="DQ14" s="411"/>
      <c r="DR14" s="411"/>
      <c r="DS14" s="411"/>
      <c r="DU14" s="411"/>
      <c r="DW14" s="411"/>
      <c r="DX14" s="411"/>
      <c r="DZ14" s="421"/>
      <c r="EB14" s="411"/>
      <c r="EC14" s="411"/>
      <c r="ED14" s="411"/>
      <c r="EE14" s="411"/>
      <c r="EF14" s="411"/>
      <c r="EG14" s="411"/>
      <c r="EH14" s="411"/>
      <c r="EI14" s="411"/>
      <c r="EJ14" s="411"/>
      <c r="EK14" s="411"/>
      <c r="EL14" s="411"/>
      <c r="EM14" s="394"/>
      <c r="EN14" s="411"/>
      <c r="EO14" s="411"/>
      <c r="EP14" s="411"/>
      <c r="EQ14" s="411"/>
      <c r="ER14" s="411"/>
      <c r="ES14" s="394"/>
      <c r="ET14" s="411"/>
      <c r="EU14" s="394"/>
      <c r="EV14" s="411"/>
      <c r="EW14" s="411"/>
      <c r="EX14" s="412"/>
      <c r="EY14" s="411"/>
      <c r="EZ14" s="412"/>
      <c r="FA14" s="411"/>
      <c r="FB14" s="411"/>
      <c r="FC14" s="411"/>
      <c r="FD14" s="411"/>
      <c r="FE14" s="411"/>
      <c r="FF14" s="411"/>
      <c r="FG14" s="411"/>
      <c r="FH14" s="411"/>
      <c r="FI14" s="411"/>
      <c r="FJ14" s="411"/>
      <c r="FK14" s="411"/>
      <c r="FL14" s="394"/>
      <c r="FM14" s="411"/>
      <c r="FN14" s="411"/>
      <c r="FO14" s="411"/>
      <c r="FP14" s="411"/>
      <c r="FQ14" s="411"/>
      <c r="FS14" s="411"/>
      <c r="FU14" s="411"/>
      <c r="FV14" s="411"/>
      <c r="FW14" s="396"/>
      <c r="FX14" s="421"/>
      <c r="FY14" s="396"/>
      <c r="FZ14" s="411"/>
      <c r="GA14" s="411"/>
      <c r="GB14" s="411"/>
      <c r="GC14" s="411"/>
      <c r="GD14" s="411"/>
      <c r="GE14" s="411"/>
      <c r="GF14" s="411"/>
      <c r="GG14" s="411"/>
      <c r="GH14" s="411"/>
      <c r="GI14" s="411"/>
      <c r="GJ14" s="411"/>
      <c r="GL14" s="411"/>
      <c r="GM14" s="411"/>
      <c r="GN14" s="411"/>
      <c r="GO14" s="411"/>
      <c r="GP14" s="411"/>
      <c r="GR14" s="411"/>
      <c r="GT14" s="411"/>
      <c r="GU14" s="411"/>
      <c r="GW14" s="421"/>
      <c r="GY14" s="411"/>
      <c r="GZ14" s="411"/>
      <c r="HA14" s="411"/>
      <c r="HB14" s="411"/>
      <c r="HC14" s="411"/>
      <c r="HD14" s="411"/>
      <c r="HE14" s="411"/>
      <c r="HF14" s="411"/>
      <c r="HG14" s="411"/>
      <c r="HH14" s="411"/>
      <c r="HI14" s="411"/>
      <c r="HK14" s="411"/>
      <c r="HL14" s="411"/>
      <c r="HM14" s="411"/>
      <c r="HN14" s="411"/>
      <c r="HO14" s="411"/>
      <c r="HQ14" s="411"/>
      <c r="HS14" s="411"/>
      <c r="HT14" s="411"/>
      <c r="HV14" s="421"/>
      <c r="HX14" s="411"/>
      <c r="HY14" s="411"/>
      <c r="HZ14" s="411"/>
      <c r="IA14" s="411"/>
      <c r="IB14" s="411"/>
      <c r="IC14" s="411"/>
      <c r="ID14" s="411"/>
      <c r="IE14" s="411"/>
      <c r="IF14" s="411"/>
      <c r="IG14" s="411"/>
      <c r="IH14" s="411"/>
      <c r="II14" s="394"/>
      <c r="IJ14" s="411"/>
      <c r="IK14" s="411"/>
      <c r="IL14" s="411"/>
      <c r="IM14" s="411"/>
      <c r="IN14" s="411"/>
      <c r="IP14" s="411"/>
      <c r="IR14" s="411"/>
      <c r="IS14" s="411"/>
      <c r="IU14" s="411"/>
      <c r="IW14" s="411"/>
      <c r="IX14" s="411"/>
      <c r="IY14" s="411"/>
      <c r="IZ14" s="411"/>
      <c r="JA14" s="411"/>
      <c r="JB14" s="411"/>
      <c r="JC14" s="411"/>
      <c r="JD14" s="411"/>
      <c r="JE14" s="411"/>
      <c r="JF14" s="411"/>
      <c r="JG14" s="411"/>
    </row>
    <row r="15" spans="1:269" ht="12.75" customHeight="1" x14ac:dyDescent="0.3">
      <c r="A15" s="754" t="s">
        <v>927</v>
      </c>
      <c r="B15" s="757" t="s">
        <v>168</v>
      </c>
      <c r="C15" s="757" t="s">
        <v>693</v>
      </c>
      <c r="D15" s="757" t="s">
        <v>168</v>
      </c>
      <c r="E15" s="757" t="s">
        <v>168</v>
      </c>
      <c r="F15" s="757" t="s">
        <v>353</v>
      </c>
      <c r="G15" s="757">
        <v>5.4039999999999999</v>
      </c>
      <c r="H15" s="757">
        <v>57</v>
      </c>
      <c r="I15" s="757">
        <v>308</v>
      </c>
      <c r="J15" s="757">
        <v>12</v>
      </c>
      <c r="K15" s="757">
        <v>12</v>
      </c>
      <c r="L15" s="757">
        <v>14</v>
      </c>
      <c r="M15" s="757">
        <v>209.87</v>
      </c>
      <c r="N15" s="757">
        <v>1.7000000000000001E-2</v>
      </c>
      <c r="O15" s="757">
        <v>15</v>
      </c>
      <c r="P15" s="757">
        <v>14</v>
      </c>
      <c r="Q15" s="757" t="s">
        <v>30</v>
      </c>
      <c r="S15" s="760">
        <v>482</v>
      </c>
      <c r="T15" s="760">
        <v>515.07799999999997</v>
      </c>
      <c r="U15" s="760">
        <v>377.27</v>
      </c>
      <c r="V15" s="760">
        <v>554</v>
      </c>
      <c r="W15" s="760">
        <v>490.62900000000002</v>
      </c>
      <c r="X15" s="409"/>
      <c r="Y15" s="775">
        <v>53.38</v>
      </c>
      <c r="Z15" s="776">
        <v>0.99</v>
      </c>
      <c r="AA15" s="777">
        <v>0.83099999999999996</v>
      </c>
      <c r="AB15" s="779">
        <v>0.70799999999999996</v>
      </c>
      <c r="AC15" s="779">
        <v>0.69899999999999995</v>
      </c>
      <c r="AD15" s="779">
        <v>1.0269999999999999</v>
      </c>
      <c r="AE15" s="776">
        <v>0.99</v>
      </c>
      <c r="AF15" s="780">
        <v>26.28</v>
      </c>
      <c r="AG15" s="781">
        <v>47.5</v>
      </c>
      <c r="AH15" s="781">
        <v>29.56</v>
      </c>
      <c r="AI15" s="781">
        <v>24.63</v>
      </c>
      <c r="AJ15" s="781">
        <v>29.56</v>
      </c>
      <c r="AK15" s="781">
        <v>27.92</v>
      </c>
      <c r="AL15" s="781">
        <v>26.28</v>
      </c>
      <c r="AM15" s="781">
        <v>31.2</v>
      </c>
      <c r="AN15" s="781">
        <v>36.130000000000003</v>
      </c>
      <c r="AO15" s="781">
        <v>29.56</v>
      </c>
      <c r="AP15" s="781">
        <v>21.35</v>
      </c>
      <c r="AQ15" s="782">
        <v>169.524</v>
      </c>
      <c r="AR15" s="411"/>
      <c r="AS15" s="411"/>
      <c r="AT15" s="411"/>
      <c r="AU15" s="411"/>
      <c r="AV15" s="411"/>
      <c r="AW15" s="412"/>
      <c r="AX15" s="775">
        <v>53.38</v>
      </c>
      <c r="AY15" s="776">
        <v>0.99</v>
      </c>
      <c r="AZ15" s="777">
        <v>0.83099999999999996</v>
      </c>
      <c r="BA15" s="853">
        <v>0.70799999999999996</v>
      </c>
      <c r="BB15" s="853">
        <v>0.69899999999999995</v>
      </c>
      <c r="BC15" s="779">
        <v>0.996</v>
      </c>
      <c r="BD15" s="776">
        <v>0.99</v>
      </c>
      <c r="BE15" s="808"/>
      <c r="BF15" s="776"/>
      <c r="BG15" s="851">
        <v>0.83099999999999996</v>
      </c>
      <c r="BH15" s="853">
        <v>0.70799999999999996</v>
      </c>
      <c r="BI15" s="853">
        <v>0.69899999999999995</v>
      </c>
      <c r="BJ15" s="853">
        <v>1.0269999999999999</v>
      </c>
      <c r="BK15" s="776"/>
      <c r="BL15" s="834"/>
      <c r="BM15" s="776">
        <v>0.99</v>
      </c>
      <c r="BN15" s="777">
        <v>0.83099999999999996</v>
      </c>
      <c r="BO15" s="779">
        <v>0.70799999999999996</v>
      </c>
      <c r="BP15" s="779">
        <v>0.69899999999999995</v>
      </c>
      <c r="BQ15" s="779">
        <v>1.0269999999999999</v>
      </c>
      <c r="BR15" s="776">
        <v>0.99</v>
      </c>
      <c r="BS15" s="841"/>
      <c r="BT15" s="776">
        <v>0.99</v>
      </c>
      <c r="BU15" s="777">
        <v>0.83099999999999996</v>
      </c>
      <c r="BV15" s="779">
        <v>0.70799999999999996</v>
      </c>
      <c r="BW15" s="779">
        <v>0.69899999999999995</v>
      </c>
      <c r="BX15" s="779">
        <v>1.0269999999999999</v>
      </c>
      <c r="BY15" s="776">
        <v>0.99</v>
      </c>
      <c r="BZ15" s="774"/>
      <c r="CA15" s="776">
        <v>0.99</v>
      </c>
      <c r="CB15" s="777">
        <v>0.83099999999999996</v>
      </c>
      <c r="CC15" s="779">
        <v>0.70799999999999996</v>
      </c>
      <c r="CD15" s="779">
        <v>0.69899999999999995</v>
      </c>
      <c r="CE15" s="779">
        <v>1.0269999999999999</v>
      </c>
      <c r="CF15" s="776">
        <v>0.99</v>
      </c>
      <c r="CG15" s="834"/>
      <c r="CH15" s="776">
        <v>0.99</v>
      </c>
      <c r="CI15" s="777">
        <v>0.83099999999999996</v>
      </c>
      <c r="CJ15" s="779">
        <v>0.70799999999999996</v>
      </c>
      <c r="CK15" s="779">
        <v>0.69899999999999995</v>
      </c>
      <c r="CL15" s="779">
        <v>1.0269999999999999</v>
      </c>
      <c r="CM15" s="776">
        <v>0.99</v>
      </c>
      <c r="CN15" s="834"/>
      <c r="CO15" s="776">
        <v>0.99</v>
      </c>
      <c r="CP15" s="777">
        <v>0.83099999999999996</v>
      </c>
      <c r="CQ15" s="779">
        <v>0.70799999999999996</v>
      </c>
      <c r="CR15" s="779">
        <v>0.69899999999999995</v>
      </c>
      <c r="CS15" s="779">
        <v>1.0269999999999999</v>
      </c>
      <c r="CT15" s="776">
        <v>0.99</v>
      </c>
      <c r="CU15" s="422"/>
      <c r="CV15" s="776">
        <v>0.99</v>
      </c>
      <c r="CW15" s="777">
        <v>0.83099999999999996</v>
      </c>
      <c r="CX15" s="779">
        <v>0.70799999999999996</v>
      </c>
      <c r="CY15" s="779">
        <v>0.69899999999999995</v>
      </c>
      <c r="CZ15" s="779">
        <v>1.0269999999999999</v>
      </c>
      <c r="DA15" s="776">
        <v>0.99</v>
      </c>
      <c r="DB15" s="414"/>
      <c r="DC15" s="413"/>
      <c r="DD15" s="413"/>
      <c r="DE15" s="413"/>
      <c r="DF15" s="413"/>
      <c r="DG15" s="413"/>
      <c r="DH15" s="413"/>
      <c r="DI15" s="413"/>
      <c r="DJ15" s="413"/>
      <c r="DK15" s="413"/>
      <c r="DL15" s="413"/>
      <c r="DM15" s="413"/>
      <c r="DN15" s="394"/>
      <c r="DO15" s="411"/>
      <c r="DP15" s="411"/>
      <c r="DQ15" s="411"/>
      <c r="DR15" s="411"/>
      <c r="DS15" s="411"/>
      <c r="DT15" s="394"/>
      <c r="DU15" s="411"/>
      <c r="DV15" s="394"/>
      <c r="DW15" s="411"/>
      <c r="DX15" s="411"/>
      <c r="DY15" s="394"/>
      <c r="DZ15" s="411"/>
      <c r="EA15" s="394"/>
      <c r="EB15" s="411"/>
      <c r="EC15" s="411"/>
      <c r="ED15" s="411"/>
      <c r="EE15" s="411"/>
      <c r="EF15" s="411"/>
      <c r="EG15" s="411"/>
      <c r="EH15" s="411"/>
      <c r="EI15" s="411"/>
      <c r="EJ15" s="411"/>
      <c r="EK15" s="411"/>
      <c r="EL15" s="411"/>
      <c r="EM15" s="394"/>
      <c r="EN15" s="411"/>
      <c r="EO15" s="411"/>
      <c r="EP15" s="411"/>
      <c r="EQ15" s="411"/>
      <c r="ER15" s="411"/>
      <c r="ES15" s="394"/>
      <c r="ET15" s="411"/>
      <c r="EU15" s="394"/>
      <c r="EV15" s="411"/>
      <c r="EW15" s="411"/>
      <c r="EX15" s="394"/>
      <c r="EY15" s="411"/>
      <c r="EZ15" s="394"/>
      <c r="FA15" s="411"/>
      <c r="FB15" s="411"/>
      <c r="FC15" s="411"/>
      <c r="FD15" s="411"/>
      <c r="FE15" s="411"/>
      <c r="FF15" s="411"/>
      <c r="FG15" s="411"/>
      <c r="FH15" s="411"/>
      <c r="FI15" s="411"/>
      <c r="FJ15" s="411"/>
      <c r="FK15" s="411"/>
      <c r="FL15" s="394"/>
      <c r="FM15" s="411"/>
      <c r="FN15" s="411"/>
      <c r="FO15" s="411"/>
      <c r="FP15" s="411"/>
      <c r="FQ15" s="411"/>
      <c r="FR15" s="394"/>
      <c r="FS15" s="411"/>
      <c r="FT15" s="394"/>
      <c r="FU15" s="411"/>
      <c r="FV15" s="411"/>
      <c r="FW15" s="394"/>
      <c r="FX15" s="411"/>
      <c r="FY15" s="394"/>
      <c r="FZ15" s="411"/>
      <c r="GA15" s="411"/>
      <c r="GB15" s="411"/>
      <c r="GC15" s="411"/>
      <c r="GD15" s="411"/>
      <c r="GE15" s="411"/>
      <c r="GF15" s="411"/>
      <c r="GG15" s="411"/>
      <c r="GH15" s="411"/>
      <c r="GI15" s="411"/>
      <c r="GJ15" s="411"/>
      <c r="GK15" s="394"/>
      <c r="GL15" s="411"/>
      <c r="GM15" s="411"/>
      <c r="GN15" s="411"/>
      <c r="GO15" s="411"/>
      <c r="GP15" s="411"/>
      <c r="GQ15" s="394"/>
      <c r="GR15" s="411"/>
      <c r="GS15" s="394"/>
      <c r="GT15" s="411"/>
      <c r="GU15" s="411"/>
      <c r="GV15" s="394"/>
      <c r="GW15" s="411"/>
      <c r="GX15" s="394"/>
      <c r="GY15" s="411"/>
      <c r="GZ15" s="411"/>
      <c r="HA15" s="411"/>
      <c r="HB15" s="411"/>
      <c r="HC15" s="411"/>
      <c r="HD15" s="411"/>
      <c r="HE15" s="411"/>
      <c r="HF15" s="411"/>
      <c r="HG15" s="411"/>
      <c r="HH15" s="411"/>
      <c r="HI15" s="411"/>
      <c r="HJ15" s="394"/>
      <c r="HK15" s="411"/>
      <c r="HL15" s="411"/>
      <c r="HM15" s="411"/>
      <c r="HN15" s="411"/>
      <c r="HO15" s="411"/>
      <c r="HP15" s="394"/>
      <c r="HQ15" s="411"/>
      <c r="HR15" s="394"/>
      <c r="HS15" s="411"/>
      <c r="HT15" s="411"/>
      <c r="HU15" s="394"/>
      <c r="HV15" s="411"/>
      <c r="HW15" s="394"/>
      <c r="HX15" s="411"/>
      <c r="HY15" s="411"/>
      <c r="HZ15" s="411"/>
      <c r="IA15" s="411"/>
      <c r="IB15" s="411"/>
      <c r="IC15" s="411"/>
      <c r="ID15" s="411"/>
      <c r="IE15" s="411"/>
      <c r="IF15" s="411"/>
      <c r="IG15" s="411"/>
      <c r="IH15" s="411"/>
      <c r="II15" s="394"/>
      <c r="IJ15" s="411"/>
      <c r="IK15" s="411"/>
      <c r="IL15" s="411"/>
      <c r="IM15" s="411"/>
      <c r="IN15" s="411"/>
      <c r="IP15" s="411"/>
      <c r="IR15" s="411"/>
      <c r="IS15" s="411"/>
      <c r="IU15" s="411"/>
      <c r="IW15" s="411"/>
      <c r="IX15" s="411"/>
      <c r="IY15" s="411"/>
      <c r="IZ15" s="411"/>
      <c r="JA15" s="411"/>
      <c r="JB15" s="411"/>
      <c r="JC15" s="411"/>
      <c r="JD15" s="411"/>
      <c r="JE15" s="411"/>
      <c r="JF15" s="411"/>
      <c r="JG15" s="411"/>
    </row>
    <row r="16" spans="1:269" x14ac:dyDescent="0.3">
      <c r="A16" s="754" t="s">
        <v>928</v>
      </c>
      <c r="B16" s="757" t="s">
        <v>355</v>
      </c>
      <c r="C16" s="757" t="s">
        <v>693</v>
      </c>
      <c r="D16" s="757" t="s">
        <v>174</v>
      </c>
      <c r="E16" s="757" t="s">
        <v>351</v>
      </c>
      <c r="F16" s="757" t="s">
        <v>355</v>
      </c>
      <c r="G16" s="757">
        <v>3.0710000000000002</v>
      </c>
      <c r="H16" s="757">
        <v>80</v>
      </c>
      <c r="I16" s="757">
        <v>245.7</v>
      </c>
      <c r="J16" s="757">
        <v>8</v>
      </c>
      <c r="K16" s="757">
        <v>6</v>
      </c>
      <c r="L16" s="757">
        <v>8</v>
      </c>
      <c r="M16" s="757">
        <v>149.63999999999999</v>
      </c>
      <c r="N16" s="757">
        <v>6.45E-3</v>
      </c>
      <c r="O16" s="757">
        <v>14</v>
      </c>
      <c r="P16" s="757">
        <v>24</v>
      </c>
      <c r="Q16" s="757" t="s">
        <v>30</v>
      </c>
      <c r="S16" s="765">
        <v>271.58600000000001</v>
      </c>
      <c r="T16" s="765">
        <v>655.12300000000005</v>
      </c>
      <c r="U16" s="765">
        <v>712.34100000000001</v>
      </c>
      <c r="V16" s="765">
        <v>592.76700000000005</v>
      </c>
      <c r="W16" s="765">
        <v>745.41099999999994</v>
      </c>
      <c r="X16" s="415"/>
      <c r="Y16" s="775">
        <v>79.367000000000004</v>
      </c>
      <c r="Z16" s="776">
        <v>0.97</v>
      </c>
      <c r="AA16" s="777">
        <v>0.91300000000000003</v>
      </c>
      <c r="AB16" s="779">
        <v>0.76500000000000001</v>
      </c>
      <c r="AC16" s="779">
        <v>0.79900000000000004</v>
      </c>
      <c r="AD16" s="779">
        <v>1.0429999999999999</v>
      </c>
      <c r="AE16" s="776">
        <v>0.97</v>
      </c>
      <c r="AF16" s="780">
        <v>29.652000000000001</v>
      </c>
      <c r="AG16" s="781">
        <v>63</v>
      </c>
      <c r="AH16" s="781">
        <v>30.093</v>
      </c>
      <c r="AI16" s="781">
        <v>32.341000000000001</v>
      </c>
      <c r="AJ16" s="781">
        <v>39.097999999999999</v>
      </c>
      <c r="AK16" s="781">
        <v>27.532</v>
      </c>
      <c r="AL16" s="781">
        <v>22.687999999999999</v>
      </c>
      <c r="AM16" s="781">
        <v>46.478000000000002</v>
      </c>
      <c r="AN16" s="781">
        <v>57.923000000000002</v>
      </c>
      <c r="AO16" s="781">
        <v>34.554000000000002</v>
      </c>
      <c r="AP16" s="781">
        <v>27.466000000000001</v>
      </c>
      <c r="AQ16" s="782">
        <v>268.613</v>
      </c>
      <c r="AR16" s="411"/>
      <c r="AS16" s="417"/>
      <c r="AT16" s="417"/>
      <c r="AU16" s="417"/>
      <c r="AV16" s="417"/>
      <c r="AW16" s="423"/>
      <c r="AX16" s="775">
        <v>79.367000000000004</v>
      </c>
      <c r="AY16" s="776"/>
      <c r="AZ16" s="851">
        <v>0.91300000000000003</v>
      </c>
      <c r="BA16" s="853">
        <v>0.76500000000000001</v>
      </c>
      <c r="BB16" s="853">
        <v>0.79900000000000004</v>
      </c>
      <c r="BC16" s="853">
        <v>1.0429999999999999</v>
      </c>
      <c r="BD16" s="776"/>
      <c r="BE16" s="808"/>
      <c r="BF16" s="776"/>
      <c r="BG16" s="851">
        <v>0.91300000000000003</v>
      </c>
      <c r="BH16" s="853">
        <v>0.76500000000000001</v>
      </c>
      <c r="BI16" s="853">
        <v>0.79900000000000004</v>
      </c>
      <c r="BJ16" s="853">
        <v>1.0429999999999999</v>
      </c>
      <c r="BK16" s="776"/>
      <c r="BL16" s="834"/>
      <c r="BM16" s="776">
        <v>0.97</v>
      </c>
      <c r="BN16" s="777">
        <v>0.91300000000000003</v>
      </c>
      <c r="BO16" s="779">
        <v>0.76500000000000001</v>
      </c>
      <c r="BP16" s="779">
        <v>0.79900000000000004</v>
      </c>
      <c r="BQ16" s="779">
        <v>1.0429999999999999</v>
      </c>
      <c r="BR16" s="776">
        <v>0.97</v>
      </c>
      <c r="BS16" s="843"/>
      <c r="BT16" s="776">
        <v>0.97</v>
      </c>
      <c r="BU16" s="777">
        <v>0.91300000000000003</v>
      </c>
      <c r="BV16" s="779">
        <v>0.76500000000000001</v>
      </c>
      <c r="BW16" s="779">
        <v>0.79900000000000004</v>
      </c>
      <c r="BX16" s="779">
        <v>1.0429999999999999</v>
      </c>
      <c r="BY16" s="776">
        <v>0.97</v>
      </c>
      <c r="BZ16" s="774"/>
      <c r="CA16" s="776">
        <v>0.97</v>
      </c>
      <c r="CB16" s="777">
        <v>0.91300000000000003</v>
      </c>
      <c r="CC16" s="779">
        <v>0.76500000000000001</v>
      </c>
      <c r="CD16" s="779">
        <v>0.79900000000000004</v>
      </c>
      <c r="CE16" s="779">
        <v>1.0429999999999999</v>
      </c>
      <c r="CF16" s="776">
        <v>0.97</v>
      </c>
      <c r="CG16" s="834"/>
      <c r="CH16" s="776">
        <v>0.97</v>
      </c>
      <c r="CI16" s="777">
        <v>0.91300000000000003</v>
      </c>
      <c r="CJ16" s="779">
        <v>0.76500000000000001</v>
      </c>
      <c r="CK16" s="779">
        <v>0.79900000000000004</v>
      </c>
      <c r="CL16" s="779">
        <v>1.0429999999999999</v>
      </c>
      <c r="CM16" s="776">
        <v>0.97</v>
      </c>
      <c r="CN16" s="834"/>
      <c r="CO16" s="776">
        <v>0.97</v>
      </c>
      <c r="CP16" s="777">
        <v>0.91300000000000003</v>
      </c>
      <c r="CQ16" s="779">
        <v>0.76500000000000001</v>
      </c>
      <c r="CR16" s="779">
        <v>0.79900000000000004</v>
      </c>
      <c r="CS16" s="779">
        <v>1.0429999999999999</v>
      </c>
      <c r="CT16" s="776">
        <v>0.97</v>
      </c>
      <c r="CU16" s="423"/>
      <c r="CV16" s="776">
        <v>0.97</v>
      </c>
      <c r="CW16" s="777">
        <v>0.91300000000000003</v>
      </c>
      <c r="CX16" s="779">
        <v>0.76500000000000001</v>
      </c>
      <c r="CY16" s="779">
        <v>0.79900000000000004</v>
      </c>
      <c r="CZ16" s="779">
        <v>1.0429999999999999</v>
      </c>
      <c r="DA16" s="776">
        <v>0.97</v>
      </c>
      <c r="DB16" s="418"/>
      <c r="DC16" s="417"/>
      <c r="DD16" s="417"/>
      <c r="DE16" s="417"/>
      <c r="DF16" s="417"/>
      <c r="DG16" s="417"/>
      <c r="DH16" s="417"/>
      <c r="DI16" s="417"/>
      <c r="DJ16" s="417"/>
      <c r="DK16" s="417"/>
      <c r="DL16" s="417"/>
      <c r="DM16" s="417"/>
      <c r="DN16" s="394"/>
      <c r="DO16" s="413"/>
      <c r="DP16" s="413"/>
      <c r="DQ16" s="413"/>
      <c r="DR16" s="413"/>
      <c r="DS16" s="413"/>
      <c r="DT16" s="414"/>
      <c r="DU16" s="413"/>
      <c r="DV16" s="414"/>
      <c r="DW16" s="413"/>
      <c r="DX16" s="413"/>
      <c r="DY16" s="414"/>
      <c r="DZ16" s="413"/>
      <c r="EA16" s="414"/>
      <c r="EB16" s="413"/>
      <c r="EC16" s="413"/>
      <c r="ED16" s="413"/>
      <c r="EE16" s="413"/>
      <c r="EF16" s="413"/>
      <c r="EG16" s="413"/>
      <c r="EH16" s="413"/>
      <c r="EI16" s="413"/>
      <c r="EJ16" s="413"/>
      <c r="EK16" s="413"/>
      <c r="EL16" s="413"/>
      <c r="EM16" s="394"/>
      <c r="EN16" s="421"/>
      <c r="EO16" s="411"/>
      <c r="EP16" s="411"/>
      <c r="EQ16" s="411"/>
      <c r="ER16" s="411"/>
      <c r="ES16" s="394"/>
      <c r="ET16" s="411"/>
      <c r="EU16" s="394"/>
      <c r="EV16" s="413"/>
      <c r="EW16" s="413"/>
      <c r="EX16" s="414"/>
      <c r="EY16" s="413"/>
      <c r="EZ16" s="414"/>
      <c r="FA16" s="413"/>
      <c r="FB16" s="413"/>
      <c r="FC16" s="413"/>
      <c r="FD16" s="413"/>
      <c r="FE16" s="413"/>
      <c r="FF16" s="413"/>
      <c r="FG16" s="413"/>
      <c r="FH16" s="413"/>
      <c r="FI16" s="413"/>
      <c r="FJ16" s="413"/>
      <c r="FK16" s="413"/>
      <c r="FL16" s="394"/>
      <c r="FM16" s="421"/>
      <c r="FN16" s="411"/>
      <c r="FO16" s="411"/>
      <c r="FP16" s="411"/>
      <c r="FQ16" s="411"/>
      <c r="FR16" s="394"/>
      <c r="FS16" s="411"/>
      <c r="FT16" s="394"/>
      <c r="FU16" s="411"/>
      <c r="FV16" s="411"/>
      <c r="FW16" s="394"/>
      <c r="FX16" s="411"/>
      <c r="FY16" s="394"/>
      <c r="FZ16" s="411"/>
      <c r="GA16" s="411"/>
      <c r="GB16" s="411"/>
      <c r="GC16" s="411"/>
      <c r="GD16" s="411"/>
      <c r="GE16" s="411"/>
      <c r="GF16" s="411"/>
      <c r="GG16" s="411"/>
      <c r="GH16" s="411"/>
      <c r="GI16" s="411"/>
      <c r="GJ16" s="411"/>
      <c r="GK16" s="394"/>
      <c r="GL16" s="421"/>
      <c r="GM16" s="411"/>
      <c r="GN16" s="411"/>
      <c r="GO16" s="411"/>
      <c r="GP16" s="411"/>
      <c r="GQ16" s="394"/>
      <c r="GR16" s="411"/>
      <c r="GS16" s="394"/>
      <c r="GT16" s="411"/>
      <c r="GU16" s="411"/>
      <c r="GV16" s="394"/>
      <c r="GW16" s="411"/>
      <c r="GX16" s="394"/>
      <c r="GY16" s="411"/>
      <c r="GZ16" s="411"/>
      <c r="HA16" s="411"/>
      <c r="HB16" s="411"/>
      <c r="HC16" s="411"/>
      <c r="HD16" s="411"/>
      <c r="HE16" s="411"/>
      <c r="HF16" s="411"/>
      <c r="HG16" s="411"/>
      <c r="HH16" s="411"/>
      <c r="HI16" s="411"/>
      <c r="HJ16" s="394"/>
      <c r="HK16" s="421"/>
      <c r="HL16" s="411"/>
      <c r="HM16" s="411"/>
      <c r="HN16" s="411"/>
      <c r="HO16" s="411"/>
      <c r="HP16" s="394"/>
      <c r="HQ16" s="411"/>
      <c r="HR16" s="394"/>
      <c r="HS16" s="411"/>
      <c r="HT16" s="411"/>
      <c r="HU16" s="394"/>
      <c r="HV16" s="411"/>
      <c r="HW16" s="394"/>
      <c r="HX16" s="411"/>
      <c r="HY16" s="411"/>
      <c r="HZ16" s="411"/>
      <c r="IA16" s="411"/>
      <c r="IB16" s="411"/>
      <c r="IC16" s="411"/>
      <c r="ID16" s="411"/>
      <c r="IE16" s="411"/>
      <c r="IF16" s="411"/>
      <c r="IG16" s="411"/>
      <c r="IH16" s="411"/>
      <c r="II16" s="394"/>
      <c r="IJ16" s="417"/>
      <c r="IK16" s="417"/>
      <c r="IL16" s="417"/>
      <c r="IM16" s="417"/>
      <c r="IN16" s="417"/>
      <c r="IO16" s="423"/>
      <c r="IP16" s="417"/>
      <c r="IQ16" s="418"/>
      <c r="IR16" s="417"/>
      <c r="IS16" s="417"/>
      <c r="IT16" s="418"/>
      <c r="IU16" s="417"/>
      <c r="IV16" s="418"/>
      <c r="IW16" s="417"/>
      <c r="IX16" s="417"/>
      <c r="IY16" s="417"/>
      <c r="IZ16" s="417"/>
      <c r="JA16" s="417"/>
      <c r="JB16" s="417"/>
      <c r="JC16" s="417"/>
      <c r="JD16" s="417"/>
      <c r="JE16" s="417"/>
      <c r="JF16" s="417"/>
      <c r="JG16" s="417"/>
    </row>
    <row r="17" spans="1:267" ht="12.75" customHeight="1" x14ac:dyDescent="0.3">
      <c r="A17" s="752" t="s">
        <v>929</v>
      </c>
      <c r="B17" s="810" t="s">
        <v>353</v>
      </c>
      <c r="C17" s="757" t="s">
        <v>694</v>
      </c>
      <c r="D17" s="757" t="s">
        <v>174</v>
      </c>
      <c r="E17" s="757" t="s">
        <v>356</v>
      </c>
      <c r="F17" s="757" t="s">
        <v>353</v>
      </c>
      <c r="G17" s="757">
        <v>4.258</v>
      </c>
      <c r="H17" s="757">
        <v>72</v>
      </c>
      <c r="I17" s="810">
        <v>306.60000000000002</v>
      </c>
      <c r="J17" s="810">
        <v>12</v>
      </c>
      <c r="K17" s="757">
        <v>11</v>
      </c>
      <c r="L17" s="810">
        <v>9</v>
      </c>
      <c r="M17" s="757">
        <v>187.83</v>
      </c>
      <c r="N17" s="757">
        <v>1.43E-2</v>
      </c>
      <c r="O17" s="810">
        <v>16</v>
      </c>
      <c r="P17" s="757">
        <v>19.5</v>
      </c>
      <c r="Q17" s="757" t="s">
        <v>30</v>
      </c>
      <c r="S17" s="764">
        <v>903.024</v>
      </c>
      <c r="T17" s="760">
        <v>516.00900000000001</v>
      </c>
      <c r="U17" s="760">
        <v>270.49700000000001</v>
      </c>
      <c r="V17" s="760">
        <v>653.95600000000002</v>
      </c>
      <c r="W17" s="760">
        <v>706.92100000000005</v>
      </c>
      <c r="X17" s="415"/>
      <c r="Y17" s="775">
        <v>183.05500000000001</v>
      </c>
      <c r="Z17" s="776">
        <v>0.98</v>
      </c>
      <c r="AA17" s="777">
        <v>0.79100000000000004</v>
      </c>
      <c r="AB17" s="779">
        <v>0.57399999999999995</v>
      </c>
      <c r="AC17" s="779">
        <v>0.69699999999999995</v>
      </c>
      <c r="AD17" s="779">
        <v>0.98299999999999998</v>
      </c>
      <c r="AE17" s="776">
        <v>0.98</v>
      </c>
      <c r="AF17" s="780">
        <v>33</v>
      </c>
      <c r="AG17" s="781">
        <v>54</v>
      </c>
      <c r="AH17" s="781">
        <v>26.04</v>
      </c>
      <c r="AI17" s="781">
        <v>33.700000000000003</v>
      </c>
      <c r="AJ17" s="781">
        <v>24.51</v>
      </c>
      <c r="AK17" s="781">
        <v>20.350000000000001</v>
      </c>
      <c r="AL17" s="781">
        <v>28.02</v>
      </c>
      <c r="AM17" s="781">
        <v>57</v>
      </c>
      <c r="AN17" s="781">
        <v>70.650000000000006</v>
      </c>
      <c r="AO17" s="781">
        <v>54</v>
      </c>
      <c r="AP17" s="781">
        <v>22.3</v>
      </c>
      <c r="AQ17" s="782">
        <v>238.233</v>
      </c>
      <c r="AR17" s="411"/>
      <c r="AS17" s="411"/>
      <c r="AT17" s="411"/>
      <c r="AU17" s="411"/>
      <c r="AV17" s="411"/>
      <c r="AW17" s="394"/>
      <c r="AX17" s="775">
        <v>183.05500000000001</v>
      </c>
      <c r="AY17" s="776"/>
      <c r="AZ17" s="851">
        <v>0.79100000000000004</v>
      </c>
      <c r="BA17" s="853">
        <v>0.57399999999999995</v>
      </c>
      <c r="BB17" s="853">
        <v>0.69699999999999995</v>
      </c>
      <c r="BC17" s="853">
        <v>0.98299999999999998</v>
      </c>
      <c r="BD17" s="776"/>
      <c r="BE17" s="808"/>
      <c r="BF17" s="776"/>
      <c r="BG17" s="851">
        <v>0.79100000000000004</v>
      </c>
      <c r="BH17" s="853">
        <v>0.57399999999999995</v>
      </c>
      <c r="BI17" s="853">
        <v>0.69699999999999995</v>
      </c>
      <c r="BJ17" s="853">
        <v>0.98299999999999998</v>
      </c>
      <c r="BK17" s="776"/>
      <c r="BL17" s="834"/>
      <c r="BM17" s="776">
        <v>0.98</v>
      </c>
      <c r="BN17" s="777">
        <v>0.79100000000000004</v>
      </c>
      <c r="BO17" s="779">
        <v>0.57399999999999995</v>
      </c>
      <c r="BP17" s="779">
        <v>0.69699999999999995</v>
      </c>
      <c r="BQ17" s="779">
        <v>0.98299999999999998</v>
      </c>
      <c r="BR17" s="776">
        <v>0.98</v>
      </c>
      <c r="BS17" s="841"/>
      <c r="BT17" s="776">
        <v>0.98</v>
      </c>
      <c r="BU17" s="777">
        <v>0.79100000000000004</v>
      </c>
      <c r="BV17" s="779">
        <v>0.57399999999999995</v>
      </c>
      <c r="BW17" s="779">
        <v>0.69699999999999995</v>
      </c>
      <c r="BX17" s="779">
        <v>0.98299999999999998</v>
      </c>
      <c r="BY17" s="776">
        <v>0.98</v>
      </c>
      <c r="BZ17" s="774"/>
      <c r="CA17" s="776">
        <v>0.98</v>
      </c>
      <c r="CB17" s="777">
        <v>0.79100000000000004</v>
      </c>
      <c r="CC17" s="779">
        <v>0.57399999999999995</v>
      </c>
      <c r="CD17" s="779">
        <v>0.69699999999999995</v>
      </c>
      <c r="CE17" s="779">
        <v>0.98299999999999998</v>
      </c>
      <c r="CF17" s="776">
        <v>0.98</v>
      </c>
      <c r="CG17" s="834"/>
      <c r="CH17" s="776">
        <v>0.98</v>
      </c>
      <c r="CI17" s="777">
        <v>0.79100000000000004</v>
      </c>
      <c r="CJ17" s="779">
        <v>0.57399999999999995</v>
      </c>
      <c r="CK17" s="779">
        <v>0.69699999999999995</v>
      </c>
      <c r="CL17" s="779">
        <v>0.98299999999999998</v>
      </c>
      <c r="CM17" s="776">
        <v>0.98</v>
      </c>
      <c r="CN17" s="834"/>
      <c r="CO17" s="776">
        <v>0.98</v>
      </c>
      <c r="CP17" s="777">
        <v>0.79100000000000004</v>
      </c>
      <c r="CQ17" s="779">
        <v>0.57399999999999995</v>
      </c>
      <c r="CR17" s="779">
        <v>0.69699999999999995</v>
      </c>
      <c r="CS17" s="779">
        <v>0.98299999999999998</v>
      </c>
      <c r="CT17" s="776">
        <v>0.98</v>
      </c>
      <c r="CU17" s="414"/>
      <c r="CV17" s="776">
        <v>0.98</v>
      </c>
      <c r="CW17" s="777">
        <v>0.79100000000000004</v>
      </c>
      <c r="CX17" s="779">
        <v>0.57399999999999995</v>
      </c>
      <c r="CY17" s="779">
        <v>0.69699999999999995</v>
      </c>
      <c r="CZ17" s="779">
        <v>0.98299999999999998</v>
      </c>
      <c r="DA17" s="776">
        <v>0.98</v>
      </c>
      <c r="DB17" s="414"/>
      <c r="DC17" s="413"/>
      <c r="DD17" s="413"/>
      <c r="DE17" s="413"/>
      <c r="DF17" s="413"/>
      <c r="DG17" s="413"/>
      <c r="DH17" s="413"/>
      <c r="DI17" s="413"/>
      <c r="DJ17" s="413"/>
      <c r="DK17" s="413"/>
      <c r="DL17" s="413"/>
      <c r="DM17" s="413"/>
      <c r="DN17" s="394"/>
      <c r="DO17" s="411"/>
      <c r="DP17" s="411"/>
      <c r="DQ17" s="411"/>
      <c r="DR17" s="411"/>
      <c r="DS17" s="411"/>
      <c r="DU17" s="411"/>
      <c r="DW17" s="411"/>
      <c r="DX17" s="411"/>
      <c r="DZ17" s="411"/>
      <c r="EB17" s="411"/>
      <c r="EC17" s="411"/>
      <c r="ED17" s="411"/>
      <c r="EE17" s="411"/>
      <c r="EF17" s="411"/>
      <c r="EG17" s="411"/>
      <c r="EH17" s="411"/>
      <c r="EI17" s="411"/>
      <c r="EJ17" s="411"/>
      <c r="EK17" s="411"/>
      <c r="EL17" s="411"/>
      <c r="EM17" s="394"/>
      <c r="EN17" s="411"/>
      <c r="EO17" s="411"/>
      <c r="EP17" s="411"/>
      <c r="EQ17" s="411"/>
      <c r="ER17" s="411"/>
      <c r="ES17" s="394"/>
      <c r="ET17" s="411"/>
      <c r="EU17" s="394"/>
      <c r="EV17" s="411"/>
      <c r="EW17" s="411"/>
      <c r="EX17" s="394"/>
      <c r="EY17" s="411"/>
      <c r="EZ17" s="394"/>
      <c r="FA17" s="411"/>
      <c r="FB17" s="411"/>
      <c r="FC17" s="411"/>
      <c r="FD17" s="411"/>
      <c r="FE17" s="411"/>
      <c r="FF17" s="411"/>
      <c r="FG17" s="411"/>
      <c r="FH17" s="411"/>
      <c r="FI17" s="411"/>
      <c r="FJ17" s="411"/>
      <c r="FK17" s="411"/>
      <c r="FL17" s="394"/>
      <c r="FM17" s="411"/>
      <c r="FN17" s="411"/>
      <c r="FO17" s="411"/>
      <c r="FP17" s="411"/>
      <c r="FQ17" s="411"/>
      <c r="FS17" s="411"/>
      <c r="FU17" s="411"/>
      <c r="FV17" s="411"/>
      <c r="FX17" s="421"/>
      <c r="FZ17" s="411"/>
      <c r="GA17" s="411"/>
      <c r="GB17" s="411"/>
      <c r="GC17" s="411"/>
      <c r="GD17" s="411"/>
      <c r="GE17" s="411"/>
      <c r="GF17" s="411"/>
      <c r="GG17" s="411"/>
      <c r="GH17" s="411"/>
      <c r="GI17" s="411"/>
      <c r="GJ17" s="411"/>
      <c r="GL17" s="411"/>
      <c r="GM17" s="411"/>
      <c r="GN17" s="411"/>
      <c r="GO17" s="411"/>
      <c r="GP17" s="411"/>
      <c r="GR17" s="411"/>
      <c r="GT17" s="411"/>
      <c r="GU17" s="411"/>
      <c r="GW17" s="421"/>
      <c r="GY17" s="411"/>
      <c r="GZ17" s="411"/>
      <c r="HA17" s="411"/>
      <c r="HB17" s="411"/>
      <c r="HC17" s="411"/>
      <c r="HD17" s="411"/>
      <c r="HE17" s="411"/>
      <c r="HF17" s="411"/>
      <c r="HG17" s="411"/>
      <c r="HH17" s="411"/>
      <c r="HI17" s="411"/>
      <c r="HK17" s="411"/>
      <c r="HL17" s="411"/>
      <c r="HM17" s="411"/>
      <c r="HN17" s="411"/>
      <c r="HO17" s="411"/>
      <c r="HQ17" s="411"/>
      <c r="HS17" s="411"/>
      <c r="HT17" s="411"/>
      <c r="HV17" s="421"/>
      <c r="HX17" s="411"/>
      <c r="HY17" s="411"/>
      <c r="HZ17" s="411"/>
      <c r="IA17" s="411"/>
      <c r="IB17" s="411"/>
      <c r="IC17" s="411"/>
      <c r="ID17" s="411"/>
      <c r="IE17" s="411"/>
      <c r="IF17" s="411"/>
      <c r="IG17" s="411"/>
      <c r="IH17" s="411"/>
      <c r="II17" s="394"/>
      <c r="IJ17" s="411"/>
      <c r="IK17" s="411"/>
      <c r="IL17" s="411"/>
      <c r="IM17" s="411"/>
      <c r="IN17" s="411"/>
      <c r="IP17" s="411"/>
      <c r="IR17" s="411"/>
      <c r="IS17" s="411"/>
      <c r="IU17" s="411"/>
      <c r="IW17" s="411"/>
      <c r="IX17" s="411"/>
      <c r="IY17" s="411"/>
      <c r="IZ17" s="411"/>
      <c r="JA17" s="411"/>
      <c r="JB17" s="411"/>
      <c r="JC17" s="411"/>
      <c r="JD17" s="411"/>
      <c r="JE17" s="411"/>
      <c r="JF17" s="411"/>
      <c r="JG17" s="411"/>
    </row>
    <row r="18" spans="1:267" ht="12.75" customHeight="1" x14ac:dyDescent="0.3">
      <c r="A18" s="753" t="s">
        <v>930</v>
      </c>
      <c r="B18" s="757" t="s">
        <v>168</v>
      </c>
      <c r="C18" s="757" t="s">
        <v>30</v>
      </c>
      <c r="D18" s="757" t="s">
        <v>174</v>
      </c>
      <c r="E18" s="757" t="s">
        <v>351</v>
      </c>
      <c r="F18" s="757" t="s">
        <v>353</v>
      </c>
      <c r="G18" s="757">
        <v>3.02</v>
      </c>
      <c r="H18" s="757">
        <v>79</v>
      </c>
      <c r="I18" s="757">
        <v>238.6</v>
      </c>
      <c r="J18" s="757">
        <v>8</v>
      </c>
      <c r="K18" s="757">
        <v>6</v>
      </c>
      <c r="L18" s="757">
        <v>7</v>
      </c>
      <c r="M18" s="757">
        <v>187.5</v>
      </c>
      <c r="N18" s="757">
        <v>8.6E-3</v>
      </c>
      <c r="O18" s="757">
        <v>14</v>
      </c>
      <c r="P18" s="757">
        <v>16.5</v>
      </c>
      <c r="Q18" s="757" t="s">
        <v>355</v>
      </c>
      <c r="R18" s="406"/>
      <c r="S18" s="760">
        <v>449.99099999999999</v>
      </c>
      <c r="T18" s="760">
        <v>620.471</v>
      </c>
      <c r="U18" s="760">
        <v>301.64400000000001</v>
      </c>
      <c r="V18" s="760">
        <v>375.12400000000002</v>
      </c>
      <c r="W18" s="761">
        <v>895.08199999999999</v>
      </c>
      <c r="X18" s="419"/>
      <c r="Y18" s="775">
        <v>94.11</v>
      </c>
      <c r="Z18" s="776">
        <v>0.99</v>
      </c>
      <c r="AA18" s="777">
        <v>0.93300000000000005</v>
      </c>
      <c r="AB18" s="778">
        <v>0.79300000000000004</v>
      </c>
      <c r="AC18" s="778">
        <v>0.64500000000000002</v>
      </c>
      <c r="AD18" s="779">
        <v>0.99</v>
      </c>
      <c r="AE18" s="776">
        <v>0.99</v>
      </c>
      <c r="AF18" s="780">
        <v>30.77</v>
      </c>
      <c r="AG18" s="781">
        <v>49</v>
      </c>
      <c r="AH18" s="781">
        <v>31.72</v>
      </c>
      <c r="AI18" s="781">
        <v>35.049999999999997</v>
      </c>
      <c r="AJ18" s="781">
        <v>25.64</v>
      </c>
      <c r="AK18" s="781">
        <v>22.22</v>
      </c>
      <c r="AL18" s="781">
        <v>25.64</v>
      </c>
      <c r="AM18" s="781">
        <v>40</v>
      </c>
      <c r="AN18" s="781">
        <v>49</v>
      </c>
      <c r="AO18" s="781">
        <v>35.89</v>
      </c>
      <c r="AP18" s="781">
        <v>25.04</v>
      </c>
      <c r="AQ18" s="782">
        <v>193.08600000000001</v>
      </c>
      <c r="AR18" s="411"/>
      <c r="AS18" s="411"/>
      <c r="AT18" s="411"/>
      <c r="AU18" s="411"/>
      <c r="AV18" s="411"/>
      <c r="AW18" s="412"/>
      <c r="AX18" s="775">
        <v>94.11</v>
      </c>
      <c r="AY18" s="776"/>
      <c r="AZ18" s="851">
        <v>0.93300000000000005</v>
      </c>
      <c r="BA18" s="852">
        <v>0.79300000000000004</v>
      </c>
      <c r="BB18" s="852">
        <v>0.64500000000000002</v>
      </c>
      <c r="BC18" s="853">
        <v>0.99</v>
      </c>
      <c r="BD18" s="776"/>
      <c r="BE18" s="808"/>
      <c r="BF18" s="776"/>
      <c r="BG18" s="851">
        <v>0.93300000000000005</v>
      </c>
      <c r="BH18" s="852">
        <v>0.79300000000000004</v>
      </c>
      <c r="BI18" s="852">
        <v>0.64500000000000002</v>
      </c>
      <c r="BJ18" s="853">
        <v>0.99</v>
      </c>
      <c r="BK18" s="776"/>
      <c r="BL18" s="834"/>
      <c r="BM18" s="776">
        <v>0.99</v>
      </c>
      <c r="BN18" s="777">
        <v>0.93300000000000005</v>
      </c>
      <c r="BO18" s="778">
        <v>0.79300000000000004</v>
      </c>
      <c r="BP18" s="778">
        <v>0.64500000000000002</v>
      </c>
      <c r="BQ18" s="779">
        <v>0.99</v>
      </c>
      <c r="BR18" s="776">
        <v>0.99</v>
      </c>
      <c r="BS18" s="842"/>
      <c r="BT18" s="776">
        <v>0.99</v>
      </c>
      <c r="BU18" s="777">
        <v>0.93300000000000005</v>
      </c>
      <c r="BV18" s="778">
        <v>0.79300000000000004</v>
      </c>
      <c r="BW18" s="778">
        <v>0.64500000000000002</v>
      </c>
      <c r="BX18" s="779">
        <v>0.99</v>
      </c>
      <c r="BY18" s="776">
        <v>0.99</v>
      </c>
      <c r="BZ18" s="773"/>
      <c r="CA18" s="776">
        <v>0.99</v>
      </c>
      <c r="CB18" s="777">
        <v>0.93300000000000005</v>
      </c>
      <c r="CC18" s="778">
        <v>0.79300000000000004</v>
      </c>
      <c r="CD18" s="778">
        <v>0.64500000000000002</v>
      </c>
      <c r="CE18" s="779">
        <v>0.99</v>
      </c>
      <c r="CF18" s="776">
        <v>0.99</v>
      </c>
      <c r="CG18" s="834"/>
      <c r="CH18" s="776">
        <v>0.99</v>
      </c>
      <c r="CI18" s="777">
        <v>0.93300000000000005</v>
      </c>
      <c r="CJ18" s="778">
        <v>0.79300000000000004</v>
      </c>
      <c r="CK18" s="778">
        <v>0.64500000000000002</v>
      </c>
      <c r="CL18" s="779">
        <v>0.99</v>
      </c>
      <c r="CM18" s="776">
        <v>0.99</v>
      </c>
      <c r="CN18" s="834"/>
      <c r="CO18" s="776">
        <v>0.99</v>
      </c>
      <c r="CP18" s="777">
        <v>0.93300000000000005</v>
      </c>
      <c r="CQ18" s="778">
        <v>0.79300000000000004</v>
      </c>
      <c r="CR18" s="778">
        <v>0.64500000000000002</v>
      </c>
      <c r="CS18" s="779">
        <v>0.99</v>
      </c>
      <c r="CT18" s="776">
        <v>0.99</v>
      </c>
      <c r="CU18" s="394"/>
      <c r="CV18" s="776">
        <v>0.99</v>
      </c>
      <c r="CW18" s="777">
        <v>0.93300000000000005</v>
      </c>
      <c r="CX18" s="778">
        <v>0.79300000000000004</v>
      </c>
      <c r="CY18" s="778">
        <v>0.64500000000000002</v>
      </c>
      <c r="CZ18" s="779">
        <v>0.99</v>
      </c>
      <c r="DA18" s="776">
        <v>0.99</v>
      </c>
      <c r="DB18" s="394"/>
      <c r="DC18" s="411"/>
      <c r="DD18" s="411"/>
      <c r="DE18" s="411"/>
      <c r="DF18" s="411"/>
      <c r="DG18" s="411"/>
      <c r="DH18" s="411"/>
      <c r="DI18" s="411"/>
      <c r="DJ18" s="411"/>
      <c r="DK18" s="411"/>
      <c r="DL18" s="411"/>
      <c r="DM18" s="411"/>
      <c r="DN18" s="394"/>
      <c r="DO18" s="411"/>
      <c r="DP18" s="411"/>
      <c r="DQ18" s="411"/>
      <c r="DR18" s="411"/>
      <c r="DS18" s="411"/>
      <c r="DT18" s="412"/>
      <c r="DU18" s="411"/>
      <c r="DV18" s="412"/>
      <c r="DW18" s="411"/>
      <c r="DX18" s="411"/>
      <c r="DY18" s="412"/>
      <c r="DZ18" s="411"/>
      <c r="EA18" s="412"/>
      <c r="EB18" s="411"/>
      <c r="EC18" s="411"/>
      <c r="ED18" s="411"/>
      <c r="EE18" s="411"/>
      <c r="EF18" s="411"/>
      <c r="EG18" s="411"/>
      <c r="EH18" s="411"/>
      <c r="EI18" s="411"/>
      <c r="EJ18" s="411"/>
      <c r="EK18" s="411"/>
      <c r="EL18" s="411"/>
      <c r="EM18" s="394"/>
      <c r="EN18" s="411"/>
      <c r="EO18" s="411"/>
      <c r="EP18" s="411"/>
      <c r="EQ18" s="411"/>
      <c r="ER18" s="411"/>
      <c r="ES18" s="412"/>
      <c r="ET18" s="411"/>
      <c r="EU18" s="412"/>
      <c r="EV18" s="411"/>
      <c r="EW18" s="411"/>
      <c r="EX18" s="412"/>
      <c r="EY18" s="411"/>
      <c r="EZ18" s="412"/>
      <c r="FA18" s="411"/>
      <c r="FB18" s="411"/>
      <c r="FC18" s="411"/>
      <c r="FD18" s="411"/>
      <c r="FE18" s="411"/>
      <c r="FF18" s="411"/>
      <c r="FG18" s="411"/>
      <c r="FH18" s="411"/>
      <c r="FI18" s="411"/>
      <c r="FJ18" s="411"/>
      <c r="FK18" s="411"/>
      <c r="FL18" s="394"/>
      <c r="FM18" s="411"/>
      <c r="FN18" s="411"/>
      <c r="FO18" s="411"/>
      <c r="FP18" s="411"/>
      <c r="FQ18" s="411"/>
      <c r="FR18" s="412"/>
      <c r="FS18" s="411"/>
      <c r="FT18" s="412"/>
      <c r="FU18" s="411"/>
      <c r="FV18" s="411"/>
      <c r="FW18" s="412"/>
      <c r="FX18" s="411"/>
      <c r="FY18" s="412"/>
      <c r="FZ18" s="411"/>
      <c r="GA18" s="411"/>
      <c r="GB18" s="411"/>
      <c r="GC18" s="411"/>
      <c r="GD18" s="411"/>
      <c r="GE18" s="411"/>
      <c r="GF18" s="411"/>
      <c r="GG18" s="411"/>
      <c r="GH18" s="411"/>
      <c r="GI18" s="411"/>
      <c r="GJ18" s="411"/>
      <c r="GK18" s="394"/>
      <c r="GL18" s="411"/>
      <c r="GM18" s="411"/>
      <c r="GN18" s="411"/>
      <c r="GO18" s="411"/>
      <c r="GP18" s="411"/>
      <c r="GQ18" s="394"/>
      <c r="GR18" s="411"/>
      <c r="GS18" s="394"/>
      <c r="GT18" s="411"/>
      <c r="GU18" s="411"/>
      <c r="GV18" s="394"/>
      <c r="GW18" s="411"/>
      <c r="GX18" s="394"/>
      <c r="GY18" s="411"/>
      <c r="GZ18" s="411"/>
      <c r="HA18" s="411"/>
      <c r="HB18" s="411"/>
      <c r="HC18" s="411"/>
      <c r="HD18" s="411"/>
      <c r="HE18" s="411"/>
      <c r="HF18" s="411"/>
      <c r="HG18" s="411"/>
      <c r="HH18" s="411"/>
      <c r="HI18" s="411"/>
      <c r="HJ18" s="394"/>
      <c r="HK18" s="411"/>
      <c r="HL18" s="411"/>
      <c r="HM18" s="411"/>
      <c r="HN18" s="411"/>
      <c r="HO18" s="411"/>
      <c r="HQ18" s="411"/>
      <c r="HS18" s="411"/>
      <c r="HT18" s="411"/>
      <c r="HV18" s="411"/>
      <c r="HX18" s="411"/>
      <c r="HY18" s="411"/>
      <c r="HZ18" s="411"/>
      <c r="IA18" s="411"/>
      <c r="IB18" s="411"/>
      <c r="IC18" s="411"/>
      <c r="ID18" s="411"/>
      <c r="IE18" s="411"/>
      <c r="IF18" s="411"/>
      <c r="IG18" s="411"/>
      <c r="IH18" s="411"/>
      <c r="II18" s="394"/>
      <c r="IJ18" s="411"/>
      <c r="IK18" s="411"/>
      <c r="IL18" s="411"/>
      <c r="IM18" s="411"/>
      <c r="IN18" s="411"/>
      <c r="IP18" s="411"/>
      <c r="IR18" s="411"/>
      <c r="IS18" s="411"/>
      <c r="IU18" s="411"/>
      <c r="IW18" s="411"/>
      <c r="IX18" s="411"/>
      <c r="IY18" s="411"/>
      <c r="IZ18" s="411"/>
      <c r="JA18" s="411"/>
      <c r="JB18" s="411"/>
      <c r="JC18" s="411"/>
      <c r="JD18" s="411"/>
      <c r="JE18" s="411"/>
      <c r="JF18" s="411"/>
      <c r="JG18" s="411"/>
    </row>
    <row r="19" spans="1:267" ht="12.75" customHeight="1" x14ac:dyDescent="0.3">
      <c r="A19" s="753" t="s">
        <v>931</v>
      </c>
      <c r="B19" s="757" t="s">
        <v>168</v>
      </c>
      <c r="C19" s="757" t="s">
        <v>30</v>
      </c>
      <c r="D19" s="757" t="s">
        <v>168</v>
      </c>
      <c r="E19" s="757" t="s">
        <v>168</v>
      </c>
      <c r="F19" s="757" t="s">
        <v>168</v>
      </c>
      <c r="G19" s="757">
        <v>4.3600000000000003</v>
      </c>
      <c r="H19" s="757">
        <v>70</v>
      </c>
      <c r="I19" s="757">
        <v>305.2</v>
      </c>
      <c r="J19" s="757">
        <v>11</v>
      </c>
      <c r="K19" s="757">
        <v>8</v>
      </c>
      <c r="L19" s="757">
        <v>14</v>
      </c>
      <c r="M19" s="757">
        <v>226.02</v>
      </c>
      <c r="N19" s="757">
        <v>0.01</v>
      </c>
      <c r="O19" s="757">
        <v>13</v>
      </c>
      <c r="P19" s="757">
        <v>22.5</v>
      </c>
      <c r="Q19" s="757" t="s">
        <v>355</v>
      </c>
      <c r="S19" s="764">
        <v>438.63799999999998</v>
      </c>
      <c r="T19" s="760">
        <v>651.21900000000005</v>
      </c>
      <c r="U19" s="760">
        <v>301.78500000000003</v>
      </c>
      <c r="V19" s="760">
        <v>704.48800000000006</v>
      </c>
      <c r="W19" s="760">
        <v>575.95799999999997</v>
      </c>
      <c r="X19" s="415"/>
      <c r="Y19" s="775">
        <v>60.039000000000001</v>
      </c>
      <c r="Z19" s="776">
        <v>0.99</v>
      </c>
      <c r="AA19" s="777">
        <v>0.83699999999999997</v>
      </c>
      <c r="AB19" s="785">
        <v>0.77</v>
      </c>
      <c r="AC19" s="785">
        <v>0.77</v>
      </c>
      <c r="AD19" s="779">
        <v>1.0269999999999999</v>
      </c>
      <c r="AE19" s="776">
        <v>0.98</v>
      </c>
      <c r="AF19" s="780">
        <v>22.92</v>
      </c>
      <c r="AG19" s="781">
        <v>55</v>
      </c>
      <c r="AH19" s="781">
        <v>30.56</v>
      </c>
      <c r="AI19" s="781">
        <v>26.74</v>
      </c>
      <c r="AJ19" s="781">
        <v>30.56</v>
      </c>
      <c r="AK19" s="781">
        <v>21.01</v>
      </c>
      <c r="AL19" s="781">
        <v>15.28</v>
      </c>
      <c r="AM19" s="781">
        <v>40.11</v>
      </c>
      <c r="AN19" s="781">
        <v>48.712000000000003</v>
      </c>
      <c r="AO19" s="781">
        <v>36.29</v>
      </c>
      <c r="AP19" s="781">
        <v>15.28</v>
      </c>
      <c r="AQ19" s="782">
        <v>205.292</v>
      </c>
      <c r="AR19" s="411"/>
      <c r="AS19" s="411"/>
      <c r="AT19" s="411"/>
      <c r="AU19" s="411"/>
      <c r="AV19" s="411"/>
      <c r="AW19" s="412"/>
      <c r="AX19" s="775">
        <v>60.039000000000001</v>
      </c>
      <c r="AY19" s="776"/>
      <c r="AZ19" s="851">
        <v>0.83699999999999997</v>
      </c>
      <c r="BA19" s="858">
        <v>0.77</v>
      </c>
      <c r="BB19" s="858">
        <v>0.77</v>
      </c>
      <c r="BC19" s="853">
        <v>1.0269999999999999</v>
      </c>
      <c r="BD19" s="776"/>
      <c r="BE19" s="808"/>
      <c r="BF19" s="776"/>
      <c r="BG19" s="851">
        <v>0.83699999999999997</v>
      </c>
      <c r="BH19" s="858">
        <v>0.77</v>
      </c>
      <c r="BI19" s="858">
        <v>0.77</v>
      </c>
      <c r="BJ19" s="853">
        <v>1.0269999999999999</v>
      </c>
      <c r="BK19" s="776"/>
      <c r="BL19" s="834"/>
      <c r="BM19" s="776">
        <v>0.99</v>
      </c>
      <c r="BN19" s="777">
        <v>0.83699999999999997</v>
      </c>
      <c r="BO19" s="785">
        <v>0.77</v>
      </c>
      <c r="BP19" s="785">
        <v>0.77</v>
      </c>
      <c r="BQ19" s="779">
        <v>1.0269999999999999</v>
      </c>
      <c r="BR19" s="776">
        <v>0.98</v>
      </c>
      <c r="BS19" s="842"/>
      <c r="BT19" s="776">
        <v>0.99</v>
      </c>
      <c r="BU19" s="777">
        <v>0.83699999999999997</v>
      </c>
      <c r="BV19" s="785">
        <v>0.77</v>
      </c>
      <c r="BW19" s="785">
        <v>0.77</v>
      </c>
      <c r="BX19" s="779">
        <v>1.0269999999999999</v>
      </c>
      <c r="BY19" s="776">
        <v>0.98</v>
      </c>
      <c r="BZ19" s="774"/>
      <c r="CA19" s="776">
        <v>0.99</v>
      </c>
      <c r="CB19" s="777">
        <v>0.83699999999999997</v>
      </c>
      <c r="CC19" s="785">
        <v>0.77</v>
      </c>
      <c r="CD19" s="785">
        <v>0.77</v>
      </c>
      <c r="CE19" s="779">
        <v>1.0269999999999999</v>
      </c>
      <c r="CF19" s="776">
        <v>0.98</v>
      </c>
      <c r="CG19" s="834"/>
      <c r="CH19" s="776">
        <v>0.99</v>
      </c>
      <c r="CI19" s="777">
        <v>0.83699999999999997</v>
      </c>
      <c r="CJ19" s="785">
        <v>0.77</v>
      </c>
      <c r="CK19" s="785">
        <v>0.77</v>
      </c>
      <c r="CL19" s="779">
        <v>1.0269999999999999</v>
      </c>
      <c r="CM19" s="776">
        <v>0.98</v>
      </c>
      <c r="CN19" s="834"/>
      <c r="CO19" s="776">
        <v>0.99</v>
      </c>
      <c r="CP19" s="777">
        <v>0.83699999999999997</v>
      </c>
      <c r="CQ19" s="785">
        <v>0.77</v>
      </c>
      <c r="CR19" s="785">
        <v>0.77</v>
      </c>
      <c r="CS19" s="779">
        <v>1.0269999999999999</v>
      </c>
      <c r="CT19" s="776">
        <v>0.98</v>
      </c>
      <c r="CU19" s="394"/>
      <c r="CV19" s="776">
        <v>0.99</v>
      </c>
      <c r="CW19" s="777">
        <v>0.83699999999999997</v>
      </c>
      <c r="CX19" s="785">
        <v>0.77</v>
      </c>
      <c r="CY19" s="785">
        <v>0.77</v>
      </c>
      <c r="CZ19" s="779">
        <v>1.0269999999999999</v>
      </c>
      <c r="DA19" s="776">
        <v>0.98</v>
      </c>
      <c r="DB19" s="394"/>
      <c r="DC19" s="411"/>
      <c r="DD19" s="411"/>
      <c r="DE19" s="411"/>
      <c r="DF19" s="411"/>
      <c r="DG19" s="411"/>
      <c r="DH19" s="411"/>
      <c r="DI19" s="411"/>
      <c r="DJ19" s="411"/>
      <c r="DK19" s="411"/>
      <c r="DL19" s="411"/>
      <c r="DM19" s="411"/>
      <c r="DN19" s="394"/>
      <c r="DO19" s="411"/>
      <c r="DP19" s="411"/>
      <c r="DQ19" s="411"/>
      <c r="DR19" s="411"/>
      <c r="DS19" s="411"/>
      <c r="DU19" s="411"/>
      <c r="DW19" s="411"/>
      <c r="DX19" s="411"/>
      <c r="DZ19" s="411"/>
      <c r="EB19" s="411"/>
      <c r="EC19" s="411"/>
      <c r="ED19" s="411"/>
      <c r="EE19" s="411"/>
      <c r="EF19" s="411"/>
      <c r="EG19" s="411"/>
      <c r="EH19" s="411"/>
      <c r="EI19" s="411"/>
      <c r="EJ19" s="411"/>
      <c r="EK19" s="411"/>
      <c r="EL19" s="411"/>
      <c r="EM19" s="394"/>
      <c r="EN19" s="411"/>
      <c r="EO19" s="411"/>
      <c r="EP19" s="411"/>
      <c r="EQ19" s="411"/>
      <c r="ER19" s="411"/>
      <c r="ES19" s="394"/>
      <c r="ET19" s="411"/>
      <c r="EU19" s="394"/>
      <c r="EV19" s="411"/>
      <c r="EW19" s="411"/>
      <c r="EX19" s="394"/>
      <c r="EY19" s="411"/>
      <c r="EZ19" s="394"/>
      <c r="FA19" s="411"/>
      <c r="FB19" s="411"/>
      <c r="FC19" s="411"/>
      <c r="FD19" s="411"/>
      <c r="FE19" s="411"/>
      <c r="FF19" s="411"/>
      <c r="FG19" s="411"/>
      <c r="FH19" s="411"/>
      <c r="FI19" s="411"/>
      <c r="FJ19" s="411"/>
      <c r="FK19" s="411"/>
      <c r="FL19" s="394"/>
      <c r="FM19" s="411"/>
      <c r="FN19" s="411"/>
      <c r="FO19" s="411"/>
      <c r="FP19" s="411"/>
      <c r="FQ19" s="411"/>
      <c r="FR19" s="394"/>
      <c r="FS19" s="411"/>
      <c r="FT19" s="394"/>
      <c r="FU19" s="411"/>
      <c r="FV19" s="411"/>
      <c r="FW19" s="394"/>
      <c r="FX19" s="411"/>
      <c r="FY19" s="394"/>
      <c r="FZ19" s="411"/>
      <c r="GA19" s="411"/>
      <c r="GB19" s="411"/>
      <c r="GC19" s="411"/>
      <c r="GD19" s="411"/>
      <c r="GE19" s="411"/>
      <c r="GF19" s="411"/>
      <c r="GG19" s="411"/>
      <c r="GH19" s="411"/>
      <c r="GI19" s="411"/>
      <c r="GJ19" s="411"/>
      <c r="GK19" s="394"/>
      <c r="GL19" s="411"/>
      <c r="GM19" s="411"/>
      <c r="GN19" s="411"/>
      <c r="GO19" s="411"/>
      <c r="GP19" s="411"/>
      <c r="GQ19" s="394"/>
      <c r="GR19" s="411"/>
      <c r="GS19" s="394"/>
      <c r="GT19" s="411"/>
      <c r="GU19" s="411"/>
      <c r="GV19" s="394"/>
      <c r="GW19" s="411"/>
      <c r="GX19" s="394"/>
      <c r="GY19" s="411"/>
      <c r="GZ19" s="411"/>
      <c r="HA19" s="411"/>
      <c r="HB19" s="411"/>
      <c r="HC19" s="411"/>
      <c r="HD19" s="411"/>
      <c r="HE19" s="411"/>
      <c r="HF19" s="411"/>
      <c r="HG19" s="411"/>
      <c r="HH19" s="411"/>
      <c r="HI19" s="411"/>
      <c r="HJ19" s="394"/>
      <c r="HK19" s="411"/>
      <c r="HL19" s="411"/>
      <c r="HM19" s="411"/>
      <c r="HN19" s="411"/>
      <c r="HO19" s="411"/>
      <c r="HP19" s="394"/>
      <c r="HQ19" s="411"/>
      <c r="HR19" s="394"/>
      <c r="HS19" s="411"/>
      <c r="HT19" s="411"/>
      <c r="HU19" s="394"/>
      <c r="HV19" s="411"/>
      <c r="HW19" s="394"/>
      <c r="HX19" s="411"/>
      <c r="HY19" s="411"/>
      <c r="HZ19" s="411"/>
      <c r="IA19" s="411"/>
      <c r="IB19" s="411"/>
      <c r="IC19" s="411"/>
      <c r="ID19" s="411"/>
      <c r="IE19" s="411"/>
      <c r="IF19" s="411"/>
      <c r="IG19" s="411"/>
      <c r="IH19" s="411"/>
      <c r="II19" s="394"/>
      <c r="IJ19" s="411"/>
      <c r="IK19" s="411"/>
      <c r="IL19" s="411"/>
      <c r="IM19" s="411"/>
      <c r="IN19" s="411"/>
      <c r="IP19" s="411"/>
      <c r="IR19" s="411"/>
      <c r="IS19" s="411"/>
      <c r="IU19" s="411"/>
      <c r="IW19" s="411"/>
      <c r="IX19" s="411"/>
      <c r="IY19" s="411"/>
      <c r="IZ19" s="411"/>
      <c r="JA19" s="411"/>
      <c r="JB19" s="411"/>
      <c r="JC19" s="411"/>
      <c r="JD19" s="411"/>
      <c r="JE19" s="411"/>
      <c r="JF19" s="411"/>
      <c r="JG19" s="411"/>
    </row>
    <row r="20" spans="1:267" ht="12.75" customHeight="1" x14ac:dyDescent="0.3">
      <c r="A20" s="754" t="s">
        <v>932</v>
      </c>
      <c r="B20" s="757" t="s">
        <v>355</v>
      </c>
      <c r="C20" s="757" t="s">
        <v>693</v>
      </c>
      <c r="D20" s="757" t="s">
        <v>168</v>
      </c>
      <c r="E20" s="757" t="s">
        <v>168</v>
      </c>
      <c r="F20" s="757" t="s">
        <v>168</v>
      </c>
      <c r="G20" s="757">
        <v>4.5579999999999998</v>
      </c>
      <c r="H20" s="757">
        <v>67</v>
      </c>
      <c r="I20" s="757">
        <v>305.39999999999998</v>
      </c>
      <c r="J20" s="757">
        <v>13</v>
      </c>
      <c r="K20" s="757">
        <v>11</v>
      </c>
      <c r="L20" s="757">
        <v>8</v>
      </c>
      <c r="M20" s="757">
        <v>196.33</v>
      </c>
      <c r="N20" s="757">
        <v>1.3599999999999999E-2</v>
      </c>
      <c r="O20" s="757">
        <v>16</v>
      </c>
      <c r="P20" s="757">
        <v>18.5</v>
      </c>
      <c r="Q20" s="757" t="s">
        <v>30</v>
      </c>
      <c r="S20" s="766">
        <v>270.66699999999997</v>
      </c>
      <c r="T20" s="766">
        <v>589.928</v>
      </c>
      <c r="U20" s="766">
        <v>634.048</v>
      </c>
      <c r="V20" s="766">
        <v>688.38800000000003</v>
      </c>
      <c r="W20" s="766">
        <v>501.78800000000001</v>
      </c>
      <c r="X20" s="415"/>
      <c r="Y20" s="775">
        <v>121.833</v>
      </c>
      <c r="Z20" s="776">
        <v>0.97</v>
      </c>
      <c r="AA20" s="777">
        <v>0.84799999999999998</v>
      </c>
      <c r="AB20" s="779">
        <v>0.61499999999999999</v>
      </c>
      <c r="AC20" s="779">
        <v>0.9</v>
      </c>
      <c r="AD20" s="779">
        <v>0.97499999999999998</v>
      </c>
      <c r="AE20" s="776">
        <v>0.97</v>
      </c>
      <c r="AF20" s="786">
        <v>32.5</v>
      </c>
      <c r="AG20" s="787">
        <v>38.5</v>
      </c>
      <c r="AH20" s="787">
        <v>22.35</v>
      </c>
      <c r="AI20" s="787">
        <v>26</v>
      </c>
      <c r="AJ20" s="787">
        <v>25.26</v>
      </c>
      <c r="AK20" s="787">
        <v>25.26</v>
      </c>
      <c r="AL20" s="787">
        <v>34</v>
      </c>
      <c r="AM20" s="787">
        <v>30.73</v>
      </c>
      <c r="AN20" s="787">
        <v>53.2</v>
      </c>
      <c r="AO20" s="787">
        <v>24.95</v>
      </c>
      <c r="AP20" s="787">
        <v>23.45</v>
      </c>
      <c r="AQ20" s="782">
        <v>213.14500000000001</v>
      </c>
      <c r="AR20" s="411"/>
      <c r="AS20" s="411"/>
      <c r="AT20" s="411"/>
      <c r="AU20" s="411"/>
      <c r="AV20" s="411"/>
      <c r="AW20" s="396"/>
      <c r="AX20" s="775">
        <v>121.833</v>
      </c>
      <c r="AY20" s="776"/>
      <c r="AZ20" s="851">
        <v>0.84799999999999998</v>
      </c>
      <c r="BA20" s="853">
        <v>0.61499999999999999</v>
      </c>
      <c r="BB20" s="853">
        <v>0.9</v>
      </c>
      <c r="BC20" s="853">
        <v>0.97499999999999998</v>
      </c>
      <c r="BD20" s="776"/>
      <c r="BE20" s="808"/>
      <c r="BF20" s="776"/>
      <c r="BG20" s="851">
        <v>0.84799999999999998</v>
      </c>
      <c r="BH20" s="853">
        <v>0.61499999999999999</v>
      </c>
      <c r="BI20" s="853">
        <v>0.9</v>
      </c>
      <c r="BJ20" s="853">
        <v>0.97499999999999998</v>
      </c>
      <c r="BK20" s="776"/>
      <c r="BL20" s="834"/>
      <c r="BM20" s="776">
        <v>0.97</v>
      </c>
      <c r="BN20" s="777">
        <v>0.84799999999999998</v>
      </c>
      <c r="BO20" s="779">
        <v>0.61499999999999999</v>
      </c>
      <c r="BP20" s="779">
        <v>0.9</v>
      </c>
      <c r="BQ20" s="779">
        <v>0.97499999999999998</v>
      </c>
      <c r="BR20" s="776">
        <v>0.97</v>
      </c>
      <c r="BS20" s="842"/>
      <c r="BT20" s="776">
        <v>0.97</v>
      </c>
      <c r="BU20" s="777">
        <v>0.84799999999999998</v>
      </c>
      <c r="BV20" s="779">
        <v>0.61499999999999999</v>
      </c>
      <c r="BW20" s="779">
        <v>0.9</v>
      </c>
      <c r="BX20" s="779">
        <v>0.97499999999999998</v>
      </c>
      <c r="BY20" s="776">
        <v>0.97</v>
      </c>
      <c r="BZ20" s="774"/>
      <c r="CA20" s="776">
        <v>0.97</v>
      </c>
      <c r="CB20" s="777">
        <v>0.84799999999999998</v>
      </c>
      <c r="CC20" s="779">
        <v>0.61499999999999999</v>
      </c>
      <c r="CD20" s="779">
        <v>0.9</v>
      </c>
      <c r="CE20" s="779">
        <v>0.97499999999999998</v>
      </c>
      <c r="CF20" s="776">
        <v>0.97</v>
      </c>
      <c r="CG20" s="834"/>
      <c r="CH20" s="776">
        <v>0.97</v>
      </c>
      <c r="CI20" s="777">
        <v>0.84799999999999998</v>
      </c>
      <c r="CJ20" s="779">
        <v>0.61499999999999999</v>
      </c>
      <c r="CK20" s="779">
        <v>0.9</v>
      </c>
      <c r="CL20" s="779">
        <v>0.97499999999999998</v>
      </c>
      <c r="CM20" s="776">
        <v>0.97</v>
      </c>
      <c r="CN20" s="834"/>
      <c r="CO20" s="776">
        <v>0.97</v>
      </c>
      <c r="CP20" s="777">
        <v>0.84799999999999998</v>
      </c>
      <c r="CQ20" s="779">
        <v>0.61499999999999999</v>
      </c>
      <c r="CR20" s="779">
        <v>0.9</v>
      </c>
      <c r="CS20" s="779">
        <v>0.97499999999999998</v>
      </c>
      <c r="CT20" s="776">
        <v>0.97</v>
      </c>
      <c r="CV20" s="776">
        <v>0.97</v>
      </c>
      <c r="CW20" s="777">
        <v>0.84799999999999998</v>
      </c>
      <c r="CX20" s="779">
        <v>0.61499999999999999</v>
      </c>
      <c r="CY20" s="779">
        <v>0.9</v>
      </c>
      <c r="CZ20" s="779">
        <v>0.97499999999999998</v>
      </c>
      <c r="DA20" s="776">
        <v>0.97</v>
      </c>
      <c r="DB20" s="396"/>
      <c r="DC20" s="411"/>
      <c r="DD20" s="411"/>
      <c r="DE20" s="411"/>
      <c r="DF20" s="411"/>
      <c r="DG20" s="411"/>
      <c r="DH20" s="411"/>
      <c r="DI20" s="411"/>
      <c r="DJ20" s="411"/>
      <c r="DK20" s="411"/>
      <c r="DL20" s="411"/>
      <c r="DM20" s="411"/>
      <c r="DN20" s="394"/>
      <c r="DO20" s="411"/>
      <c r="DP20" s="411"/>
      <c r="DQ20" s="411"/>
      <c r="DR20" s="411"/>
      <c r="DS20" s="411"/>
      <c r="DT20" s="394"/>
      <c r="DU20" s="411"/>
      <c r="DV20" s="394"/>
      <c r="DW20" s="411"/>
      <c r="DX20" s="411"/>
      <c r="DY20" s="394"/>
      <c r="DZ20" s="411"/>
      <c r="EA20" s="394"/>
      <c r="EB20" s="411"/>
      <c r="EC20" s="411"/>
      <c r="ED20" s="411"/>
      <c r="EE20" s="411"/>
      <c r="EF20" s="411"/>
      <c r="EG20" s="411"/>
      <c r="EH20" s="411"/>
      <c r="EI20" s="411"/>
      <c r="EJ20" s="411"/>
      <c r="EK20" s="411"/>
      <c r="EL20" s="411"/>
      <c r="EM20" s="394"/>
      <c r="EN20" s="411"/>
      <c r="EO20" s="411"/>
      <c r="EP20" s="411"/>
      <c r="EQ20" s="411"/>
      <c r="ER20" s="411"/>
      <c r="ES20" s="394"/>
      <c r="ET20" s="411"/>
      <c r="EU20" s="394"/>
      <c r="EV20" s="411"/>
      <c r="EW20" s="411"/>
      <c r="EX20" s="394"/>
      <c r="EY20" s="411"/>
      <c r="EZ20" s="394"/>
      <c r="FA20" s="411"/>
      <c r="FB20" s="411"/>
      <c r="FC20" s="411"/>
      <c r="FD20" s="411"/>
      <c r="FE20" s="411"/>
      <c r="FF20" s="411"/>
      <c r="FG20" s="411"/>
      <c r="FH20" s="411"/>
      <c r="FI20" s="411"/>
      <c r="FJ20" s="411"/>
      <c r="FK20" s="411"/>
      <c r="FL20" s="394"/>
      <c r="FM20" s="411"/>
      <c r="FN20" s="411"/>
      <c r="FO20" s="411"/>
      <c r="FP20" s="411"/>
      <c r="FQ20" s="411"/>
      <c r="FR20" s="394"/>
      <c r="FS20" s="411"/>
      <c r="FT20" s="394"/>
      <c r="FU20" s="411"/>
      <c r="FV20" s="411"/>
      <c r="FW20" s="394"/>
      <c r="FX20" s="411"/>
      <c r="FY20" s="394"/>
      <c r="FZ20" s="411"/>
      <c r="GA20" s="411"/>
      <c r="GB20" s="411"/>
      <c r="GC20" s="411"/>
      <c r="GD20" s="411"/>
      <c r="GE20" s="411"/>
      <c r="GF20" s="411"/>
      <c r="GG20" s="411"/>
      <c r="GH20" s="411"/>
      <c r="GI20" s="411"/>
      <c r="GJ20" s="411"/>
      <c r="GK20" s="394"/>
      <c r="GL20" s="411"/>
      <c r="GM20" s="411"/>
      <c r="GN20" s="411"/>
      <c r="GO20" s="411"/>
      <c r="GP20" s="411"/>
      <c r="GQ20" s="394"/>
      <c r="GR20" s="411"/>
      <c r="GS20" s="394"/>
      <c r="GT20" s="411"/>
      <c r="GU20" s="411"/>
      <c r="GV20" s="394"/>
      <c r="GW20" s="411"/>
      <c r="GX20" s="394"/>
      <c r="GY20" s="411"/>
      <c r="GZ20" s="411"/>
      <c r="HA20" s="411"/>
      <c r="HB20" s="411"/>
      <c r="HC20" s="411"/>
      <c r="HD20" s="411"/>
      <c r="HE20" s="411"/>
      <c r="HF20" s="411"/>
      <c r="HG20" s="411"/>
      <c r="HH20" s="411"/>
      <c r="HI20" s="411"/>
      <c r="HJ20" s="394"/>
      <c r="HK20" s="411"/>
      <c r="HL20" s="411"/>
      <c r="HM20" s="411"/>
      <c r="HN20" s="411"/>
      <c r="HO20" s="411"/>
      <c r="HP20" s="394"/>
      <c r="HQ20" s="411"/>
      <c r="HR20" s="394"/>
      <c r="HS20" s="411"/>
      <c r="HT20" s="411"/>
      <c r="HU20" s="394"/>
      <c r="HV20" s="411"/>
      <c r="HW20" s="394"/>
      <c r="HX20" s="411"/>
      <c r="HY20" s="411"/>
      <c r="HZ20" s="411"/>
      <c r="IA20" s="411"/>
      <c r="IB20" s="411"/>
      <c r="IC20" s="411"/>
      <c r="ID20" s="411"/>
      <c r="IE20" s="411"/>
      <c r="IF20" s="411"/>
      <c r="IG20" s="411"/>
      <c r="IH20" s="411"/>
      <c r="II20" s="394"/>
      <c r="IJ20" s="411"/>
      <c r="IK20" s="411"/>
      <c r="IL20" s="411"/>
      <c r="IM20" s="411"/>
      <c r="IN20" s="411"/>
      <c r="IP20" s="411"/>
      <c r="IR20" s="411"/>
      <c r="IS20" s="411"/>
      <c r="IU20" s="411"/>
      <c r="IW20" s="411"/>
      <c r="IX20" s="411"/>
      <c r="IY20" s="411"/>
      <c r="IZ20" s="411"/>
      <c r="JA20" s="411"/>
      <c r="JB20" s="411"/>
      <c r="JC20" s="411"/>
      <c r="JD20" s="411"/>
      <c r="JE20" s="411"/>
      <c r="JF20" s="411"/>
      <c r="JG20" s="411"/>
    </row>
    <row r="21" spans="1:267" ht="12.75" customHeight="1" x14ac:dyDescent="0.3">
      <c r="A21" s="752" t="s">
        <v>933</v>
      </c>
      <c r="B21" s="757" t="s">
        <v>168</v>
      </c>
      <c r="C21" s="757" t="s">
        <v>174</v>
      </c>
      <c r="D21" s="757" t="s">
        <v>168</v>
      </c>
      <c r="E21" s="757" t="s">
        <v>355</v>
      </c>
      <c r="F21" s="757" t="s">
        <v>904</v>
      </c>
      <c r="G21" s="757">
        <v>4.1680000000000001</v>
      </c>
      <c r="H21" s="757">
        <v>74</v>
      </c>
      <c r="I21" s="757">
        <v>308.39999999999998</v>
      </c>
      <c r="J21" s="757">
        <v>8</v>
      </c>
      <c r="K21" s="757">
        <v>15</v>
      </c>
      <c r="L21" s="757">
        <v>7</v>
      </c>
      <c r="M21" s="757">
        <v>216.89</v>
      </c>
      <c r="N21" s="757">
        <v>1.39772E-2</v>
      </c>
      <c r="O21" s="757">
        <v>15</v>
      </c>
      <c r="P21" s="757">
        <v>13</v>
      </c>
      <c r="Q21" s="757" t="s">
        <v>904</v>
      </c>
      <c r="S21" s="764">
        <v>641.923</v>
      </c>
      <c r="T21" s="760">
        <v>384.78699999999998</v>
      </c>
      <c r="U21" s="760">
        <v>525.202</v>
      </c>
      <c r="V21" s="760">
        <v>766.23800000000006</v>
      </c>
      <c r="W21" s="760">
        <v>501.05700000000002</v>
      </c>
      <c r="X21" s="415"/>
      <c r="Y21" s="775">
        <v>138.04900000000001</v>
      </c>
      <c r="Z21" s="776">
        <v>0.99</v>
      </c>
      <c r="AA21" s="777">
        <v>0.82499999999999996</v>
      </c>
      <c r="AB21" s="779">
        <v>0.69</v>
      </c>
      <c r="AC21" s="779">
        <v>1.2</v>
      </c>
      <c r="AD21" s="779">
        <v>1.091</v>
      </c>
      <c r="AE21" s="776">
        <v>0.99</v>
      </c>
      <c r="AF21" s="788">
        <v>32.29</v>
      </c>
      <c r="AG21" s="788">
        <v>32.29</v>
      </c>
      <c r="AH21" s="788">
        <v>24.95</v>
      </c>
      <c r="AI21" s="788">
        <v>23.48</v>
      </c>
      <c r="AJ21" s="788">
        <v>24.95</v>
      </c>
      <c r="AK21" s="788">
        <v>30.82</v>
      </c>
      <c r="AL21" s="788">
        <v>27.89</v>
      </c>
      <c r="AM21" s="788">
        <v>36.700000000000003</v>
      </c>
      <c r="AN21" s="788">
        <v>23.48</v>
      </c>
      <c r="AO21" s="788">
        <v>41.1</v>
      </c>
      <c r="AP21" s="788">
        <v>20.55</v>
      </c>
      <c r="AQ21" s="782">
        <v>210.69900000000001</v>
      </c>
      <c r="AR21" s="411"/>
      <c r="AS21" s="411"/>
      <c r="AT21" s="411"/>
      <c r="AU21" s="411"/>
      <c r="AV21" s="411"/>
      <c r="AW21" s="394"/>
      <c r="AX21" s="775">
        <v>138.04900000000001</v>
      </c>
      <c r="AY21" s="776"/>
      <c r="AZ21" s="851">
        <v>0.82499999999999996</v>
      </c>
      <c r="BA21" s="853">
        <v>0.69</v>
      </c>
      <c r="BB21" s="853">
        <v>1.2</v>
      </c>
      <c r="BC21" s="853">
        <v>1.091</v>
      </c>
      <c r="BD21" s="776"/>
      <c r="BE21" s="829"/>
      <c r="BF21" s="776"/>
      <c r="BG21" s="851">
        <v>0.82499999999999996</v>
      </c>
      <c r="BH21" s="853">
        <v>0.69</v>
      </c>
      <c r="BI21" s="853">
        <v>1.2</v>
      </c>
      <c r="BJ21" s="853">
        <v>1.091</v>
      </c>
      <c r="BK21" s="776"/>
      <c r="BL21" s="829"/>
      <c r="BM21" s="776">
        <v>0.99</v>
      </c>
      <c r="BN21" s="777">
        <v>0.82499999999999996</v>
      </c>
      <c r="BO21" s="779">
        <v>0.69</v>
      </c>
      <c r="BP21" s="779">
        <v>1.2</v>
      </c>
      <c r="BQ21" s="779">
        <v>1.091</v>
      </c>
      <c r="BR21" s="776">
        <v>0.99</v>
      </c>
      <c r="BS21" s="842"/>
      <c r="BT21" s="776">
        <v>0.99</v>
      </c>
      <c r="BU21" s="777">
        <v>0.82499999999999996</v>
      </c>
      <c r="BV21" s="779">
        <v>0.69</v>
      </c>
      <c r="BW21" s="779">
        <v>1.2</v>
      </c>
      <c r="BX21" s="779">
        <v>1.091</v>
      </c>
      <c r="BY21" s="776">
        <v>0.99</v>
      </c>
      <c r="BZ21" s="774"/>
      <c r="CA21" s="776">
        <v>0.99</v>
      </c>
      <c r="CB21" s="777">
        <v>0.82499999999999996</v>
      </c>
      <c r="CC21" s="779">
        <v>0.69</v>
      </c>
      <c r="CD21" s="779">
        <v>1.2</v>
      </c>
      <c r="CE21" s="779">
        <v>1.091</v>
      </c>
      <c r="CF21" s="776">
        <v>0.99</v>
      </c>
      <c r="CG21" s="829"/>
      <c r="CH21" s="776">
        <v>0.99</v>
      </c>
      <c r="CI21" s="777">
        <v>0.82499999999999996</v>
      </c>
      <c r="CJ21" s="779">
        <v>0.69</v>
      </c>
      <c r="CK21" s="779">
        <v>1.2</v>
      </c>
      <c r="CL21" s="779">
        <v>1.091</v>
      </c>
      <c r="CM21" s="776">
        <v>0.99</v>
      </c>
      <c r="CN21" s="829"/>
      <c r="CO21" s="776">
        <v>0.99</v>
      </c>
      <c r="CP21" s="777">
        <v>0.82499999999999996</v>
      </c>
      <c r="CQ21" s="779">
        <v>0.69</v>
      </c>
      <c r="CR21" s="779">
        <v>1.2</v>
      </c>
      <c r="CS21" s="779">
        <v>1.091</v>
      </c>
      <c r="CT21" s="776">
        <v>0.99</v>
      </c>
      <c r="CU21" s="394"/>
      <c r="CV21" s="776">
        <v>0.99</v>
      </c>
      <c r="CW21" s="777">
        <v>0.82499999999999996</v>
      </c>
      <c r="CX21" s="779">
        <v>0.69</v>
      </c>
      <c r="CY21" s="779">
        <v>1.2</v>
      </c>
      <c r="CZ21" s="779">
        <v>1.091</v>
      </c>
      <c r="DA21" s="776">
        <v>0.99</v>
      </c>
      <c r="DB21" s="394"/>
      <c r="DC21" s="411"/>
      <c r="DD21" s="411"/>
      <c r="DE21" s="411"/>
      <c r="DF21" s="411"/>
      <c r="DG21" s="411"/>
      <c r="DH21" s="411"/>
      <c r="DI21" s="411"/>
      <c r="DJ21" s="411"/>
      <c r="DK21" s="411"/>
      <c r="DL21" s="411"/>
      <c r="DM21" s="411"/>
      <c r="DN21" s="394"/>
      <c r="DO21" s="411"/>
      <c r="DP21" s="411"/>
      <c r="DQ21" s="411"/>
      <c r="DR21" s="411"/>
      <c r="DS21" s="411"/>
      <c r="DT21" s="394"/>
      <c r="DU21" s="411"/>
      <c r="DV21" s="394"/>
      <c r="DW21" s="411"/>
      <c r="DX21" s="411"/>
      <c r="DY21" s="394"/>
      <c r="DZ21" s="411"/>
      <c r="EA21" s="394"/>
      <c r="EB21" s="411"/>
      <c r="EC21" s="411"/>
      <c r="ED21" s="411"/>
      <c r="EE21" s="411"/>
      <c r="EF21" s="411"/>
      <c r="EG21" s="411"/>
      <c r="EH21" s="411"/>
      <c r="EI21" s="411"/>
      <c r="EJ21" s="411"/>
      <c r="EK21" s="411"/>
      <c r="EL21" s="411"/>
      <c r="EM21" s="394"/>
      <c r="EN21" s="411"/>
      <c r="EO21" s="411"/>
      <c r="EP21" s="411"/>
      <c r="EQ21" s="411"/>
      <c r="ER21" s="411"/>
      <c r="ES21" s="394"/>
      <c r="ET21" s="411"/>
      <c r="EU21" s="394"/>
      <c r="EV21" s="411"/>
      <c r="EW21" s="411"/>
      <c r="EX21" s="394"/>
      <c r="EY21" s="411"/>
      <c r="EZ21" s="394"/>
      <c r="FA21" s="411"/>
      <c r="FB21" s="411"/>
      <c r="FC21" s="411"/>
      <c r="FD21" s="411"/>
      <c r="FE21" s="411"/>
      <c r="FF21" s="411"/>
      <c r="FG21" s="411"/>
      <c r="FH21" s="411"/>
      <c r="FI21" s="411"/>
      <c r="FJ21" s="411"/>
      <c r="FK21" s="411"/>
      <c r="FL21" s="394"/>
      <c r="FM21" s="411"/>
      <c r="FN21" s="411"/>
      <c r="FO21" s="411"/>
      <c r="FP21" s="411"/>
      <c r="FQ21" s="411"/>
      <c r="FR21" s="394"/>
      <c r="FS21" s="411"/>
      <c r="FT21" s="394"/>
      <c r="FU21" s="411"/>
      <c r="FV21" s="411"/>
      <c r="FW21" s="394"/>
      <c r="FX21" s="411"/>
      <c r="FY21" s="394"/>
      <c r="FZ21" s="411"/>
      <c r="GA21" s="411"/>
      <c r="GB21" s="411"/>
      <c r="GC21" s="411"/>
      <c r="GD21" s="411"/>
      <c r="GE21" s="411"/>
      <c r="GF21" s="411"/>
      <c r="GG21" s="411"/>
      <c r="GH21" s="411"/>
      <c r="GI21" s="411"/>
      <c r="GJ21" s="411"/>
      <c r="GK21" s="394"/>
      <c r="GL21" s="411"/>
      <c r="GM21" s="411"/>
      <c r="GN21" s="411"/>
      <c r="GO21" s="411"/>
      <c r="GP21" s="411"/>
      <c r="GQ21" s="394"/>
      <c r="GR21" s="411"/>
      <c r="GS21" s="394"/>
      <c r="GT21" s="411"/>
      <c r="GU21" s="411"/>
      <c r="GV21" s="394"/>
      <c r="GW21" s="411"/>
      <c r="GX21" s="394"/>
      <c r="GY21" s="411"/>
      <c r="GZ21" s="411"/>
      <c r="HA21" s="411"/>
      <c r="HB21" s="411"/>
      <c r="HC21" s="411"/>
      <c r="HD21" s="411"/>
      <c r="HE21" s="411"/>
      <c r="HF21" s="411"/>
      <c r="HG21" s="411"/>
      <c r="HH21" s="421"/>
      <c r="HI21" s="411"/>
      <c r="HJ21" s="394"/>
      <c r="HK21" s="411"/>
      <c r="HL21" s="411"/>
      <c r="HM21" s="411"/>
      <c r="HN21" s="411"/>
      <c r="HO21" s="411"/>
      <c r="HP21" s="394"/>
      <c r="HQ21" s="411"/>
      <c r="HR21" s="394"/>
      <c r="HS21" s="411"/>
      <c r="HT21" s="411"/>
      <c r="HU21" s="394"/>
      <c r="HV21" s="411"/>
      <c r="HW21" s="394"/>
      <c r="HX21" s="411"/>
      <c r="HY21" s="411"/>
      <c r="HZ21" s="411"/>
      <c r="IA21" s="411"/>
      <c r="IB21" s="411"/>
      <c r="IC21" s="411"/>
      <c r="ID21" s="411"/>
      <c r="IE21" s="411"/>
      <c r="IF21" s="411"/>
      <c r="IG21" s="421"/>
      <c r="IH21" s="411"/>
      <c r="II21" s="394"/>
      <c r="IJ21" s="411"/>
      <c r="IK21" s="411"/>
      <c r="IL21" s="411"/>
      <c r="IM21" s="411"/>
      <c r="IN21" s="411"/>
      <c r="IP21" s="411"/>
      <c r="IR21" s="411"/>
      <c r="IS21" s="411"/>
      <c r="IU21" s="411"/>
      <c r="IW21" s="411"/>
      <c r="IX21" s="411"/>
      <c r="IY21" s="411"/>
      <c r="IZ21" s="411"/>
      <c r="JA21" s="411"/>
      <c r="JB21" s="411"/>
      <c r="JC21" s="411"/>
      <c r="JD21" s="411"/>
      <c r="JE21" s="411"/>
      <c r="JF21" s="411"/>
      <c r="JG21" s="411"/>
    </row>
    <row r="22" spans="1:267" ht="12.75" customHeight="1" x14ac:dyDescent="0.3">
      <c r="A22" s="752" t="s">
        <v>934</v>
      </c>
      <c r="B22" s="757" t="s">
        <v>168</v>
      </c>
      <c r="C22" s="757" t="s">
        <v>30</v>
      </c>
      <c r="D22" s="757" t="s">
        <v>162</v>
      </c>
      <c r="E22" s="757" t="s">
        <v>353</v>
      </c>
      <c r="F22" s="757" t="s">
        <v>168</v>
      </c>
      <c r="G22" s="757">
        <v>4.5730000000000004</v>
      </c>
      <c r="H22" s="757">
        <v>67</v>
      </c>
      <c r="I22" s="757">
        <v>306.39999999999998</v>
      </c>
      <c r="J22" s="757">
        <v>12</v>
      </c>
      <c r="K22" s="757">
        <v>9</v>
      </c>
      <c r="L22" s="757">
        <v>11</v>
      </c>
      <c r="M22" s="757">
        <v>241.98</v>
      </c>
      <c r="N22" s="757">
        <v>0.01</v>
      </c>
      <c r="O22" s="757">
        <v>12</v>
      </c>
      <c r="P22" s="757">
        <v>16.5</v>
      </c>
      <c r="Q22" s="757" t="s">
        <v>353</v>
      </c>
      <c r="S22" s="760">
        <v>447.65800000000002</v>
      </c>
      <c r="T22" s="760">
        <v>647.47299999999996</v>
      </c>
      <c r="U22" s="760">
        <v>325.971</v>
      </c>
      <c r="V22" s="760">
        <v>789.97299999999996</v>
      </c>
      <c r="W22" s="760">
        <v>290.32100000000003</v>
      </c>
      <c r="X22" s="409"/>
      <c r="Y22" s="775">
        <v>-72.823999999999998</v>
      </c>
      <c r="Z22" s="776"/>
      <c r="AA22" s="780">
        <v>0.871</v>
      </c>
      <c r="AB22" s="783">
        <v>0.73299999999999998</v>
      </c>
      <c r="AC22" s="775">
        <v>0.73299999999999998</v>
      </c>
      <c r="AD22" s="784">
        <v>1.02</v>
      </c>
      <c r="AE22" s="776"/>
      <c r="AF22" s="780">
        <v>31.49</v>
      </c>
      <c r="AG22" s="781">
        <v>67</v>
      </c>
      <c r="AH22" s="781">
        <v>23.2</v>
      </c>
      <c r="AI22" s="781">
        <v>24.86</v>
      </c>
      <c r="AJ22" s="781">
        <v>24.86</v>
      </c>
      <c r="AK22" s="781">
        <v>19.89</v>
      </c>
      <c r="AL22" s="781">
        <v>21.54</v>
      </c>
      <c r="AM22" s="781">
        <v>39.770000000000003</v>
      </c>
      <c r="AN22" s="781">
        <v>53.03</v>
      </c>
      <c r="AO22" s="781">
        <v>28.17</v>
      </c>
      <c r="AP22" s="781">
        <v>18.23</v>
      </c>
      <c r="AQ22" s="782">
        <v>172.34700000000001</v>
      </c>
      <c r="AR22" s="411"/>
      <c r="AS22" s="411"/>
      <c r="AT22" s="411"/>
      <c r="AU22" s="411"/>
      <c r="AV22" s="411"/>
      <c r="AW22" s="412"/>
      <c r="AX22" s="775">
        <v>-72.823999999999998</v>
      </c>
      <c r="AY22" s="776"/>
      <c r="AZ22" s="854">
        <v>0.871</v>
      </c>
      <c r="BA22" s="855">
        <v>0.73299999999999998</v>
      </c>
      <c r="BB22" s="856">
        <v>0.73299999999999998</v>
      </c>
      <c r="BC22" s="857">
        <v>1.02</v>
      </c>
      <c r="BD22" s="776"/>
      <c r="BE22" s="808"/>
      <c r="BF22" s="776"/>
      <c r="BG22" s="854">
        <v>0.871</v>
      </c>
      <c r="BH22" s="855">
        <v>0.73299999999999998</v>
      </c>
      <c r="BI22" s="856">
        <v>0.73299999999999998</v>
      </c>
      <c r="BJ22" s="857">
        <v>1.02</v>
      </c>
      <c r="BK22" s="776"/>
      <c r="BL22" s="834"/>
      <c r="BM22" s="776"/>
      <c r="BN22" s="780">
        <v>0.871</v>
      </c>
      <c r="BO22" s="783">
        <v>0.73299999999999998</v>
      </c>
      <c r="BP22" s="775">
        <v>0.73299999999999998</v>
      </c>
      <c r="BQ22" s="784">
        <v>1.02</v>
      </c>
      <c r="BR22" s="776"/>
      <c r="BS22" s="841"/>
      <c r="BT22" s="776"/>
      <c r="BU22" s="780">
        <v>0.871</v>
      </c>
      <c r="BV22" s="783">
        <v>0.73299999999999998</v>
      </c>
      <c r="BW22" s="775">
        <v>0.73299999999999998</v>
      </c>
      <c r="BX22" s="784">
        <v>1.02</v>
      </c>
      <c r="BY22" s="776"/>
      <c r="BZ22" s="774"/>
      <c r="CA22" s="776"/>
      <c r="CB22" s="780">
        <v>0.871</v>
      </c>
      <c r="CC22" s="783">
        <v>0.73299999999999998</v>
      </c>
      <c r="CD22" s="775">
        <v>0.73299999999999998</v>
      </c>
      <c r="CE22" s="784">
        <v>1.02</v>
      </c>
      <c r="CF22" s="776"/>
      <c r="CG22" s="834"/>
      <c r="CH22" s="776"/>
      <c r="CI22" s="780">
        <v>0.871</v>
      </c>
      <c r="CJ22" s="783">
        <v>0.73299999999999998</v>
      </c>
      <c r="CK22" s="775">
        <v>0.73299999999999998</v>
      </c>
      <c r="CL22" s="784">
        <v>1.02</v>
      </c>
      <c r="CM22" s="776"/>
      <c r="CN22" s="834"/>
      <c r="CO22" s="776"/>
      <c r="CP22" s="780">
        <v>0.871</v>
      </c>
      <c r="CQ22" s="783">
        <v>0.73299999999999998</v>
      </c>
      <c r="CR22" s="775">
        <v>0.73299999999999998</v>
      </c>
      <c r="CS22" s="784">
        <v>1.02</v>
      </c>
      <c r="CT22" s="776"/>
      <c r="CU22" s="414"/>
      <c r="CV22" s="776"/>
      <c r="CW22" s="780">
        <v>0.871</v>
      </c>
      <c r="CX22" s="783">
        <v>0.73299999999999998</v>
      </c>
      <c r="CY22" s="775">
        <v>0.73299999999999998</v>
      </c>
      <c r="CZ22" s="784">
        <v>1.02</v>
      </c>
      <c r="DA22" s="776"/>
      <c r="DB22" s="394"/>
      <c r="DC22" s="411"/>
      <c r="DD22" s="411"/>
      <c r="DE22" s="411"/>
      <c r="DF22" s="411"/>
      <c r="DG22" s="411"/>
      <c r="DH22" s="411"/>
      <c r="DI22" s="411"/>
      <c r="DJ22" s="411"/>
      <c r="DK22" s="411"/>
      <c r="DL22" s="411"/>
      <c r="DM22" s="411"/>
      <c r="DN22" s="394"/>
      <c r="DO22" s="411"/>
      <c r="DP22" s="411"/>
      <c r="DQ22" s="411"/>
      <c r="DR22" s="411"/>
      <c r="DS22" s="411"/>
      <c r="DT22" s="394"/>
      <c r="DU22" s="411"/>
      <c r="DV22" s="394"/>
      <c r="DW22" s="411"/>
      <c r="DX22" s="411"/>
      <c r="DY22" s="394"/>
      <c r="DZ22" s="411"/>
      <c r="EA22" s="394"/>
      <c r="EB22" s="411"/>
      <c r="EC22" s="411"/>
      <c r="ED22" s="411"/>
      <c r="EE22" s="411"/>
      <c r="EF22" s="411"/>
      <c r="EG22" s="411"/>
      <c r="EH22" s="411"/>
      <c r="EI22" s="411"/>
      <c r="EJ22" s="411"/>
      <c r="EK22" s="411"/>
      <c r="EL22" s="411"/>
      <c r="EM22" s="394"/>
      <c r="EN22" s="411"/>
      <c r="EO22" s="411"/>
      <c r="EP22" s="411"/>
      <c r="EQ22" s="411"/>
      <c r="ER22" s="411"/>
      <c r="ES22" s="394"/>
      <c r="ET22" s="411"/>
      <c r="EU22" s="394"/>
      <c r="EV22" s="411"/>
      <c r="EW22" s="411"/>
      <c r="EX22" s="394"/>
      <c r="EY22" s="411"/>
      <c r="EZ22" s="394"/>
      <c r="FA22" s="411"/>
      <c r="FB22" s="411"/>
      <c r="FC22" s="411"/>
      <c r="FD22" s="411"/>
      <c r="FE22" s="411"/>
      <c r="FF22" s="411"/>
      <c r="FG22" s="411"/>
      <c r="FH22" s="411"/>
      <c r="FI22" s="411"/>
      <c r="FJ22" s="411"/>
      <c r="FK22" s="411"/>
      <c r="FL22" s="394"/>
      <c r="FM22" s="411"/>
      <c r="FN22" s="411"/>
      <c r="FO22" s="411"/>
      <c r="FP22" s="411"/>
      <c r="FQ22" s="411"/>
      <c r="FR22" s="394"/>
      <c r="FS22" s="411"/>
      <c r="FT22" s="394"/>
      <c r="FU22" s="411"/>
      <c r="FV22" s="411"/>
      <c r="FW22" s="394"/>
      <c r="FX22" s="411"/>
      <c r="FY22" s="394"/>
      <c r="FZ22" s="411"/>
      <c r="GA22" s="411"/>
      <c r="GB22" s="411"/>
      <c r="GC22" s="411"/>
      <c r="GD22" s="411"/>
      <c r="GE22" s="411"/>
      <c r="GF22" s="411"/>
      <c r="GG22" s="411"/>
      <c r="GH22" s="411"/>
      <c r="GI22" s="411"/>
      <c r="GJ22" s="411"/>
      <c r="GK22" s="394"/>
      <c r="GL22" s="411"/>
      <c r="GM22" s="411"/>
      <c r="GN22" s="411"/>
      <c r="GO22" s="411"/>
      <c r="GP22" s="411"/>
      <c r="GQ22" s="394"/>
      <c r="GR22" s="411"/>
      <c r="GS22" s="394"/>
      <c r="GT22" s="411"/>
      <c r="GU22" s="411"/>
      <c r="GV22" s="394"/>
      <c r="GW22" s="411"/>
      <c r="GX22" s="394"/>
      <c r="GY22" s="411"/>
      <c r="GZ22" s="411"/>
      <c r="HA22" s="411"/>
      <c r="HB22" s="411"/>
      <c r="HC22" s="411"/>
      <c r="HD22" s="411"/>
      <c r="HE22" s="411"/>
      <c r="HF22" s="411"/>
      <c r="HG22" s="411"/>
      <c r="HH22" s="411"/>
      <c r="HI22" s="411"/>
      <c r="HJ22" s="394"/>
      <c r="HK22" s="411"/>
      <c r="HL22" s="411"/>
      <c r="HM22" s="411"/>
      <c r="HN22" s="411"/>
      <c r="HO22" s="411"/>
      <c r="HP22" s="394"/>
      <c r="HQ22" s="411"/>
      <c r="HR22" s="394"/>
      <c r="HS22" s="411"/>
      <c r="HT22" s="411"/>
      <c r="HU22" s="394"/>
      <c r="HV22" s="411"/>
      <c r="HW22" s="394"/>
      <c r="HX22" s="411"/>
      <c r="HY22" s="411"/>
      <c r="HZ22" s="411"/>
      <c r="IA22" s="411"/>
      <c r="IB22" s="411"/>
      <c r="IC22" s="411"/>
      <c r="ID22" s="411"/>
      <c r="IE22" s="411"/>
      <c r="IF22" s="411"/>
      <c r="IG22" s="411"/>
      <c r="IH22" s="411"/>
      <c r="II22" s="394"/>
      <c r="IJ22" s="411"/>
      <c r="IK22" s="411"/>
      <c r="IL22" s="411"/>
      <c r="IM22" s="411"/>
      <c r="IN22" s="411"/>
      <c r="IP22" s="411"/>
      <c r="IR22" s="411"/>
      <c r="IS22" s="411"/>
      <c r="IU22" s="411"/>
      <c r="IW22" s="411"/>
      <c r="IX22" s="411"/>
      <c r="IY22" s="411"/>
      <c r="IZ22" s="411"/>
      <c r="JA22" s="411"/>
      <c r="JB22" s="411"/>
      <c r="JC22" s="411"/>
      <c r="JD22" s="411"/>
      <c r="JE22" s="411"/>
      <c r="JF22" s="411"/>
      <c r="JG22" s="411"/>
    </row>
    <row r="23" spans="1:267" ht="12.75" customHeight="1" x14ac:dyDescent="0.3">
      <c r="A23" s="753" t="s">
        <v>935</v>
      </c>
      <c r="B23" s="810" t="s">
        <v>353</v>
      </c>
      <c r="C23" s="757" t="s">
        <v>694</v>
      </c>
      <c r="D23" s="757" t="s">
        <v>168</v>
      </c>
      <c r="E23" s="757" t="s">
        <v>356</v>
      </c>
      <c r="F23" s="757" t="s">
        <v>356</v>
      </c>
      <c r="G23" s="757">
        <v>3.968</v>
      </c>
      <c r="H23" s="757">
        <v>77</v>
      </c>
      <c r="I23" s="810">
        <v>305.5</v>
      </c>
      <c r="J23" s="757">
        <v>7</v>
      </c>
      <c r="K23" s="757">
        <v>10</v>
      </c>
      <c r="L23" s="757">
        <v>13</v>
      </c>
      <c r="M23" s="757">
        <v>193.43</v>
      </c>
      <c r="N23" s="757">
        <v>7.3000000000000001E-3</v>
      </c>
      <c r="O23" s="811">
        <v>14</v>
      </c>
      <c r="P23" s="757">
        <v>16.5</v>
      </c>
      <c r="Q23" s="757" t="s">
        <v>351</v>
      </c>
      <c r="S23" s="760">
        <v>858.02</v>
      </c>
      <c r="T23" s="760">
        <v>440.18799999999999</v>
      </c>
      <c r="U23" s="760">
        <v>572.05999999999995</v>
      </c>
      <c r="V23" s="760">
        <v>434.27499999999998</v>
      </c>
      <c r="W23" s="760">
        <v>415.928</v>
      </c>
      <c r="X23" s="409"/>
      <c r="Y23" s="775">
        <v>60.31</v>
      </c>
      <c r="Z23" s="776">
        <v>0.98</v>
      </c>
      <c r="AA23" s="777">
        <v>0.755</v>
      </c>
      <c r="AB23" s="779">
        <v>0.55100000000000005</v>
      </c>
      <c r="AC23" s="779">
        <v>0.69499999999999995</v>
      </c>
      <c r="AD23" s="779">
        <v>1.0900000000000001</v>
      </c>
      <c r="AE23" s="776">
        <v>0.98</v>
      </c>
      <c r="AF23" s="780">
        <v>27.27</v>
      </c>
      <c r="AG23" s="781">
        <v>38.5</v>
      </c>
      <c r="AH23" s="781">
        <v>76</v>
      </c>
      <c r="AI23" s="781">
        <v>72</v>
      </c>
      <c r="AJ23" s="781">
        <v>38</v>
      </c>
      <c r="AK23" s="781">
        <v>20.86</v>
      </c>
      <c r="AL23" s="781">
        <v>17.38</v>
      </c>
      <c r="AM23" s="781">
        <v>52</v>
      </c>
      <c r="AN23" s="781">
        <v>35</v>
      </c>
      <c r="AO23" s="781">
        <v>55</v>
      </c>
      <c r="AP23" s="781">
        <v>13.6</v>
      </c>
      <c r="AQ23" s="782">
        <v>246.852</v>
      </c>
      <c r="AR23" s="411"/>
      <c r="AS23" s="411"/>
      <c r="AT23" s="411"/>
      <c r="AU23" s="411"/>
      <c r="AV23" s="411"/>
      <c r="AW23" s="396"/>
      <c r="AX23" s="775">
        <v>60.31</v>
      </c>
      <c r="AY23" s="776"/>
      <c r="AZ23" s="851">
        <v>0.755</v>
      </c>
      <c r="BA23" s="853">
        <v>0.55100000000000005</v>
      </c>
      <c r="BB23" s="853">
        <v>0.69499999999999995</v>
      </c>
      <c r="BC23" s="853">
        <v>1.0900000000000001</v>
      </c>
      <c r="BD23" s="776"/>
      <c r="BE23" s="808"/>
      <c r="BF23" s="776"/>
      <c r="BG23" s="851">
        <v>0.755</v>
      </c>
      <c r="BH23" s="853">
        <v>0.55100000000000005</v>
      </c>
      <c r="BI23" s="853">
        <v>0.69499999999999995</v>
      </c>
      <c r="BJ23" s="853">
        <v>1.0900000000000001</v>
      </c>
      <c r="BK23" s="776"/>
      <c r="BL23" s="834"/>
      <c r="BM23" s="776">
        <v>0.98</v>
      </c>
      <c r="BN23" s="777">
        <v>0.755</v>
      </c>
      <c r="BO23" s="779">
        <v>0.55100000000000005</v>
      </c>
      <c r="BP23" s="779">
        <v>0.69499999999999995</v>
      </c>
      <c r="BQ23" s="779">
        <v>1.0900000000000001</v>
      </c>
      <c r="BR23" s="776">
        <v>0.98</v>
      </c>
      <c r="BS23" s="842"/>
      <c r="BT23" s="776">
        <v>0.98</v>
      </c>
      <c r="BU23" s="777">
        <v>0.755</v>
      </c>
      <c r="BV23" s="779">
        <v>0.55100000000000005</v>
      </c>
      <c r="BW23" s="779">
        <v>0.69499999999999995</v>
      </c>
      <c r="BX23" s="779">
        <v>1.0900000000000001</v>
      </c>
      <c r="BY23" s="776">
        <v>0.98</v>
      </c>
      <c r="BZ23" s="774"/>
      <c r="CA23" s="776">
        <v>0.98</v>
      </c>
      <c r="CB23" s="777">
        <v>0.755</v>
      </c>
      <c r="CC23" s="779">
        <v>0.55100000000000005</v>
      </c>
      <c r="CD23" s="779">
        <v>0.69499999999999995</v>
      </c>
      <c r="CE23" s="779">
        <v>1.0900000000000001</v>
      </c>
      <c r="CF23" s="776">
        <v>0.98</v>
      </c>
      <c r="CG23" s="834"/>
      <c r="CH23" s="776">
        <v>0.98</v>
      </c>
      <c r="CI23" s="777">
        <v>0.755</v>
      </c>
      <c r="CJ23" s="779">
        <v>0.55100000000000005</v>
      </c>
      <c r="CK23" s="779">
        <v>0.69499999999999995</v>
      </c>
      <c r="CL23" s="779">
        <v>1.0900000000000001</v>
      </c>
      <c r="CM23" s="776">
        <v>0.98</v>
      </c>
      <c r="CN23" s="834"/>
      <c r="CO23" s="776">
        <v>0.98</v>
      </c>
      <c r="CP23" s="777">
        <v>0.755</v>
      </c>
      <c r="CQ23" s="779">
        <v>0.55100000000000005</v>
      </c>
      <c r="CR23" s="779">
        <v>0.69499999999999995</v>
      </c>
      <c r="CS23" s="779">
        <v>1.0900000000000001</v>
      </c>
      <c r="CT23" s="776">
        <v>0.98</v>
      </c>
      <c r="CU23" s="396"/>
      <c r="CV23" s="776">
        <v>0.98</v>
      </c>
      <c r="CW23" s="777">
        <v>0.755</v>
      </c>
      <c r="CX23" s="779">
        <v>0.55100000000000005</v>
      </c>
      <c r="CY23" s="779">
        <v>0.69499999999999995</v>
      </c>
      <c r="CZ23" s="779">
        <v>1.0900000000000001</v>
      </c>
      <c r="DA23" s="776">
        <v>0.98</v>
      </c>
      <c r="DB23" s="396"/>
      <c r="DC23" s="411"/>
      <c r="DD23" s="411"/>
      <c r="DE23" s="411"/>
      <c r="DF23" s="411"/>
      <c r="DG23" s="411"/>
      <c r="DH23" s="411"/>
      <c r="DI23" s="411"/>
      <c r="DJ23" s="411"/>
      <c r="DK23" s="411"/>
      <c r="DL23" s="411"/>
      <c r="DM23" s="411"/>
      <c r="DN23" s="394"/>
      <c r="DO23" s="411"/>
      <c r="DP23" s="411"/>
      <c r="DQ23" s="411"/>
      <c r="DR23" s="411"/>
      <c r="DS23" s="411"/>
      <c r="DT23" s="394"/>
      <c r="DU23" s="411"/>
      <c r="DV23" s="394"/>
      <c r="DW23" s="411"/>
      <c r="DX23" s="411"/>
      <c r="DY23" s="394"/>
      <c r="DZ23" s="411"/>
      <c r="EA23" s="394"/>
      <c r="EB23" s="411"/>
      <c r="EC23" s="411"/>
      <c r="ED23" s="411"/>
      <c r="EE23" s="411"/>
      <c r="EF23" s="411"/>
      <c r="EG23" s="411"/>
      <c r="EH23" s="411"/>
      <c r="EI23" s="411"/>
      <c r="EJ23" s="411"/>
      <c r="EK23" s="411"/>
      <c r="EL23" s="411"/>
      <c r="EM23" s="394"/>
      <c r="EN23" s="421"/>
      <c r="EO23" s="421"/>
      <c r="EP23" s="421"/>
      <c r="EQ23" s="421"/>
      <c r="ER23" s="421"/>
      <c r="ES23" s="394"/>
      <c r="ET23" s="411"/>
      <c r="EU23" s="394"/>
      <c r="EV23" s="411"/>
      <c r="EW23" s="411"/>
      <c r="EX23" s="394"/>
      <c r="EY23" s="411"/>
      <c r="EZ23" s="394"/>
      <c r="FA23" s="411"/>
      <c r="FB23" s="411"/>
      <c r="FC23" s="411"/>
      <c r="FD23" s="411"/>
      <c r="FE23" s="411"/>
      <c r="FF23" s="411"/>
      <c r="FG23" s="411"/>
      <c r="FH23" s="411"/>
      <c r="FI23" s="411"/>
      <c r="FJ23" s="411"/>
      <c r="FK23" s="411"/>
      <c r="FL23" s="394"/>
      <c r="FM23" s="421"/>
      <c r="FN23" s="421"/>
      <c r="FO23" s="421"/>
      <c r="FP23" s="421"/>
      <c r="FQ23" s="421"/>
      <c r="FR23" s="394"/>
      <c r="FS23" s="411"/>
      <c r="FT23" s="394"/>
      <c r="FU23" s="411"/>
      <c r="FV23" s="411"/>
      <c r="FW23" s="394"/>
      <c r="FX23" s="411"/>
      <c r="FY23" s="394"/>
      <c r="FZ23" s="411"/>
      <c r="GA23" s="411"/>
      <c r="GB23" s="411"/>
      <c r="GC23" s="411"/>
      <c r="GD23" s="411"/>
      <c r="GE23" s="411"/>
      <c r="GF23" s="411"/>
      <c r="GG23" s="411"/>
      <c r="GH23" s="411"/>
      <c r="GI23" s="411"/>
      <c r="GJ23" s="411"/>
      <c r="GK23" s="394"/>
      <c r="GL23" s="421"/>
      <c r="GM23" s="421"/>
      <c r="GN23" s="421"/>
      <c r="GO23" s="421"/>
      <c r="GP23" s="421"/>
      <c r="GQ23" s="394"/>
      <c r="GR23" s="411"/>
      <c r="GS23" s="394"/>
      <c r="GT23" s="411"/>
      <c r="GU23" s="411"/>
      <c r="GV23" s="394"/>
      <c r="GW23" s="411"/>
      <c r="GX23" s="394"/>
      <c r="GY23" s="411"/>
      <c r="GZ23" s="411"/>
      <c r="HA23" s="411"/>
      <c r="HB23" s="411"/>
      <c r="HC23" s="411"/>
      <c r="HD23" s="411"/>
      <c r="HE23" s="411"/>
      <c r="HF23" s="411"/>
      <c r="HG23" s="411"/>
      <c r="HH23" s="411"/>
      <c r="HI23" s="411"/>
      <c r="HJ23" s="394"/>
      <c r="HK23" s="421"/>
      <c r="HL23" s="421"/>
      <c r="HM23" s="421"/>
      <c r="HN23" s="421"/>
      <c r="HO23" s="421"/>
      <c r="HP23" s="394"/>
      <c r="HQ23" s="411"/>
      <c r="HR23" s="394"/>
      <c r="HS23" s="411"/>
      <c r="HT23" s="411"/>
      <c r="HU23" s="394"/>
      <c r="HV23" s="411"/>
      <c r="HW23" s="394"/>
      <c r="HX23" s="411"/>
      <c r="HY23" s="411"/>
      <c r="HZ23" s="411"/>
      <c r="IA23" s="411"/>
      <c r="IB23" s="411"/>
      <c r="IC23" s="411"/>
      <c r="ID23" s="411"/>
      <c r="IE23" s="411"/>
      <c r="IF23" s="411"/>
      <c r="IG23" s="411"/>
      <c r="IH23" s="411"/>
      <c r="II23" s="394"/>
      <c r="IJ23" s="411"/>
      <c r="IK23" s="411"/>
      <c r="IL23" s="411"/>
      <c r="IM23" s="411"/>
      <c r="IN23" s="411"/>
      <c r="IP23" s="411"/>
      <c r="IR23" s="411"/>
      <c r="IS23" s="411"/>
      <c r="IU23" s="411"/>
      <c r="IW23" s="411"/>
      <c r="IX23" s="411"/>
      <c r="IY23" s="411"/>
      <c r="IZ23" s="411"/>
      <c r="JA23" s="411"/>
      <c r="JB23" s="411"/>
      <c r="JC23" s="411"/>
      <c r="JD23" s="411"/>
      <c r="JE23" s="411"/>
      <c r="JF23" s="411"/>
      <c r="JG23" s="411"/>
    </row>
    <row r="24" spans="1:267" x14ac:dyDescent="0.3">
      <c r="A24" s="754" t="s">
        <v>936</v>
      </c>
      <c r="B24" s="757" t="s">
        <v>168</v>
      </c>
      <c r="C24" s="757" t="s">
        <v>174</v>
      </c>
      <c r="D24" s="757" t="s">
        <v>168</v>
      </c>
      <c r="E24" s="757" t="s">
        <v>168</v>
      </c>
      <c r="F24" s="757" t="s">
        <v>168</v>
      </c>
      <c r="G24" s="757">
        <v>4.9290000000000003</v>
      </c>
      <c r="H24" s="757">
        <v>62</v>
      </c>
      <c r="I24" s="757">
        <v>305.60000000000002</v>
      </c>
      <c r="J24" s="757">
        <v>12</v>
      </c>
      <c r="K24" s="757">
        <v>13</v>
      </c>
      <c r="L24" s="757">
        <v>9</v>
      </c>
      <c r="M24" s="757">
        <v>218.8</v>
      </c>
      <c r="N24" s="757">
        <v>1.2999999999999999E-2</v>
      </c>
      <c r="O24" s="757">
        <v>16</v>
      </c>
      <c r="P24" s="757">
        <v>12</v>
      </c>
      <c r="Q24" s="757" t="s">
        <v>355</v>
      </c>
      <c r="S24" s="760">
        <v>458.428</v>
      </c>
      <c r="T24" s="760">
        <v>598.64700000000005</v>
      </c>
      <c r="U24" s="760">
        <v>671.43100000000004</v>
      </c>
      <c r="V24" s="760">
        <v>614.94299999999998</v>
      </c>
      <c r="W24" s="760">
        <v>455.38400000000001</v>
      </c>
      <c r="X24" s="409"/>
      <c r="Y24" s="775">
        <v>52.277999999999999</v>
      </c>
      <c r="Z24" s="776">
        <v>0.97</v>
      </c>
      <c r="AA24" s="777">
        <v>0.85199999999999998</v>
      </c>
      <c r="AB24" s="779">
        <v>0.63800000000000001</v>
      </c>
      <c r="AC24" s="779">
        <v>0.79800000000000004</v>
      </c>
      <c r="AD24" s="779">
        <v>1.1579999999999999</v>
      </c>
      <c r="AE24" s="776">
        <v>0.97</v>
      </c>
      <c r="AF24" s="780">
        <v>24.76</v>
      </c>
      <c r="AG24" s="781">
        <v>45</v>
      </c>
      <c r="AH24" s="781">
        <v>41.27</v>
      </c>
      <c r="AI24" s="781">
        <v>44.57</v>
      </c>
      <c r="AJ24" s="781">
        <v>34.67</v>
      </c>
      <c r="AK24" s="781">
        <v>18.16</v>
      </c>
      <c r="AL24" s="781">
        <v>21.46</v>
      </c>
      <c r="AM24" s="781">
        <v>41.27</v>
      </c>
      <c r="AN24" s="781">
        <v>49.52</v>
      </c>
      <c r="AO24" s="781">
        <v>41.27</v>
      </c>
      <c r="AP24" s="781">
        <v>21.04</v>
      </c>
      <c r="AQ24" s="782">
        <v>175.916</v>
      </c>
      <c r="AR24" s="411"/>
      <c r="AS24" s="411"/>
      <c r="AT24" s="411"/>
      <c r="AU24" s="411"/>
      <c r="AV24" s="411"/>
      <c r="AW24" s="394"/>
      <c r="AX24" s="775">
        <v>52.277999999999999</v>
      </c>
      <c r="AY24" s="776"/>
      <c r="AZ24" s="851">
        <v>0.85199999999999998</v>
      </c>
      <c r="BA24" s="853">
        <v>0.63800000000000001</v>
      </c>
      <c r="BB24" s="853">
        <v>0.79800000000000004</v>
      </c>
      <c r="BC24" s="853">
        <v>1.1579999999999999</v>
      </c>
      <c r="BD24" s="776"/>
      <c r="BE24" s="808"/>
      <c r="BF24" s="776"/>
      <c r="BG24" s="851">
        <v>0.85199999999999998</v>
      </c>
      <c r="BH24" s="853">
        <v>0.63800000000000001</v>
      </c>
      <c r="BI24" s="853">
        <v>0.79800000000000004</v>
      </c>
      <c r="BJ24" s="853">
        <v>1.1579999999999999</v>
      </c>
      <c r="BK24" s="776"/>
      <c r="BL24" s="834"/>
      <c r="BM24" s="776">
        <v>0.97</v>
      </c>
      <c r="BN24" s="777">
        <v>0.85199999999999998</v>
      </c>
      <c r="BO24" s="779">
        <v>0.63800000000000001</v>
      </c>
      <c r="BP24" s="779">
        <v>0.79800000000000004</v>
      </c>
      <c r="BQ24" s="779">
        <v>1.1579999999999999</v>
      </c>
      <c r="BR24" s="776">
        <v>0.97</v>
      </c>
      <c r="BS24" s="843"/>
      <c r="BT24" s="776">
        <v>0.97</v>
      </c>
      <c r="BU24" s="777">
        <v>0.85199999999999998</v>
      </c>
      <c r="BV24" s="779">
        <v>0.63800000000000001</v>
      </c>
      <c r="BW24" s="779">
        <v>0.79800000000000004</v>
      </c>
      <c r="BX24" s="779">
        <v>1.1579999999999999</v>
      </c>
      <c r="BY24" s="776">
        <v>0.97</v>
      </c>
      <c r="BZ24" s="774"/>
      <c r="CA24" s="776">
        <v>0.97</v>
      </c>
      <c r="CB24" s="777">
        <v>0.85199999999999998</v>
      </c>
      <c r="CC24" s="779">
        <v>0.63800000000000001</v>
      </c>
      <c r="CD24" s="779">
        <v>0.79800000000000004</v>
      </c>
      <c r="CE24" s="779">
        <v>1.1579999999999999</v>
      </c>
      <c r="CF24" s="776">
        <v>0.97</v>
      </c>
      <c r="CG24" s="834"/>
      <c r="CH24" s="776">
        <v>0.97</v>
      </c>
      <c r="CI24" s="777">
        <v>0.85199999999999998</v>
      </c>
      <c r="CJ24" s="779">
        <v>0.63800000000000001</v>
      </c>
      <c r="CK24" s="779">
        <v>0.79800000000000004</v>
      </c>
      <c r="CL24" s="779">
        <v>1.1579999999999999</v>
      </c>
      <c r="CM24" s="776">
        <v>0.97</v>
      </c>
      <c r="CN24" s="834"/>
      <c r="CO24" s="776">
        <v>0.97</v>
      </c>
      <c r="CP24" s="777">
        <v>0.85199999999999998</v>
      </c>
      <c r="CQ24" s="779">
        <v>0.63800000000000001</v>
      </c>
      <c r="CR24" s="779">
        <v>0.79800000000000004</v>
      </c>
      <c r="CS24" s="779">
        <v>1.1579999999999999</v>
      </c>
      <c r="CT24" s="776">
        <v>0.97</v>
      </c>
      <c r="CU24" s="418"/>
      <c r="CV24" s="776">
        <v>0.97</v>
      </c>
      <c r="CW24" s="777">
        <v>0.85199999999999998</v>
      </c>
      <c r="CX24" s="779">
        <v>0.63800000000000001</v>
      </c>
      <c r="CY24" s="779">
        <v>0.79800000000000004</v>
      </c>
      <c r="CZ24" s="779">
        <v>1.1579999999999999</v>
      </c>
      <c r="DA24" s="776">
        <v>0.97</v>
      </c>
      <c r="DB24" s="418"/>
      <c r="DC24" s="417"/>
      <c r="DD24" s="417"/>
      <c r="DE24" s="417"/>
      <c r="DF24" s="417"/>
      <c r="DG24" s="417"/>
      <c r="DH24" s="417"/>
      <c r="DI24" s="417"/>
      <c r="DJ24" s="417"/>
      <c r="DK24" s="417"/>
      <c r="DL24" s="417"/>
      <c r="DM24" s="417"/>
      <c r="DN24" s="394"/>
      <c r="DO24" s="411"/>
      <c r="DP24" s="411"/>
      <c r="DQ24" s="411"/>
      <c r="DR24" s="411"/>
      <c r="DS24" s="411"/>
      <c r="DU24" s="421"/>
      <c r="DW24" s="411"/>
      <c r="DX24" s="411"/>
      <c r="DZ24" s="411"/>
      <c r="EB24" s="411"/>
      <c r="EC24" s="411"/>
      <c r="ED24" s="411"/>
      <c r="EE24" s="411"/>
      <c r="EF24" s="411"/>
      <c r="EG24" s="421"/>
      <c r="EH24" s="411"/>
      <c r="EI24" s="411"/>
      <c r="EJ24" s="411"/>
      <c r="EK24" s="411"/>
      <c r="EL24" s="411"/>
      <c r="EM24" s="394"/>
      <c r="EN24" s="421"/>
      <c r="EO24" s="411"/>
      <c r="EP24" s="411"/>
      <c r="EQ24" s="411"/>
      <c r="ER24" s="411"/>
      <c r="ES24" s="394"/>
      <c r="ET24" s="421"/>
      <c r="EU24" s="394"/>
      <c r="EV24" s="411"/>
      <c r="EW24" s="411"/>
      <c r="EX24" s="394"/>
      <c r="EY24" s="411"/>
      <c r="EZ24" s="394"/>
      <c r="FA24" s="411"/>
      <c r="FB24" s="411"/>
      <c r="FC24" s="411"/>
      <c r="FD24" s="411"/>
      <c r="FE24" s="411"/>
      <c r="FF24" s="411"/>
      <c r="FG24" s="411"/>
      <c r="FH24" s="411"/>
      <c r="FI24" s="411"/>
      <c r="FJ24" s="411"/>
      <c r="FK24" s="411"/>
      <c r="FL24" s="394"/>
      <c r="FM24" s="411"/>
      <c r="FN24" s="411"/>
      <c r="FO24" s="411"/>
      <c r="FP24" s="411"/>
      <c r="FQ24" s="411"/>
      <c r="FR24" s="394"/>
      <c r="FS24" s="421"/>
      <c r="FT24" s="394"/>
      <c r="FU24" s="411"/>
      <c r="FV24" s="411"/>
      <c r="FW24" s="394"/>
      <c r="FX24" s="411"/>
      <c r="FY24" s="394"/>
      <c r="FZ24" s="411"/>
      <c r="GA24" s="411"/>
      <c r="GB24" s="411"/>
      <c r="GC24" s="411"/>
      <c r="GD24" s="411"/>
      <c r="GE24" s="411"/>
      <c r="GF24" s="411"/>
      <c r="GG24" s="411"/>
      <c r="GH24" s="411"/>
      <c r="GI24" s="411"/>
      <c r="GJ24" s="411"/>
      <c r="GK24" s="394"/>
      <c r="GL24" s="421"/>
      <c r="GM24" s="421"/>
      <c r="GN24" s="421"/>
      <c r="GO24" s="411"/>
      <c r="GP24" s="411"/>
      <c r="GQ24" s="394"/>
      <c r="GR24" s="421"/>
      <c r="GS24" s="394"/>
      <c r="GT24" s="411"/>
      <c r="GU24" s="411"/>
      <c r="GV24" s="394"/>
      <c r="GW24" s="411"/>
      <c r="GX24" s="394"/>
      <c r="GY24" s="411"/>
      <c r="GZ24" s="411"/>
      <c r="HA24" s="411"/>
      <c r="HB24" s="411"/>
      <c r="HC24" s="411"/>
      <c r="HD24" s="411"/>
      <c r="HE24" s="411"/>
      <c r="HF24" s="411"/>
      <c r="HG24" s="411"/>
      <c r="HH24" s="411"/>
      <c r="HI24" s="411"/>
      <c r="HJ24" s="394"/>
      <c r="HK24" s="421"/>
      <c r="HL24" s="411"/>
      <c r="HM24" s="411"/>
      <c r="HN24" s="411"/>
      <c r="HO24" s="411"/>
      <c r="HP24" s="394"/>
      <c r="HQ24" s="411"/>
      <c r="HR24" s="394"/>
      <c r="HS24" s="411"/>
      <c r="HT24" s="411"/>
      <c r="HU24" s="394"/>
      <c r="HV24" s="411"/>
      <c r="HW24" s="394"/>
      <c r="HX24" s="411"/>
      <c r="HY24" s="411"/>
      <c r="HZ24" s="411"/>
      <c r="IA24" s="411"/>
      <c r="IB24" s="411"/>
      <c r="IC24" s="421"/>
      <c r="ID24" s="411"/>
      <c r="IE24" s="411"/>
      <c r="IF24" s="411"/>
      <c r="IG24" s="411"/>
      <c r="IH24" s="411"/>
      <c r="II24" s="394"/>
      <c r="IJ24" s="417"/>
      <c r="IK24" s="417"/>
      <c r="IL24" s="417"/>
      <c r="IM24" s="417"/>
      <c r="IN24" s="417"/>
      <c r="IO24" s="418"/>
      <c r="IP24" s="417"/>
      <c r="IQ24" s="418"/>
      <c r="IR24" s="417"/>
      <c r="IS24" s="417"/>
      <c r="IT24" s="418"/>
      <c r="IU24" s="417"/>
      <c r="IV24" s="418"/>
      <c r="IW24" s="417"/>
      <c r="IX24" s="417"/>
      <c r="IY24" s="417"/>
      <c r="IZ24" s="417"/>
      <c r="JA24" s="417"/>
      <c r="JB24" s="417"/>
      <c r="JC24" s="417"/>
      <c r="JD24" s="417"/>
      <c r="JE24" s="417"/>
      <c r="JF24" s="417"/>
      <c r="JG24" s="417"/>
    </row>
    <row r="25" spans="1:267" ht="12.75" customHeight="1" x14ac:dyDescent="0.3">
      <c r="A25" s="755" t="s">
        <v>937</v>
      </c>
      <c r="B25" s="757" t="s">
        <v>355</v>
      </c>
      <c r="C25" s="757" t="s">
        <v>905</v>
      </c>
      <c r="D25" s="757" t="s">
        <v>162</v>
      </c>
      <c r="E25" s="757" t="s">
        <v>351</v>
      </c>
      <c r="F25" s="757" t="s">
        <v>355</v>
      </c>
      <c r="G25" s="757">
        <v>4.0220000000000002</v>
      </c>
      <c r="H25" s="757">
        <v>200</v>
      </c>
      <c r="I25" s="757">
        <v>804.4</v>
      </c>
      <c r="J25" s="757">
        <v>17</v>
      </c>
      <c r="K25" s="757">
        <v>9</v>
      </c>
      <c r="L25" s="757">
        <v>2</v>
      </c>
      <c r="M25" s="757">
        <v>424.09</v>
      </c>
      <c r="N25" s="757">
        <v>2.5000000000000001E-3</v>
      </c>
      <c r="O25" s="757">
        <v>4</v>
      </c>
      <c r="P25" s="757">
        <v>45</v>
      </c>
      <c r="Q25" s="757" t="s">
        <v>355</v>
      </c>
      <c r="S25" s="765">
        <v>-26</v>
      </c>
      <c r="T25" s="765">
        <v>660</v>
      </c>
      <c r="U25" s="765">
        <v>118</v>
      </c>
      <c r="V25" s="765">
        <v>843</v>
      </c>
      <c r="W25" s="765">
        <v>250</v>
      </c>
      <c r="X25" s="415"/>
      <c r="Y25" s="775">
        <v>30.02</v>
      </c>
      <c r="Z25" s="776">
        <v>0.98</v>
      </c>
      <c r="AA25" s="777">
        <v>0.90900000000000003</v>
      </c>
      <c r="AB25" s="785">
        <v>0.749</v>
      </c>
      <c r="AC25" s="785">
        <v>0.749</v>
      </c>
      <c r="AD25" s="779">
        <v>1.0900000000000001</v>
      </c>
      <c r="AE25" s="776">
        <v>0.98</v>
      </c>
      <c r="AF25" s="789">
        <v>29.927</v>
      </c>
      <c r="AG25" s="790">
        <v>102.708</v>
      </c>
      <c r="AH25" s="790">
        <v>19.693000000000001</v>
      </c>
      <c r="AI25" s="790">
        <v>22.614999999999998</v>
      </c>
      <c r="AJ25" s="790">
        <v>35.390999999999998</v>
      </c>
      <c r="AK25" s="790">
        <v>24.148</v>
      </c>
      <c r="AL25" s="790">
        <v>27.588999999999999</v>
      </c>
      <c r="AM25" s="790">
        <v>18.774999999999999</v>
      </c>
      <c r="AN25" s="790">
        <v>14.564</v>
      </c>
      <c r="AO25" s="790">
        <v>32.548999999999999</v>
      </c>
      <c r="AP25" s="790">
        <v>20.661000000000001</v>
      </c>
      <c r="AQ25" s="782">
        <v>214.72399999999999</v>
      </c>
      <c r="AR25" s="411"/>
      <c r="AS25" s="411"/>
      <c r="AT25" s="411"/>
      <c r="AU25" s="411"/>
      <c r="AV25" s="411"/>
      <c r="AW25" s="396"/>
      <c r="AX25" s="775">
        <v>30.02</v>
      </c>
      <c r="AY25" s="776"/>
      <c r="AZ25" s="851">
        <v>0.90900000000000003</v>
      </c>
      <c r="BA25" s="858">
        <v>0.749</v>
      </c>
      <c r="BB25" s="858">
        <v>0.749</v>
      </c>
      <c r="BC25" s="853">
        <v>1.0900000000000001</v>
      </c>
      <c r="BD25" s="776"/>
      <c r="BE25" s="808"/>
      <c r="BF25" s="776"/>
      <c r="BG25" s="851">
        <v>0.90900000000000003</v>
      </c>
      <c r="BH25" s="858">
        <v>0.749</v>
      </c>
      <c r="BI25" s="858">
        <v>0.749</v>
      </c>
      <c r="BJ25" s="853">
        <v>1.0900000000000001</v>
      </c>
      <c r="BK25" s="776"/>
      <c r="BL25" s="835"/>
      <c r="BM25" s="776">
        <v>0.98</v>
      </c>
      <c r="BN25" s="777">
        <v>0.90900000000000003</v>
      </c>
      <c r="BO25" s="785">
        <v>0.749</v>
      </c>
      <c r="BP25" s="785">
        <v>0.749</v>
      </c>
      <c r="BQ25" s="779">
        <v>1.0900000000000001</v>
      </c>
      <c r="BR25" s="776">
        <v>0.98</v>
      </c>
      <c r="BS25" s="842"/>
      <c r="BT25" s="776">
        <v>0.98</v>
      </c>
      <c r="BU25" s="777">
        <v>0.90900000000000003</v>
      </c>
      <c r="BV25" s="785">
        <v>0.749</v>
      </c>
      <c r="BW25" s="785">
        <v>0.749</v>
      </c>
      <c r="BX25" s="779">
        <v>1.0900000000000001</v>
      </c>
      <c r="BY25" s="776">
        <v>0.98</v>
      </c>
      <c r="BZ25" s="774"/>
      <c r="CA25" s="776">
        <v>0.98</v>
      </c>
      <c r="CB25" s="777">
        <v>0.90900000000000003</v>
      </c>
      <c r="CC25" s="785">
        <v>0.749</v>
      </c>
      <c r="CD25" s="785">
        <v>0.749</v>
      </c>
      <c r="CE25" s="779">
        <v>1.0900000000000001</v>
      </c>
      <c r="CF25" s="776">
        <v>0.98</v>
      </c>
      <c r="CG25" s="835"/>
      <c r="CH25" s="776">
        <v>0.98</v>
      </c>
      <c r="CI25" s="777">
        <v>0.90900000000000003</v>
      </c>
      <c r="CJ25" s="785">
        <v>0.749</v>
      </c>
      <c r="CK25" s="785">
        <v>0.749</v>
      </c>
      <c r="CL25" s="779">
        <v>1.0900000000000001</v>
      </c>
      <c r="CM25" s="776">
        <v>0.98</v>
      </c>
      <c r="CN25" s="835"/>
      <c r="CO25" s="776">
        <v>0.98</v>
      </c>
      <c r="CP25" s="777">
        <v>0.90900000000000003</v>
      </c>
      <c r="CQ25" s="785">
        <v>0.749</v>
      </c>
      <c r="CR25" s="785">
        <v>0.749</v>
      </c>
      <c r="CS25" s="779">
        <v>1.0900000000000001</v>
      </c>
      <c r="CT25" s="776">
        <v>0.98</v>
      </c>
      <c r="CU25" s="422"/>
      <c r="CV25" s="776">
        <v>0.98</v>
      </c>
      <c r="CW25" s="777">
        <v>0.90900000000000003</v>
      </c>
      <c r="CX25" s="785">
        <v>0.749</v>
      </c>
      <c r="CY25" s="785">
        <v>0.749</v>
      </c>
      <c r="CZ25" s="779">
        <v>1.0900000000000001</v>
      </c>
      <c r="DA25" s="776">
        <v>0.98</v>
      </c>
      <c r="DB25" s="414"/>
      <c r="DC25" s="413"/>
      <c r="DD25" s="413"/>
      <c r="DE25" s="413"/>
      <c r="DF25" s="413"/>
      <c r="DG25" s="413"/>
      <c r="DH25" s="413"/>
      <c r="DI25" s="413"/>
      <c r="DJ25" s="413"/>
      <c r="DK25" s="413"/>
      <c r="DL25" s="413"/>
      <c r="DM25" s="413"/>
      <c r="DN25" s="394"/>
      <c r="DO25" s="411"/>
      <c r="DP25" s="411"/>
      <c r="DQ25" s="411"/>
      <c r="DR25" s="411"/>
      <c r="DS25" s="411"/>
      <c r="DU25" s="411"/>
      <c r="DW25" s="411"/>
      <c r="DX25" s="411"/>
      <c r="DZ25" s="411"/>
      <c r="EB25" s="411"/>
      <c r="EC25" s="411"/>
      <c r="ED25" s="411"/>
      <c r="EE25" s="411"/>
      <c r="EF25" s="411"/>
      <c r="EG25" s="411"/>
      <c r="EH25" s="411"/>
      <c r="EI25" s="411"/>
      <c r="EJ25" s="411"/>
      <c r="EK25" s="411"/>
      <c r="EL25" s="411"/>
      <c r="EM25" s="394"/>
      <c r="EN25" s="411"/>
      <c r="EO25" s="411"/>
      <c r="EP25" s="411"/>
      <c r="EQ25" s="411"/>
      <c r="ER25" s="411"/>
      <c r="ES25" s="394"/>
      <c r="ET25" s="411"/>
      <c r="EU25" s="394"/>
      <c r="EV25" s="411"/>
      <c r="EW25" s="411"/>
      <c r="EX25" s="394"/>
      <c r="EY25" s="411"/>
      <c r="EZ25" s="394"/>
      <c r="FA25" s="411"/>
      <c r="FB25" s="411"/>
      <c r="FC25" s="411"/>
      <c r="FD25" s="411"/>
      <c r="FE25" s="411"/>
      <c r="FF25" s="411"/>
      <c r="FG25" s="411"/>
      <c r="FH25" s="411"/>
      <c r="FI25" s="411"/>
      <c r="FJ25" s="411"/>
      <c r="FK25" s="411"/>
      <c r="FL25" s="394"/>
      <c r="FM25" s="411"/>
      <c r="FN25" s="411"/>
      <c r="FO25" s="411"/>
      <c r="FP25" s="411"/>
      <c r="FQ25" s="411"/>
      <c r="FS25" s="411"/>
      <c r="FU25" s="411"/>
      <c r="FV25" s="411"/>
      <c r="FX25" s="411"/>
      <c r="FZ25" s="411"/>
      <c r="GA25" s="411"/>
      <c r="GB25" s="411"/>
      <c r="GC25" s="411"/>
      <c r="GD25" s="411"/>
      <c r="GE25" s="411"/>
      <c r="GF25" s="411"/>
      <c r="GG25" s="411"/>
      <c r="GH25" s="411"/>
      <c r="GI25" s="411"/>
      <c r="GJ25" s="411"/>
      <c r="GL25" s="411"/>
      <c r="GM25" s="411"/>
      <c r="GN25" s="411"/>
      <c r="GO25" s="411"/>
      <c r="GP25" s="411"/>
      <c r="GR25" s="411"/>
      <c r="GT25" s="411"/>
      <c r="GU25" s="411"/>
      <c r="GW25" s="411"/>
      <c r="GY25" s="411"/>
      <c r="GZ25" s="411"/>
      <c r="HA25" s="411"/>
      <c r="HB25" s="411"/>
      <c r="HC25" s="411"/>
      <c r="HD25" s="411"/>
      <c r="HE25" s="411"/>
      <c r="HF25" s="411"/>
      <c r="HG25" s="411"/>
      <c r="HH25" s="411"/>
      <c r="HI25" s="411"/>
      <c r="HK25" s="411"/>
      <c r="HL25" s="411"/>
      <c r="HM25" s="411"/>
      <c r="HN25" s="411"/>
      <c r="HO25" s="411"/>
      <c r="HQ25" s="411"/>
      <c r="HS25" s="411"/>
      <c r="HT25" s="411"/>
      <c r="HV25" s="411"/>
      <c r="HX25" s="411"/>
      <c r="HY25" s="411"/>
      <c r="HZ25" s="411"/>
      <c r="IA25" s="411"/>
      <c r="IB25" s="411"/>
      <c r="IC25" s="411"/>
      <c r="ID25" s="411"/>
      <c r="IE25" s="411"/>
      <c r="IF25" s="411"/>
      <c r="IG25" s="411"/>
      <c r="IH25" s="411"/>
      <c r="II25" s="394"/>
      <c r="IJ25" s="413"/>
      <c r="IK25" s="413"/>
      <c r="IL25" s="413"/>
      <c r="IM25" s="413"/>
      <c r="IN25" s="413"/>
      <c r="IO25" s="422"/>
      <c r="IP25" s="413"/>
      <c r="IQ25" s="414"/>
      <c r="IR25" s="413"/>
      <c r="IS25" s="413"/>
      <c r="IT25" s="414"/>
      <c r="IU25" s="413"/>
      <c r="IV25" s="414"/>
      <c r="IW25" s="413"/>
      <c r="IX25" s="413"/>
      <c r="IY25" s="413"/>
      <c r="IZ25" s="413"/>
      <c r="JA25" s="413"/>
      <c r="JB25" s="413"/>
      <c r="JC25" s="413"/>
      <c r="JD25" s="413"/>
      <c r="JE25" s="413"/>
      <c r="JF25" s="413"/>
      <c r="JG25" s="413"/>
    </row>
    <row r="26" spans="1:267" ht="12.75" customHeight="1" x14ac:dyDescent="0.3">
      <c r="A26" s="753" t="s">
        <v>938</v>
      </c>
      <c r="B26" s="757" t="s">
        <v>355</v>
      </c>
      <c r="C26" s="757" t="s">
        <v>693</v>
      </c>
      <c r="D26" s="757" t="s">
        <v>168</v>
      </c>
      <c r="E26" s="757" t="s">
        <v>353</v>
      </c>
      <c r="F26" s="757" t="s">
        <v>168</v>
      </c>
      <c r="G26" s="757">
        <v>4.2</v>
      </c>
      <c r="H26" s="757">
        <v>73</v>
      </c>
      <c r="I26" s="757">
        <v>306.60000000000002</v>
      </c>
      <c r="J26" s="757">
        <v>10</v>
      </c>
      <c r="K26" s="757">
        <v>9</v>
      </c>
      <c r="L26" s="757">
        <v>11</v>
      </c>
      <c r="M26" s="757">
        <v>212.6</v>
      </c>
      <c r="N26" s="757">
        <v>0.01</v>
      </c>
      <c r="O26" s="757">
        <v>13</v>
      </c>
      <c r="P26" s="757">
        <v>25.5</v>
      </c>
      <c r="Q26" s="757" t="s">
        <v>353</v>
      </c>
      <c r="S26" s="760">
        <v>218.59</v>
      </c>
      <c r="T26" s="760">
        <v>704.91499999999996</v>
      </c>
      <c r="U26" s="760">
        <v>466.315</v>
      </c>
      <c r="V26" s="760">
        <v>649.59299999999996</v>
      </c>
      <c r="W26" s="760">
        <v>519.99599999999998</v>
      </c>
      <c r="X26" s="409"/>
      <c r="Y26" s="775">
        <v>-15.6</v>
      </c>
      <c r="Z26" s="776"/>
      <c r="AA26" s="777">
        <v>0.88300000000000001</v>
      </c>
      <c r="AB26" s="779">
        <v>0.73</v>
      </c>
      <c r="AC26" s="779">
        <v>0.72099999999999997</v>
      </c>
      <c r="AD26" s="779">
        <v>1.083</v>
      </c>
      <c r="AE26" s="776"/>
      <c r="AF26" s="780">
        <v>46.96</v>
      </c>
      <c r="AG26" s="781">
        <v>55.5</v>
      </c>
      <c r="AH26" s="781">
        <v>29.85</v>
      </c>
      <c r="AI26" s="781">
        <v>36</v>
      </c>
      <c r="AJ26" s="781">
        <v>40.69</v>
      </c>
      <c r="AK26" s="781">
        <v>39.270000000000003</v>
      </c>
      <c r="AL26" s="781">
        <v>20.02</v>
      </c>
      <c r="AM26" s="781">
        <v>46.96</v>
      </c>
      <c r="AN26" s="781">
        <v>54.57</v>
      </c>
      <c r="AO26" s="781">
        <v>51.65</v>
      </c>
      <c r="AP26" s="781">
        <v>16.940000000000001</v>
      </c>
      <c r="AQ26" s="782">
        <v>758.70699999999999</v>
      </c>
      <c r="AR26" s="411"/>
      <c r="AS26" s="411"/>
      <c r="AT26" s="411"/>
      <c r="AU26" s="411"/>
      <c r="AV26" s="411"/>
      <c r="AW26" s="396"/>
      <c r="AX26" s="775">
        <v>-15.6</v>
      </c>
      <c r="AY26" s="776"/>
      <c r="AZ26" s="851">
        <v>0.88300000000000001</v>
      </c>
      <c r="BA26" s="853">
        <v>0.73</v>
      </c>
      <c r="BB26" s="853">
        <v>0.72099999999999997</v>
      </c>
      <c r="BC26" s="853">
        <v>1.083</v>
      </c>
      <c r="BD26" s="776"/>
      <c r="BE26" s="808"/>
      <c r="BF26" s="776"/>
      <c r="BG26" s="851">
        <v>0.88300000000000001</v>
      </c>
      <c r="BH26" s="853">
        <v>0.73</v>
      </c>
      <c r="BI26" s="853">
        <v>0.72099999999999997</v>
      </c>
      <c r="BJ26" s="853">
        <v>1.083</v>
      </c>
      <c r="BK26" s="776"/>
      <c r="BL26" s="834"/>
      <c r="BM26" s="776"/>
      <c r="BN26" s="777">
        <v>0.88300000000000001</v>
      </c>
      <c r="BO26" s="779">
        <v>0.73</v>
      </c>
      <c r="BP26" s="779">
        <v>0.72099999999999997</v>
      </c>
      <c r="BQ26" s="779">
        <v>1.083</v>
      </c>
      <c r="BR26" s="776"/>
      <c r="BS26" s="842"/>
      <c r="BT26" s="776"/>
      <c r="BU26" s="777">
        <v>0.88300000000000001</v>
      </c>
      <c r="BV26" s="779">
        <v>0.73</v>
      </c>
      <c r="BW26" s="779">
        <v>0.72099999999999997</v>
      </c>
      <c r="BX26" s="779">
        <v>1.083</v>
      </c>
      <c r="BY26" s="776"/>
      <c r="BZ26" s="774"/>
      <c r="CA26" s="776"/>
      <c r="CB26" s="777">
        <v>0.88300000000000001</v>
      </c>
      <c r="CC26" s="779">
        <v>0.73</v>
      </c>
      <c r="CD26" s="779">
        <v>0.72099999999999997</v>
      </c>
      <c r="CE26" s="779">
        <v>1.083</v>
      </c>
      <c r="CF26" s="776"/>
      <c r="CG26" s="834"/>
      <c r="CH26" s="776"/>
      <c r="CI26" s="777">
        <v>0.88300000000000001</v>
      </c>
      <c r="CJ26" s="779">
        <v>0.73</v>
      </c>
      <c r="CK26" s="779">
        <v>0.72099999999999997</v>
      </c>
      <c r="CL26" s="779">
        <v>1.083</v>
      </c>
      <c r="CM26" s="776"/>
      <c r="CN26" s="834"/>
      <c r="CO26" s="776"/>
      <c r="CP26" s="777">
        <v>0.88300000000000001</v>
      </c>
      <c r="CQ26" s="779">
        <v>0.73</v>
      </c>
      <c r="CR26" s="779">
        <v>0.72099999999999997</v>
      </c>
      <c r="CS26" s="779">
        <v>1.083</v>
      </c>
      <c r="CT26" s="776"/>
      <c r="CU26" s="396"/>
      <c r="CV26" s="776"/>
      <c r="CW26" s="777">
        <v>0.88300000000000001</v>
      </c>
      <c r="CX26" s="779">
        <v>0.73</v>
      </c>
      <c r="CY26" s="779">
        <v>0.72099999999999997</v>
      </c>
      <c r="CZ26" s="779">
        <v>1.083</v>
      </c>
      <c r="DA26" s="776"/>
      <c r="DB26" s="396"/>
      <c r="DC26" s="411"/>
      <c r="DD26" s="411"/>
      <c r="DE26" s="411"/>
      <c r="DF26" s="411"/>
      <c r="DG26" s="411"/>
      <c r="DH26" s="411"/>
      <c r="DI26" s="411"/>
      <c r="DJ26" s="411"/>
      <c r="DK26" s="411"/>
      <c r="DL26" s="411"/>
      <c r="DM26" s="411"/>
      <c r="DN26" s="394"/>
      <c r="DO26" s="411"/>
      <c r="DP26" s="411"/>
      <c r="DQ26" s="411"/>
      <c r="DR26" s="411"/>
      <c r="DS26" s="411"/>
      <c r="DT26" s="394"/>
      <c r="DU26" s="411"/>
      <c r="DV26" s="394"/>
      <c r="DW26" s="411"/>
      <c r="DX26" s="411"/>
      <c r="DY26" s="394"/>
      <c r="DZ26" s="411"/>
      <c r="EA26" s="394"/>
      <c r="EB26" s="411"/>
      <c r="EC26" s="411"/>
      <c r="ED26" s="411"/>
      <c r="EE26" s="411"/>
      <c r="EF26" s="411"/>
      <c r="EG26" s="411"/>
      <c r="EH26" s="411"/>
      <c r="EI26" s="411"/>
      <c r="EJ26" s="411"/>
      <c r="EK26" s="411"/>
      <c r="EL26" s="411"/>
      <c r="EM26" s="394"/>
      <c r="EN26" s="411"/>
      <c r="EO26" s="411"/>
      <c r="EP26" s="411"/>
      <c r="EQ26" s="411"/>
      <c r="ER26" s="411"/>
      <c r="ES26" s="394"/>
      <c r="ET26" s="411"/>
      <c r="EU26" s="394"/>
      <c r="EV26" s="411"/>
      <c r="EW26" s="411"/>
      <c r="EX26" s="394"/>
      <c r="EY26" s="411"/>
      <c r="EZ26" s="394"/>
      <c r="FA26" s="411"/>
      <c r="FB26" s="411"/>
      <c r="FC26" s="411"/>
      <c r="FD26" s="411"/>
      <c r="FE26" s="411"/>
      <c r="FF26" s="411"/>
      <c r="FG26" s="411"/>
      <c r="FH26" s="411"/>
      <c r="FI26" s="411"/>
      <c r="FJ26" s="411"/>
      <c r="FK26" s="411"/>
      <c r="FL26" s="394"/>
      <c r="FM26" s="411"/>
      <c r="FN26" s="411"/>
      <c r="FO26" s="411"/>
      <c r="FP26" s="411"/>
      <c r="FQ26" s="411"/>
      <c r="FR26" s="394"/>
      <c r="FS26" s="411"/>
      <c r="FT26" s="394"/>
      <c r="FU26" s="411"/>
      <c r="FV26" s="411"/>
      <c r="FW26" s="394"/>
      <c r="FX26" s="411"/>
      <c r="FY26" s="394"/>
      <c r="FZ26" s="411"/>
      <c r="GA26" s="411"/>
      <c r="GB26" s="411"/>
      <c r="GC26" s="411"/>
      <c r="GD26" s="411"/>
      <c r="GE26" s="411"/>
      <c r="GF26" s="411"/>
      <c r="GG26" s="411"/>
      <c r="GH26" s="411"/>
      <c r="GI26" s="411"/>
      <c r="GJ26" s="411"/>
      <c r="GK26" s="394"/>
      <c r="GL26" s="411"/>
      <c r="GM26" s="411"/>
      <c r="GN26" s="411"/>
      <c r="GO26" s="411"/>
      <c r="GP26" s="411"/>
      <c r="GQ26" s="394"/>
      <c r="GR26" s="411"/>
      <c r="GS26" s="394"/>
      <c r="GT26" s="411"/>
      <c r="GU26" s="411"/>
      <c r="GV26" s="394"/>
      <c r="GW26" s="411"/>
      <c r="GX26" s="394"/>
      <c r="GY26" s="411"/>
      <c r="GZ26" s="411"/>
      <c r="HA26" s="411"/>
      <c r="HB26" s="411"/>
      <c r="HC26" s="411"/>
      <c r="HD26" s="411"/>
      <c r="HE26" s="411"/>
      <c r="HF26" s="411"/>
      <c r="HG26" s="411"/>
      <c r="HH26" s="411"/>
      <c r="HI26" s="411"/>
      <c r="HJ26" s="394"/>
      <c r="HK26" s="411"/>
      <c r="HL26" s="411"/>
      <c r="HM26" s="411"/>
      <c r="HN26" s="411"/>
      <c r="HO26" s="411"/>
      <c r="HP26" s="394"/>
      <c r="HQ26" s="411"/>
      <c r="HR26" s="394"/>
      <c r="HS26" s="411"/>
      <c r="HT26" s="411"/>
      <c r="HU26" s="394"/>
      <c r="HV26" s="411"/>
      <c r="HW26" s="394"/>
      <c r="HX26" s="411"/>
      <c r="HY26" s="411"/>
      <c r="HZ26" s="411"/>
      <c r="IA26" s="411"/>
      <c r="IB26" s="411"/>
      <c r="IC26" s="411"/>
      <c r="ID26" s="411"/>
      <c r="IE26" s="411"/>
      <c r="IF26" s="411"/>
      <c r="IG26" s="411"/>
      <c r="IH26" s="411"/>
      <c r="II26" s="394"/>
      <c r="IJ26" s="411"/>
      <c r="IK26" s="411"/>
      <c r="IL26" s="411"/>
      <c r="IM26" s="411"/>
      <c r="IN26" s="411"/>
      <c r="IP26" s="411"/>
      <c r="IR26" s="411"/>
      <c r="IS26" s="411"/>
      <c r="IU26" s="411"/>
      <c r="IW26" s="411"/>
      <c r="IX26" s="411"/>
      <c r="IY26" s="411"/>
      <c r="IZ26" s="411"/>
      <c r="JA26" s="411"/>
      <c r="JB26" s="411"/>
      <c r="JC26" s="411"/>
      <c r="JD26" s="411"/>
      <c r="JE26" s="411"/>
      <c r="JF26" s="411"/>
      <c r="JG26" s="411"/>
    </row>
    <row r="27" spans="1:267" x14ac:dyDescent="0.3">
      <c r="A27" s="754" t="s">
        <v>939</v>
      </c>
      <c r="B27" s="757" t="s">
        <v>168</v>
      </c>
      <c r="C27" s="757" t="s">
        <v>30</v>
      </c>
      <c r="D27" s="757" t="s">
        <v>162</v>
      </c>
      <c r="E27" s="757" t="s">
        <v>168</v>
      </c>
      <c r="F27" s="757" t="s">
        <v>168</v>
      </c>
      <c r="G27" s="757">
        <v>4.3079999999999998</v>
      </c>
      <c r="H27" s="757">
        <v>71</v>
      </c>
      <c r="I27" s="757">
        <v>305.89999999999998</v>
      </c>
      <c r="J27" s="757">
        <v>12</v>
      </c>
      <c r="K27" s="757">
        <v>9</v>
      </c>
      <c r="L27" s="757">
        <v>10</v>
      </c>
      <c r="M27" s="757">
        <v>219.37</v>
      </c>
      <c r="N27" s="757">
        <v>1.0800000000000001E-2</v>
      </c>
      <c r="O27" s="757">
        <v>14</v>
      </c>
      <c r="P27" s="757">
        <v>18</v>
      </c>
      <c r="Q27" s="757" t="s">
        <v>353</v>
      </c>
      <c r="S27" s="764">
        <v>463.96600000000001</v>
      </c>
      <c r="T27" s="760">
        <v>579.31100000000004</v>
      </c>
      <c r="U27" s="760">
        <v>556.37599999999998</v>
      </c>
      <c r="V27" s="760">
        <v>569.51900000000001</v>
      </c>
      <c r="W27" s="760">
        <v>320.80500000000001</v>
      </c>
      <c r="X27" s="415"/>
      <c r="Y27" s="775">
        <v>-46.438000000000002</v>
      </c>
      <c r="Z27" s="776">
        <v>0.99</v>
      </c>
      <c r="AA27" s="777">
        <v>0.84299999999999997</v>
      </c>
      <c r="AB27" s="779">
        <v>0.64500000000000002</v>
      </c>
      <c r="AC27" s="779">
        <v>0.74199999999999999</v>
      </c>
      <c r="AD27" s="779">
        <v>1.0580000000000001</v>
      </c>
      <c r="AE27" s="776">
        <v>0.99</v>
      </c>
      <c r="AF27" s="780">
        <v>41</v>
      </c>
      <c r="AG27" s="781">
        <v>56</v>
      </c>
      <c r="AH27" s="781">
        <v>33</v>
      </c>
      <c r="AI27" s="781">
        <v>25</v>
      </c>
      <c r="AJ27" s="781">
        <v>48</v>
      </c>
      <c r="AK27" s="781">
        <v>26.34</v>
      </c>
      <c r="AL27" s="781">
        <v>24.58</v>
      </c>
      <c r="AM27" s="781">
        <v>34</v>
      </c>
      <c r="AN27" s="781">
        <v>60</v>
      </c>
      <c r="AO27" s="781">
        <v>43</v>
      </c>
      <c r="AP27" s="781">
        <v>22.04</v>
      </c>
      <c r="AQ27" s="782">
        <v>199.702</v>
      </c>
      <c r="AR27" s="411"/>
      <c r="AS27" s="411"/>
      <c r="AT27" s="411"/>
      <c r="AU27" s="411"/>
      <c r="AV27" s="411"/>
      <c r="AX27" s="775">
        <v>-46.438000000000002</v>
      </c>
      <c r="AY27" s="776"/>
      <c r="AZ27" s="851">
        <v>0.84299999999999997</v>
      </c>
      <c r="BA27" s="853">
        <v>0.64500000000000002</v>
      </c>
      <c r="BB27" s="853">
        <v>0.74199999999999999</v>
      </c>
      <c r="BC27" s="853">
        <v>1.0580000000000001</v>
      </c>
      <c r="BD27" s="776"/>
      <c r="BE27" s="808"/>
      <c r="BF27" s="776"/>
      <c r="BG27" s="851">
        <v>0.84299999999999997</v>
      </c>
      <c r="BH27" s="853">
        <v>0.64500000000000002</v>
      </c>
      <c r="BI27" s="853">
        <v>0.74199999999999999</v>
      </c>
      <c r="BJ27" s="853">
        <v>1.0580000000000001</v>
      </c>
      <c r="BK27" s="776"/>
      <c r="BL27" s="834"/>
      <c r="BM27" s="776">
        <v>0.99</v>
      </c>
      <c r="BN27" s="777">
        <v>0.84299999999999997</v>
      </c>
      <c r="BO27" s="779">
        <v>0.64500000000000002</v>
      </c>
      <c r="BP27" s="779">
        <v>0.74199999999999999</v>
      </c>
      <c r="BQ27" s="779">
        <v>1.0580000000000001</v>
      </c>
      <c r="BR27" s="776">
        <v>0.99</v>
      </c>
      <c r="BS27" s="842"/>
      <c r="BT27" s="776">
        <v>0.99</v>
      </c>
      <c r="BU27" s="777">
        <v>0.84299999999999997</v>
      </c>
      <c r="BV27" s="779">
        <v>0.64500000000000002</v>
      </c>
      <c r="BW27" s="779">
        <v>0.74199999999999999</v>
      </c>
      <c r="BX27" s="779">
        <v>1.0580000000000001</v>
      </c>
      <c r="BY27" s="776">
        <v>0.99</v>
      </c>
      <c r="BZ27" s="774"/>
      <c r="CA27" s="776">
        <v>0.99</v>
      </c>
      <c r="CB27" s="777">
        <v>0.84299999999999997</v>
      </c>
      <c r="CC27" s="779">
        <v>0.64500000000000002</v>
      </c>
      <c r="CD27" s="779">
        <v>0.74199999999999999</v>
      </c>
      <c r="CE27" s="779">
        <v>1.0580000000000001</v>
      </c>
      <c r="CF27" s="776">
        <v>0.99</v>
      </c>
      <c r="CG27" s="834"/>
      <c r="CH27" s="776">
        <v>0.99</v>
      </c>
      <c r="CI27" s="777">
        <v>0.84299999999999997</v>
      </c>
      <c r="CJ27" s="779">
        <v>0.64500000000000002</v>
      </c>
      <c r="CK27" s="779">
        <v>0.74199999999999999</v>
      </c>
      <c r="CL27" s="779">
        <v>1.0580000000000001</v>
      </c>
      <c r="CM27" s="776">
        <v>0.99</v>
      </c>
      <c r="CN27" s="834"/>
      <c r="CO27" s="776">
        <v>0.99</v>
      </c>
      <c r="CP27" s="777">
        <v>0.84299999999999997</v>
      </c>
      <c r="CQ27" s="779">
        <v>0.64500000000000002</v>
      </c>
      <c r="CR27" s="779">
        <v>0.74199999999999999</v>
      </c>
      <c r="CS27" s="779">
        <v>1.0580000000000001</v>
      </c>
      <c r="CT27" s="776">
        <v>0.99</v>
      </c>
      <c r="CU27" s="418"/>
      <c r="CV27" s="776">
        <v>0.99</v>
      </c>
      <c r="CW27" s="777">
        <v>0.84299999999999997</v>
      </c>
      <c r="CX27" s="779">
        <v>0.64500000000000002</v>
      </c>
      <c r="CY27" s="779">
        <v>0.74199999999999999</v>
      </c>
      <c r="CZ27" s="779">
        <v>1.0580000000000001</v>
      </c>
      <c r="DA27" s="776">
        <v>0.99</v>
      </c>
      <c r="DB27" s="418"/>
      <c r="DC27" s="417"/>
      <c r="DD27" s="417"/>
      <c r="DE27" s="417"/>
      <c r="DF27" s="417"/>
      <c r="DG27" s="417"/>
      <c r="DH27" s="417"/>
      <c r="DI27" s="417"/>
      <c r="DJ27" s="417"/>
      <c r="DK27" s="417"/>
      <c r="DL27" s="417"/>
      <c r="DM27" s="417"/>
      <c r="DN27" s="394"/>
      <c r="DO27" s="411"/>
      <c r="DP27" s="411"/>
      <c r="DQ27" s="411"/>
      <c r="DR27" s="411"/>
      <c r="DS27" s="411"/>
      <c r="DU27" s="411"/>
      <c r="DW27" s="411"/>
      <c r="DX27" s="411"/>
      <c r="DZ27" s="411"/>
      <c r="EB27" s="411"/>
      <c r="EC27" s="411"/>
      <c r="ED27" s="411"/>
      <c r="EE27" s="411"/>
      <c r="EF27" s="411"/>
      <c r="EG27" s="411"/>
      <c r="EH27" s="411"/>
      <c r="EI27" s="411"/>
      <c r="EJ27" s="411"/>
      <c r="EK27" s="411"/>
      <c r="EL27" s="411"/>
      <c r="EM27" s="394"/>
      <c r="EN27" s="411"/>
      <c r="EO27" s="411"/>
      <c r="EP27" s="411"/>
      <c r="EQ27" s="411"/>
      <c r="ER27" s="411"/>
      <c r="ES27" s="394"/>
      <c r="ET27" s="411"/>
      <c r="EU27" s="394"/>
      <c r="EV27" s="411"/>
      <c r="EW27" s="411"/>
      <c r="EX27" s="394"/>
      <c r="EY27" s="411"/>
      <c r="EZ27" s="412"/>
      <c r="FA27" s="411"/>
      <c r="FB27" s="411"/>
      <c r="FC27" s="411"/>
      <c r="FD27" s="411"/>
      <c r="FE27" s="411"/>
      <c r="FF27" s="411"/>
      <c r="FG27" s="411"/>
      <c r="FH27" s="411"/>
      <c r="FI27" s="411"/>
      <c r="FJ27" s="411"/>
      <c r="FK27" s="411"/>
      <c r="FL27" s="394"/>
      <c r="FM27" s="411"/>
      <c r="FN27" s="411"/>
      <c r="FO27" s="411"/>
      <c r="FP27" s="411"/>
      <c r="FQ27" s="411"/>
      <c r="FS27" s="411"/>
      <c r="FU27" s="411"/>
      <c r="FV27" s="411"/>
      <c r="FX27" s="411"/>
      <c r="FY27" s="396"/>
      <c r="FZ27" s="411"/>
      <c r="GA27" s="411"/>
      <c r="GB27" s="411"/>
      <c r="GC27" s="411"/>
      <c r="GD27" s="411"/>
      <c r="GE27" s="411"/>
      <c r="GF27" s="411"/>
      <c r="GG27" s="411"/>
      <c r="GH27" s="411"/>
      <c r="GI27" s="411"/>
      <c r="GJ27" s="411"/>
      <c r="GL27" s="411"/>
      <c r="GM27" s="411"/>
      <c r="GN27" s="411"/>
      <c r="GO27" s="411"/>
      <c r="GP27" s="411"/>
      <c r="GR27" s="411"/>
      <c r="GT27" s="411"/>
      <c r="GU27" s="411"/>
      <c r="GW27" s="411"/>
      <c r="GY27" s="411"/>
      <c r="GZ27" s="411"/>
      <c r="HA27" s="411"/>
      <c r="HB27" s="411"/>
      <c r="HC27" s="411"/>
      <c r="HD27" s="411"/>
      <c r="HE27" s="411"/>
      <c r="HF27" s="411"/>
      <c r="HG27" s="411"/>
      <c r="HH27" s="411"/>
      <c r="HI27" s="411"/>
      <c r="HK27" s="411"/>
      <c r="HL27" s="411"/>
      <c r="HM27" s="411"/>
      <c r="HN27" s="411"/>
      <c r="HO27" s="411"/>
      <c r="HQ27" s="411"/>
      <c r="HS27" s="411"/>
      <c r="HT27" s="411"/>
      <c r="HV27" s="411"/>
      <c r="HX27" s="411"/>
      <c r="HY27" s="411"/>
      <c r="HZ27" s="411"/>
      <c r="IA27" s="411"/>
      <c r="IB27" s="411"/>
      <c r="IC27" s="411"/>
      <c r="ID27" s="411"/>
      <c r="IE27" s="411"/>
      <c r="IF27" s="411"/>
      <c r="IG27" s="411"/>
      <c r="IH27" s="411"/>
      <c r="II27" s="394"/>
      <c r="IJ27" s="417"/>
      <c r="IK27" s="417"/>
      <c r="IL27" s="417"/>
      <c r="IM27" s="417"/>
      <c r="IN27" s="417"/>
      <c r="IO27" s="418"/>
      <c r="IP27" s="417"/>
      <c r="IQ27" s="418"/>
      <c r="IR27" s="417"/>
      <c r="IS27" s="417"/>
      <c r="IT27" s="418"/>
      <c r="IU27" s="417"/>
      <c r="IV27" s="418"/>
      <c r="IW27" s="417"/>
      <c r="IX27" s="417"/>
      <c r="IY27" s="417"/>
      <c r="IZ27" s="417"/>
      <c r="JA27" s="417"/>
      <c r="JB27" s="417"/>
      <c r="JC27" s="417"/>
      <c r="JD27" s="417"/>
      <c r="JE27" s="417"/>
      <c r="JF27" s="417"/>
      <c r="JG27" s="417"/>
    </row>
    <row r="28" spans="1:267" ht="12.75" customHeight="1" x14ac:dyDescent="0.3">
      <c r="A28" s="752" t="s">
        <v>940</v>
      </c>
      <c r="B28" s="757" t="s">
        <v>168</v>
      </c>
      <c r="C28" s="757" t="s">
        <v>693</v>
      </c>
      <c r="D28" s="757" t="s">
        <v>168</v>
      </c>
      <c r="E28" s="757" t="s">
        <v>168</v>
      </c>
      <c r="F28" s="757" t="s">
        <v>353</v>
      </c>
      <c r="G28" s="757">
        <v>3.7160000000000002</v>
      </c>
      <c r="H28" s="757">
        <v>79</v>
      </c>
      <c r="I28" s="757">
        <v>293.60000000000002</v>
      </c>
      <c r="J28" s="757">
        <v>8</v>
      </c>
      <c r="K28" s="757">
        <v>12</v>
      </c>
      <c r="L28" s="757">
        <v>7</v>
      </c>
      <c r="M28" s="757">
        <v>171.97</v>
      </c>
      <c r="N28" s="757">
        <v>9.2999999999999992E-3</v>
      </c>
      <c r="O28" s="757">
        <v>12</v>
      </c>
      <c r="P28" s="757">
        <v>14</v>
      </c>
      <c r="Q28" s="757" t="s">
        <v>353</v>
      </c>
      <c r="S28" s="765">
        <v>675.06299999999999</v>
      </c>
      <c r="T28" s="765">
        <v>470.95</v>
      </c>
      <c r="U28" s="765">
        <v>626.37199999999996</v>
      </c>
      <c r="V28" s="765">
        <v>620.96900000000005</v>
      </c>
      <c r="W28" s="765">
        <v>535.34100000000001</v>
      </c>
      <c r="X28" s="415"/>
      <c r="Y28" s="775">
        <v>40.545999999999999</v>
      </c>
      <c r="Z28" s="776">
        <v>0.97</v>
      </c>
      <c r="AA28" s="777">
        <v>0.84</v>
      </c>
      <c r="AB28" s="779">
        <v>0.71699999999999997</v>
      </c>
      <c r="AC28" s="779">
        <v>0.67</v>
      </c>
      <c r="AD28" s="779">
        <v>0.99399999999999999</v>
      </c>
      <c r="AE28" s="776">
        <v>0.97</v>
      </c>
      <c r="AF28" s="780">
        <v>30</v>
      </c>
      <c r="AG28" s="781">
        <v>52</v>
      </c>
      <c r="AH28" s="781">
        <v>45</v>
      </c>
      <c r="AI28" s="781">
        <v>43</v>
      </c>
      <c r="AJ28" s="781">
        <v>38</v>
      </c>
      <c r="AK28" s="781">
        <v>35</v>
      </c>
      <c r="AL28" s="781">
        <v>37</v>
      </c>
      <c r="AM28" s="781">
        <v>47</v>
      </c>
      <c r="AN28" s="781">
        <v>53</v>
      </c>
      <c r="AO28" s="781">
        <v>37</v>
      </c>
      <c r="AP28" s="781">
        <v>22.5</v>
      </c>
      <c r="AQ28" s="782">
        <v>275.09100000000001</v>
      </c>
      <c r="AR28" s="411"/>
      <c r="AS28" s="411"/>
      <c r="AT28" s="411"/>
      <c r="AU28" s="411"/>
      <c r="AV28" s="411"/>
      <c r="AW28" s="394"/>
      <c r="AX28" s="775">
        <v>40.545999999999999</v>
      </c>
      <c r="AY28" s="776"/>
      <c r="AZ28" s="851">
        <v>0.84</v>
      </c>
      <c r="BA28" s="853">
        <v>0.71699999999999997</v>
      </c>
      <c r="BB28" s="853">
        <v>0.67</v>
      </c>
      <c r="BC28" s="853">
        <v>0.99399999999999999</v>
      </c>
      <c r="BD28" s="776"/>
      <c r="BE28" s="808"/>
      <c r="BF28" s="776"/>
      <c r="BG28" s="851">
        <v>0.84</v>
      </c>
      <c r="BH28" s="853">
        <v>0.71699999999999997</v>
      </c>
      <c r="BI28" s="853">
        <v>0.67</v>
      </c>
      <c r="BJ28" s="853">
        <v>0.99399999999999999</v>
      </c>
      <c r="BK28" s="776"/>
      <c r="BL28" s="834"/>
      <c r="BM28" s="776">
        <v>0.97</v>
      </c>
      <c r="BN28" s="777">
        <v>0.84</v>
      </c>
      <c r="BO28" s="779">
        <v>0.71699999999999997</v>
      </c>
      <c r="BP28" s="779">
        <v>0.67</v>
      </c>
      <c r="BQ28" s="779">
        <v>0.99399999999999999</v>
      </c>
      <c r="BR28" s="776">
        <v>0.97</v>
      </c>
      <c r="BS28" s="842"/>
      <c r="BT28" s="776">
        <v>0.97</v>
      </c>
      <c r="BU28" s="777">
        <v>0.84</v>
      </c>
      <c r="BV28" s="779">
        <v>0.71699999999999997</v>
      </c>
      <c r="BW28" s="779">
        <v>0.67</v>
      </c>
      <c r="BX28" s="779">
        <v>0.99399999999999999</v>
      </c>
      <c r="BY28" s="776">
        <v>0.97</v>
      </c>
      <c r="BZ28" s="774"/>
      <c r="CA28" s="776">
        <v>0.97</v>
      </c>
      <c r="CB28" s="777">
        <v>0.84</v>
      </c>
      <c r="CC28" s="779">
        <v>0.71699999999999997</v>
      </c>
      <c r="CD28" s="779">
        <v>0.67</v>
      </c>
      <c r="CE28" s="779">
        <v>0.99399999999999999</v>
      </c>
      <c r="CF28" s="776">
        <v>0.97</v>
      </c>
      <c r="CG28" s="834"/>
      <c r="CH28" s="776">
        <v>0.97</v>
      </c>
      <c r="CI28" s="777">
        <v>0.84</v>
      </c>
      <c r="CJ28" s="779">
        <v>0.71699999999999997</v>
      </c>
      <c r="CK28" s="779">
        <v>0.67</v>
      </c>
      <c r="CL28" s="779">
        <v>0.99399999999999999</v>
      </c>
      <c r="CM28" s="776">
        <v>0.97</v>
      </c>
      <c r="CN28" s="834"/>
      <c r="CO28" s="776">
        <v>0.97</v>
      </c>
      <c r="CP28" s="777">
        <v>0.84</v>
      </c>
      <c r="CQ28" s="779">
        <v>0.71699999999999997</v>
      </c>
      <c r="CR28" s="779">
        <v>0.67</v>
      </c>
      <c r="CS28" s="779">
        <v>0.99399999999999999</v>
      </c>
      <c r="CT28" s="776">
        <v>0.97</v>
      </c>
      <c r="CU28" s="396"/>
      <c r="CV28" s="776">
        <v>0.97</v>
      </c>
      <c r="CW28" s="777">
        <v>0.84</v>
      </c>
      <c r="CX28" s="779">
        <v>0.71699999999999997</v>
      </c>
      <c r="CY28" s="779">
        <v>0.67</v>
      </c>
      <c r="CZ28" s="779">
        <v>0.99399999999999999</v>
      </c>
      <c r="DA28" s="776">
        <v>0.97</v>
      </c>
      <c r="DB28" s="396"/>
      <c r="DC28" s="411"/>
      <c r="DD28" s="411"/>
      <c r="DE28" s="411"/>
      <c r="DF28" s="411"/>
      <c r="DG28" s="411"/>
      <c r="DH28" s="411"/>
      <c r="DI28" s="411"/>
      <c r="DJ28" s="411"/>
      <c r="DK28" s="411"/>
      <c r="DL28" s="411"/>
      <c r="DM28" s="411"/>
      <c r="DN28" s="394"/>
      <c r="DO28" s="411"/>
      <c r="DP28" s="411"/>
      <c r="DQ28" s="411"/>
      <c r="DR28" s="411"/>
      <c r="DS28" s="411"/>
      <c r="DU28" s="411"/>
      <c r="DW28" s="411"/>
      <c r="DX28" s="411"/>
      <c r="DZ28" s="411"/>
      <c r="EB28" s="411"/>
      <c r="EC28" s="411"/>
      <c r="ED28" s="411"/>
      <c r="EE28" s="411"/>
      <c r="EF28" s="411"/>
      <c r="EG28" s="411"/>
      <c r="EH28" s="411"/>
      <c r="EI28" s="411"/>
      <c r="EJ28" s="411"/>
      <c r="EK28" s="411"/>
      <c r="EL28" s="411"/>
      <c r="EM28" s="394"/>
      <c r="EN28" s="411"/>
      <c r="EO28" s="411"/>
      <c r="EP28" s="411"/>
      <c r="EQ28" s="411"/>
      <c r="ER28" s="411"/>
      <c r="ES28" s="394"/>
      <c r="ET28" s="411"/>
      <c r="EU28" s="394"/>
      <c r="EV28" s="411"/>
      <c r="EW28" s="411"/>
      <c r="EX28" s="396"/>
      <c r="EY28" s="411"/>
      <c r="EZ28" s="396"/>
      <c r="FA28" s="411"/>
      <c r="FB28" s="411"/>
      <c r="FC28" s="411"/>
      <c r="FD28" s="411"/>
      <c r="FE28" s="411"/>
      <c r="FF28" s="411"/>
      <c r="FG28" s="411"/>
      <c r="FH28" s="411"/>
      <c r="FI28" s="411"/>
      <c r="FJ28" s="411"/>
      <c r="FK28" s="411"/>
      <c r="FL28" s="394"/>
      <c r="FM28" s="411"/>
      <c r="FN28" s="411"/>
      <c r="FO28" s="411"/>
      <c r="FP28" s="411"/>
      <c r="FQ28" s="411"/>
      <c r="FS28" s="411"/>
      <c r="FU28" s="411"/>
      <c r="FV28" s="411"/>
      <c r="FX28" s="411"/>
      <c r="FZ28" s="411"/>
      <c r="GA28" s="411"/>
      <c r="GB28" s="411"/>
      <c r="GC28" s="411"/>
      <c r="GD28" s="411"/>
      <c r="GE28" s="411"/>
      <c r="GF28" s="411"/>
      <c r="GG28" s="411"/>
      <c r="GH28" s="411"/>
      <c r="GI28" s="411"/>
      <c r="GJ28" s="411"/>
      <c r="GL28" s="411"/>
      <c r="GM28" s="411"/>
      <c r="GN28" s="411"/>
      <c r="GO28" s="411"/>
      <c r="GP28" s="411"/>
      <c r="GR28" s="411"/>
      <c r="GT28" s="411"/>
      <c r="GU28" s="421"/>
      <c r="GW28" s="411"/>
      <c r="GY28" s="411"/>
      <c r="GZ28" s="411"/>
      <c r="HA28" s="411"/>
      <c r="HB28" s="411"/>
      <c r="HC28" s="411"/>
      <c r="HD28" s="411"/>
      <c r="HE28" s="411"/>
      <c r="HF28" s="411"/>
      <c r="HG28" s="411"/>
      <c r="HH28" s="411"/>
      <c r="HI28" s="411"/>
      <c r="HK28" s="411"/>
      <c r="HL28" s="411"/>
      <c r="HM28" s="411"/>
      <c r="HN28" s="411"/>
      <c r="HO28" s="411"/>
      <c r="HQ28" s="411"/>
      <c r="HS28" s="411"/>
      <c r="HT28" s="411"/>
      <c r="HV28" s="411"/>
      <c r="HX28" s="411"/>
      <c r="HY28" s="411"/>
      <c r="HZ28" s="411"/>
      <c r="IA28" s="411"/>
      <c r="IB28" s="411"/>
      <c r="IC28" s="411"/>
      <c r="ID28" s="411"/>
      <c r="IE28" s="411"/>
      <c r="IF28" s="411"/>
      <c r="IG28" s="411"/>
      <c r="IH28" s="411"/>
      <c r="II28" s="394"/>
      <c r="IJ28" s="413"/>
      <c r="IK28" s="413"/>
      <c r="IL28" s="413"/>
      <c r="IM28" s="413"/>
      <c r="IN28" s="413"/>
      <c r="IO28" s="414"/>
      <c r="IP28" s="413"/>
      <c r="IQ28" s="414"/>
      <c r="IR28" s="413"/>
      <c r="IS28" s="413"/>
      <c r="IT28" s="414"/>
      <c r="IU28" s="413"/>
      <c r="IV28" s="414"/>
      <c r="IW28" s="413"/>
      <c r="IX28" s="413"/>
      <c r="IY28" s="413"/>
      <c r="IZ28" s="413"/>
      <c r="JA28" s="413"/>
      <c r="JB28" s="413"/>
      <c r="JC28" s="413"/>
      <c r="JD28" s="413"/>
      <c r="JE28" s="413"/>
      <c r="JF28" s="413"/>
      <c r="JG28" s="413"/>
    </row>
    <row r="29" spans="1:267" ht="12.75" customHeight="1" x14ac:dyDescent="0.3">
      <c r="A29" s="752" t="s">
        <v>941</v>
      </c>
      <c r="B29" s="757" t="s">
        <v>168</v>
      </c>
      <c r="C29" s="757" t="s">
        <v>30</v>
      </c>
      <c r="D29" s="757" t="s">
        <v>168</v>
      </c>
      <c r="E29" s="757" t="s">
        <v>168</v>
      </c>
      <c r="F29" s="757" t="s">
        <v>168</v>
      </c>
      <c r="G29" s="757">
        <v>5.3339999999999996</v>
      </c>
      <c r="H29" s="757">
        <v>58</v>
      </c>
      <c r="I29" s="757">
        <v>309.39999999999998</v>
      </c>
      <c r="J29" s="757">
        <v>13</v>
      </c>
      <c r="K29" s="757">
        <v>10</v>
      </c>
      <c r="L29" s="757">
        <v>14</v>
      </c>
      <c r="M29" s="757">
        <v>231.53</v>
      </c>
      <c r="N29" s="757">
        <v>1.2500000000000001E-2</v>
      </c>
      <c r="O29" s="757">
        <v>14</v>
      </c>
      <c r="P29" s="757">
        <v>16</v>
      </c>
      <c r="Q29" s="757" t="s">
        <v>353</v>
      </c>
      <c r="S29" s="764">
        <v>388.18799999999999</v>
      </c>
      <c r="T29" s="760">
        <v>543.45899999999995</v>
      </c>
      <c r="U29" s="760">
        <v>701.25900000000001</v>
      </c>
      <c r="V29" s="760">
        <v>544.81600000000003</v>
      </c>
      <c r="W29" s="760">
        <v>636.423</v>
      </c>
      <c r="X29" s="415"/>
      <c r="Y29" s="775">
        <v>110.386</v>
      </c>
      <c r="Z29" s="776">
        <v>0.99</v>
      </c>
      <c r="AA29" s="777">
        <v>0.85699999999999998</v>
      </c>
      <c r="AB29" s="779">
        <v>0.67500000000000004</v>
      </c>
      <c r="AC29" s="779">
        <v>0.79500000000000004</v>
      </c>
      <c r="AD29" s="779">
        <v>1.141</v>
      </c>
      <c r="AE29" s="776">
        <v>0.98</v>
      </c>
      <c r="AF29" s="780">
        <v>28</v>
      </c>
      <c r="AG29" s="781">
        <v>32.5</v>
      </c>
      <c r="AH29" s="781">
        <v>18</v>
      </c>
      <c r="AI29" s="781">
        <v>20</v>
      </c>
      <c r="AJ29" s="781">
        <v>21.05</v>
      </c>
      <c r="AK29" s="781">
        <v>21.05</v>
      </c>
      <c r="AL29" s="781">
        <v>28</v>
      </c>
      <c r="AM29" s="781">
        <v>22.5</v>
      </c>
      <c r="AN29" s="781">
        <v>43</v>
      </c>
      <c r="AO29" s="781">
        <v>20.5</v>
      </c>
      <c r="AP29" s="781">
        <v>19</v>
      </c>
      <c r="AQ29" s="782">
        <v>157.89099999999999</v>
      </c>
      <c r="AR29" s="411"/>
      <c r="AS29" s="411"/>
      <c r="AT29" s="411"/>
      <c r="AU29" s="411"/>
      <c r="AV29" s="411"/>
      <c r="AW29" s="394"/>
      <c r="AX29" s="775">
        <v>110.386</v>
      </c>
      <c r="AY29" s="776"/>
      <c r="AZ29" s="851">
        <v>0.85699999999999998</v>
      </c>
      <c r="BA29" s="853">
        <v>0.67500000000000004</v>
      </c>
      <c r="BB29" s="853">
        <v>0.79500000000000004</v>
      </c>
      <c r="BC29" s="853">
        <v>1.141</v>
      </c>
      <c r="BD29" s="776"/>
      <c r="BE29" s="808"/>
      <c r="BF29" s="776"/>
      <c r="BG29" s="851">
        <v>0.85699999999999998</v>
      </c>
      <c r="BH29" s="853">
        <v>0.67500000000000004</v>
      </c>
      <c r="BI29" s="853">
        <v>0.79500000000000004</v>
      </c>
      <c r="BJ29" s="853">
        <v>1.141</v>
      </c>
      <c r="BK29" s="776"/>
      <c r="BL29" s="834"/>
      <c r="BM29" s="776">
        <v>0.99</v>
      </c>
      <c r="BN29" s="777">
        <v>0.85699999999999998</v>
      </c>
      <c r="BO29" s="779">
        <v>0.67500000000000004</v>
      </c>
      <c r="BP29" s="779">
        <v>0.79500000000000004</v>
      </c>
      <c r="BQ29" s="779">
        <v>1.141</v>
      </c>
      <c r="BR29" s="776">
        <v>0.98</v>
      </c>
      <c r="BS29" s="844"/>
      <c r="BT29" s="776">
        <v>0.99</v>
      </c>
      <c r="BU29" s="777">
        <v>0.85699999999999998</v>
      </c>
      <c r="BV29" s="779">
        <v>0.67500000000000004</v>
      </c>
      <c r="BW29" s="779">
        <v>0.79500000000000004</v>
      </c>
      <c r="BX29" s="779">
        <v>1.141</v>
      </c>
      <c r="BY29" s="776">
        <v>0.98</v>
      </c>
      <c r="BZ29" s="774"/>
      <c r="CA29" s="776">
        <v>0.99</v>
      </c>
      <c r="CB29" s="777">
        <v>0.85699999999999998</v>
      </c>
      <c r="CC29" s="779">
        <v>0.67500000000000004</v>
      </c>
      <c r="CD29" s="779">
        <v>0.79500000000000004</v>
      </c>
      <c r="CE29" s="779">
        <v>1.141</v>
      </c>
      <c r="CF29" s="776">
        <v>0.98</v>
      </c>
      <c r="CG29" s="834"/>
      <c r="CH29" s="776">
        <v>0.99</v>
      </c>
      <c r="CI29" s="777">
        <v>0.85699999999999998</v>
      </c>
      <c r="CJ29" s="779">
        <v>0.67500000000000004</v>
      </c>
      <c r="CK29" s="779">
        <v>0.79500000000000004</v>
      </c>
      <c r="CL29" s="779">
        <v>1.141</v>
      </c>
      <c r="CM29" s="776">
        <v>0.98</v>
      </c>
      <c r="CN29" s="834"/>
      <c r="CO29" s="776">
        <v>0.99</v>
      </c>
      <c r="CP29" s="777">
        <v>0.85699999999999998</v>
      </c>
      <c r="CQ29" s="779">
        <v>0.67500000000000004</v>
      </c>
      <c r="CR29" s="779">
        <v>0.79500000000000004</v>
      </c>
      <c r="CS29" s="779">
        <v>1.141</v>
      </c>
      <c r="CT29" s="776">
        <v>0.98</v>
      </c>
      <c r="CU29" s="394"/>
      <c r="CV29" s="776">
        <v>0.99</v>
      </c>
      <c r="CW29" s="777">
        <v>0.85699999999999998</v>
      </c>
      <c r="CX29" s="779">
        <v>0.67500000000000004</v>
      </c>
      <c r="CY29" s="779">
        <v>0.79500000000000004</v>
      </c>
      <c r="CZ29" s="779">
        <v>1.141</v>
      </c>
      <c r="DA29" s="776">
        <v>0.98</v>
      </c>
      <c r="DB29" s="394"/>
      <c r="DC29" s="411"/>
      <c r="DD29" s="411"/>
      <c r="DE29" s="411"/>
      <c r="DF29" s="411"/>
      <c r="DG29" s="411"/>
      <c r="DH29" s="411"/>
      <c r="DI29" s="411"/>
      <c r="DJ29" s="411"/>
      <c r="DK29" s="411"/>
      <c r="DL29" s="411"/>
      <c r="DM29" s="411"/>
      <c r="DN29" s="394"/>
      <c r="DO29" s="411"/>
      <c r="DP29" s="411"/>
      <c r="DQ29" s="411"/>
      <c r="DR29" s="411"/>
      <c r="DS29" s="411"/>
      <c r="DT29" s="394"/>
      <c r="DU29" s="411"/>
      <c r="DV29" s="394"/>
      <c r="DW29" s="411"/>
      <c r="DX29" s="411"/>
      <c r="DY29" s="394"/>
      <c r="DZ29" s="411"/>
      <c r="EA29" s="394"/>
      <c r="EB29" s="411"/>
      <c r="EC29" s="411"/>
      <c r="ED29" s="411"/>
      <c r="EE29" s="411"/>
      <c r="EF29" s="411"/>
      <c r="EG29" s="411"/>
      <c r="EH29" s="411"/>
      <c r="EI29" s="411"/>
      <c r="EJ29" s="411"/>
      <c r="EK29" s="411"/>
      <c r="EL29" s="411"/>
      <c r="EM29" s="394"/>
      <c r="EN29" s="421"/>
      <c r="EO29" s="411"/>
      <c r="EP29" s="411"/>
      <c r="EQ29" s="411"/>
      <c r="ER29" s="421"/>
      <c r="ES29" s="394"/>
      <c r="ET29" s="411"/>
      <c r="EU29" s="394"/>
      <c r="EV29" s="411"/>
      <c r="EW29" s="411"/>
      <c r="EX29" s="394"/>
      <c r="EY29" s="411"/>
      <c r="EZ29" s="394"/>
      <c r="FA29" s="411"/>
      <c r="FB29" s="411"/>
      <c r="FC29" s="411"/>
      <c r="FD29" s="411"/>
      <c r="FE29" s="411"/>
      <c r="FF29" s="411"/>
      <c r="FG29" s="411"/>
      <c r="FH29" s="411"/>
      <c r="FI29" s="411"/>
      <c r="FJ29" s="411"/>
      <c r="FK29" s="411"/>
      <c r="FL29" s="394"/>
      <c r="FM29" s="421"/>
      <c r="FN29" s="411"/>
      <c r="FO29" s="411"/>
      <c r="FP29" s="411"/>
      <c r="FQ29" s="421"/>
      <c r="FR29" s="394"/>
      <c r="FS29" s="411"/>
      <c r="FT29" s="394"/>
      <c r="FU29" s="411"/>
      <c r="FV29" s="411"/>
      <c r="FW29" s="394"/>
      <c r="FX29" s="411"/>
      <c r="FY29" s="394"/>
      <c r="FZ29" s="411"/>
      <c r="GA29" s="411"/>
      <c r="GB29" s="411"/>
      <c r="GC29" s="411"/>
      <c r="GD29" s="411"/>
      <c r="GE29" s="411"/>
      <c r="GF29" s="411"/>
      <c r="GG29" s="411"/>
      <c r="GH29" s="411"/>
      <c r="GI29" s="411"/>
      <c r="GJ29" s="411"/>
      <c r="GK29" s="394"/>
      <c r="GL29" s="421"/>
      <c r="GM29" s="411"/>
      <c r="GN29" s="411"/>
      <c r="GO29" s="411"/>
      <c r="GP29" s="421"/>
      <c r="GQ29" s="394"/>
      <c r="GR29" s="411"/>
      <c r="GS29" s="394"/>
      <c r="GT29" s="411"/>
      <c r="GU29" s="421"/>
      <c r="GV29" s="394"/>
      <c r="GW29" s="411"/>
      <c r="GX29" s="394"/>
      <c r="GY29" s="411"/>
      <c r="GZ29" s="411"/>
      <c r="HA29" s="411"/>
      <c r="HB29" s="411"/>
      <c r="HC29" s="411"/>
      <c r="HD29" s="411"/>
      <c r="HE29" s="411"/>
      <c r="HF29" s="411"/>
      <c r="HG29" s="411"/>
      <c r="HH29" s="411"/>
      <c r="HI29" s="411"/>
      <c r="HJ29" s="394"/>
      <c r="HK29" s="421"/>
      <c r="HL29" s="411"/>
      <c r="HM29" s="411"/>
      <c r="HN29" s="411"/>
      <c r="HO29" s="411"/>
      <c r="HP29" s="394"/>
      <c r="HQ29" s="411"/>
      <c r="HR29" s="394"/>
      <c r="HS29" s="411"/>
      <c r="HT29" s="411"/>
      <c r="HU29" s="394"/>
      <c r="HV29" s="411"/>
      <c r="HW29" s="394"/>
      <c r="HX29" s="411"/>
      <c r="HY29" s="411"/>
      <c r="HZ29" s="411"/>
      <c r="IA29" s="411"/>
      <c r="IB29" s="411"/>
      <c r="IC29" s="411"/>
      <c r="ID29" s="411"/>
      <c r="IE29" s="411"/>
      <c r="IF29" s="411"/>
      <c r="IG29" s="411"/>
      <c r="IH29" s="411"/>
      <c r="II29" s="394"/>
      <c r="IJ29" s="411"/>
      <c r="IK29" s="411"/>
      <c r="IL29" s="411"/>
      <c r="IM29" s="411"/>
      <c r="IN29" s="411"/>
      <c r="IP29" s="411"/>
      <c r="IR29" s="411"/>
      <c r="IS29" s="411"/>
      <c r="IU29" s="411"/>
      <c r="IW29" s="411"/>
      <c r="IX29" s="411"/>
      <c r="IY29" s="411"/>
      <c r="IZ29" s="411"/>
      <c r="JA29" s="411"/>
      <c r="JB29" s="411"/>
      <c r="JC29" s="411"/>
      <c r="JD29" s="411"/>
      <c r="JE29" s="411"/>
      <c r="JF29" s="411"/>
      <c r="JG29" s="411"/>
    </row>
    <row r="30" spans="1:267" ht="12.75" customHeight="1" x14ac:dyDescent="0.3">
      <c r="A30" s="754" t="s">
        <v>942</v>
      </c>
      <c r="B30" s="757" t="s">
        <v>168</v>
      </c>
      <c r="C30" s="757" t="s">
        <v>174</v>
      </c>
      <c r="D30" s="757" t="s">
        <v>162</v>
      </c>
      <c r="E30" s="757" t="s">
        <v>353</v>
      </c>
      <c r="F30" s="757" t="s">
        <v>351</v>
      </c>
      <c r="G30" s="757">
        <v>4.4409999999999998</v>
      </c>
      <c r="H30" s="757">
        <v>69</v>
      </c>
      <c r="I30" s="757">
        <v>306.39999999999998</v>
      </c>
      <c r="J30" s="757">
        <v>8</v>
      </c>
      <c r="K30" s="757">
        <v>16</v>
      </c>
      <c r="L30" s="757">
        <v>8</v>
      </c>
      <c r="M30" s="757">
        <v>202.77</v>
      </c>
      <c r="N30" s="757">
        <v>1.4109999999999999E-2</v>
      </c>
      <c r="O30" s="757">
        <v>14</v>
      </c>
      <c r="P30" s="757">
        <v>18</v>
      </c>
      <c r="Q30" s="757" t="s">
        <v>355</v>
      </c>
      <c r="S30" s="764">
        <v>716.24199999999996</v>
      </c>
      <c r="T30" s="760">
        <v>609.68399999999997</v>
      </c>
      <c r="U30" s="760">
        <v>626.61300000000006</v>
      </c>
      <c r="V30" s="760">
        <v>701.03800000000001</v>
      </c>
      <c r="W30" s="760">
        <v>323.46600000000001</v>
      </c>
      <c r="X30" s="432"/>
      <c r="Y30" s="775">
        <v>141.149</v>
      </c>
      <c r="Z30" s="776">
        <v>0.95</v>
      </c>
      <c r="AA30" s="777">
        <v>0.877</v>
      </c>
      <c r="AB30" s="779">
        <v>0.755</v>
      </c>
      <c r="AC30" s="791">
        <v>0.66500000000000004</v>
      </c>
      <c r="AD30" s="779">
        <v>1.0920000000000001</v>
      </c>
      <c r="AE30" s="776">
        <v>0.95</v>
      </c>
      <c r="AF30" s="780">
        <v>36.840000000000003</v>
      </c>
      <c r="AG30" s="781">
        <v>57.5</v>
      </c>
      <c r="AH30" s="781">
        <v>38.44</v>
      </c>
      <c r="AI30" s="781">
        <v>41.64</v>
      </c>
      <c r="AJ30" s="781">
        <v>35.229999999999997</v>
      </c>
      <c r="AK30" s="781">
        <v>30.43</v>
      </c>
      <c r="AL30" s="781">
        <v>22.42</v>
      </c>
      <c r="AM30" s="781">
        <v>33.630000000000003</v>
      </c>
      <c r="AN30" s="781">
        <v>49.65</v>
      </c>
      <c r="AO30" s="781">
        <v>46.44</v>
      </c>
      <c r="AP30" s="781">
        <v>24.02</v>
      </c>
      <c r="AQ30" s="782">
        <v>211.55199999999999</v>
      </c>
      <c r="AR30" s="411"/>
      <c r="AS30" s="411"/>
      <c r="AT30" s="411"/>
      <c r="AU30" s="411"/>
      <c r="AV30" s="411"/>
      <c r="AW30" s="394"/>
      <c r="AX30" s="775">
        <v>141.149</v>
      </c>
      <c r="AY30" s="776"/>
      <c r="AZ30" s="851">
        <v>0.877</v>
      </c>
      <c r="BA30" s="853">
        <v>0.755</v>
      </c>
      <c r="BB30" s="859">
        <v>0.66500000000000004</v>
      </c>
      <c r="BC30" s="853">
        <v>1.0920000000000001</v>
      </c>
      <c r="BD30" s="776"/>
      <c r="BE30" s="808"/>
      <c r="BF30" s="776"/>
      <c r="BG30" s="851">
        <v>0.877</v>
      </c>
      <c r="BH30" s="853">
        <v>0.755</v>
      </c>
      <c r="BI30" s="859">
        <v>0.66500000000000004</v>
      </c>
      <c r="BJ30" s="853">
        <v>1.0920000000000001</v>
      </c>
      <c r="BK30" s="776"/>
      <c r="BL30" s="834"/>
      <c r="BM30" s="776">
        <v>0.95</v>
      </c>
      <c r="BN30" s="777">
        <v>0.877</v>
      </c>
      <c r="BO30" s="779">
        <v>0.755</v>
      </c>
      <c r="BP30" s="791">
        <v>0.66500000000000004</v>
      </c>
      <c r="BQ30" s="779">
        <v>1.0920000000000001</v>
      </c>
      <c r="BR30" s="776">
        <v>0.95</v>
      </c>
      <c r="BS30" s="844"/>
      <c r="BT30" s="776">
        <v>0.95</v>
      </c>
      <c r="BU30" s="777">
        <v>0.877</v>
      </c>
      <c r="BV30" s="779">
        <v>0.755</v>
      </c>
      <c r="BW30" s="791">
        <v>0.66500000000000004</v>
      </c>
      <c r="BX30" s="779">
        <v>1.0920000000000001</v>
      </c>
      <c r="BY30" s="776">
        <v>0.95</v>
      </c>
      <c r="BZ30" s="774"/>
      <c r="CA30" s="776">
        <v>0.95</v>
      </c>
      <c r="CB30" s="777">
        <v>0.877</v>
      </c>
      <c r="CC30" s="779">
        <v>0.755</v>
      </c>
      <c r="CD30" s="791">
        <v>0.66500000000000004</v>
      </c>
      <c r="CE30" s="779">
        <v>1.0920000000000001</v>
      </c>
      <c r="CF30" s="776">
        <v>0.95</v>
      </c>
      <c r="CG30" s="834"/>
      <c r="CH30" s="776">
        <v>0.95</v>
      </c>
      <c r="CI30" s="777">
        <v>0.877</v>
      </c>
      <c r="CJ30" s="779">
        <v>0.755</v>
      </c>
      <c r="CK30" s="791">
        <v>0.66500000000000004</v>
      </c>
      <c r="CL30" s="779">
        <v>1.0920000000000001</v>
      </c>
      <c r="CM30" s="776">
        <v>0.95</v>
      </c>
      <c r="CN30" s="834"/>
      <c r="CO30" s="776">
        <v>0.95</v>
      </c>
      <c r="CP30" s="777">
        <v>0.877</v>
      </c>
      <c r="CQ30" s="779">
        <v>0.755</v>
      </c>
      <c r="CR30" s="791">
        <v>0.66500000000000004</v>
      </c>
      <c r="CS30" s="779">
        <v>1.0920000000000001</v>
      </c>
      <c r="CT30" s="776">
        <v>0.95</v>
      </c>
      <c r="CU30" s="394"/>
      <c r="CV30" s="776">
        <v>0.95</v>
      </c>
      <c r="CW30" s="777">
        <v>0.877</v>
      </c>
      <c r="CX30" s="779">
        <v>0.755</v>
      </c>
      <c r="CY30" s="791">
        <v>0.66500000000000004</v>
      </c>
      <c r="CZ30" s="779">
        <v>1.0920000000000001</v>
      </c>
      <c r="DA30" s="776">
        <v>0.95</v>
      </c>
      <c r="DB30" s="394"/>
      <c r="DC30" s="411"/>
      <c r="DD30" s="411"/>
      <c r="DE30" s="411"/>
      <c r="DF30" s="411"/>
      <c r="DG30" s="411"/>
      <c r="DH30" s="411"/>
      <c r="DI30" s="411"/>
      <c r="DJ30" s="411"/>
      <c r="DK30" s="411"/>
      <c r="DL30" s="411"/>
      <c r="DM30" s="411"/>
      <c r="DN30" s="394"/>
      <c r="DO30" s="411"/>
      <c r="DP30" s="411"/>
      <c r="DQ30" s="411"/>
      <c r="DR30" s="411"/>
      <c r="DS30" s="411"/>
      <c r="DT30" s="394"/>
      <c r="DU30" s="411"/>
      <c r="DV30" s="394"/>
      <c r="DW30" s="411"/>
      <c r="DX30" s="411"/>
      <c r="DY30" s="394"/>
      <c r="DZ30" s="411"/>
      <c r="EA30" s="394"/>
      <c r="EB30" s="411"/>
      <c r="EC30" s="411"/>
      <c r="ED30" s="411"/>
      <c r="EE30" s="411"/>
      <c r="EF30" s="411"/>
      <c r="EG30" s="411"/>
      <c r="EH30" s="411"/>
      <c r="EI30" s="411"/>
      <c r="EJ30" s="411"/>
      <c r="EK30" s="411"/>
      <c r="EL30" s="411"/>
      <c r="EM30" s="394"/>
      <c r="EN30" s="421"/>
      <c r="EO30" s="411"/>
      <c r="EP30" s="411"/>
      <c r="EQ30" s="411"/>
      <c r="ER30" s="421"/>
      <c r="ES30" s="394"/>
      <c r="ET30" s="411"/>
      <c r="EU30" s="394"/>
      <c r="EV30" s="411"/>
      <c r="EW30" s="411"/>
      <c r="EX30" s="394"/>
      <c r="EY30" s="411"/>
      <c r="EZ30" s="394"/>
      <c r="FA30" s="411"/>
      <c r="FB30" s="411"/>
      <c r="FC30" s="411"/>
      <c r="FD30" s="411"/>
      <c r="FE30" s="411"/>
      <c r="FF30" s="411"/>
      <c r="FG30" s="411"/>
      <c r="FH30" s="411"/>
      <c r="FI30" s="411"/>
      <c r="FJ30" s="411"/>
      <c r="FK30" s="411"/>
      <c r="FL30" s="394"/>
      <c r="FM30" s="421"/>
      <c r="FN30" s="411"/>
      <c r="FO30" s="411"/>
      <c r="FP30" s="411"/>
      <c r="FQ30" s="421"/>
      <c r="FR30" s="394"/>
      <c r="FS30" s="411"/>
      <c r="FT30" s="394"/>
      <c r="FU30" s="411"/>
      <c r="FV30" s="411"/>
      <c r="FW30" s="394"/>
      <c r="FX30" s="411"/>
      <c r="FY30" s="394"/>
      <c r="FZ30" s="411"/>
      <c r="GA30" s="411"/>
      <c r="GB30" s="411"/>
      <c r="GC30" s="411"/>
      <c r="GD30" s="411"/>
      <c r="GE30" s="411"/>
      <c r="GF30" s="411"/>
      <c r="GG30" s="411"/>
      <c r="GH30" s="411"/>
      <c r="GI30" s="411"/>
      <c r="GJ30" s="411"/>
      <c r="GK30" s="394"/>
      <c r="GL30" s="421"/>
      <c r="GM30" s="411"/>
      <c r="GN30" s="411"/>
      <c r="GO30" s="411"/>
      <c r="GP30" s="421"/>
      <c r="GQ30" s="394"/>
      <c r="GR30" s="411"/>
      <c r="GS30" s="394"/>
      <c r="GT30" s="411"/>
      <c r="GU30" s="421"/>
      <c r="GV30" s="394"/>
      <c r="GW30" s="411"/>
      <c r="GX30" s="394"/>
      <c r="GY30" s="411"/>
      <c r="GZ30" s="411"/>
      <c r="HA30" s="411"/>
      <c r="HB30" s="411"/>
      <c r="HC30" s="411"/>
      <c r="HD30" s="411"/>
      <c r="HE30" s="411"/>
      <c r="HF30" s="411"/>
      <c r="HG30" s="411"/>
      <c r="HH30" s="411"/>
      <c r="HI30" s="411"/>
      <c r="HJ30" s="394"/>
      <c r="HK30" s="421"/>
      <c r="HL30" s="411"/>
      <c r="HM30" s="411"/>
      <c r="HN30" s="411"/>
      <c r="HO30" s="411"/>
      <c r="HP30" s="394"/>
      <c r="HQ30" s="411"/>
      <c r="HR30" s="394"/>
      <c r="HS30" s="411"/>
      <c r="HT30" s="411"/>
      <c r="HU30" s="394"/>
      <c r="HV30" s="411"/>
      <c r="HW30" s="394"/>
      <c r="HX30" s="411"/>
      <c r="HY30" s="411"/>
      <c r="HZ30" s="411"/>
      <c r="IA30" s="411"/>
      <c r="IB30" s="411"/>
      <c r="IC30" s="411"/>
      <c r="ID30" s="411"/>
      <c r="IE30" s="411"/>
      <c r="IF30" s="411"/>
      <c r="IG30" s="411"/>
      <c r="IH30" s="411"/>
      <c r="II30" s="394"/>
      <c r="IJ30" s="411"/>
      <c r="IK30" s="411"/>
      <c r="IL30" s="411"/>
      <c r="IM30" s="411"/>
      <c r="IN30" s="411"/>
      <c r="IP30" s="411"/>
      <c r="IR30" s="411"/>
      <c r="IS30" s="411"/>
      <c r="IU30" s="411"/>
      <c r="IW30" s="411"/>
      <c r="IX30" s="411"/>
      <c r="IY30" s="411"/>
      <c r="IZ30" s="411"/>
      <c r="JA30" s="411"/>
      <c r="JB30" s="411"/>
      <c r="JC30" s="411"/>
      <c r="JD30" s="411"/>
      <c r="JE30" s="411"/>
      <c r="JF30" s="411"/>
      <c r="JG30" s="411"/>
    </row>
    <row r="31" spans="1:267" ht="12.75" customHeight="1" x14ac:dyDescent="0.3">
      <c r="A31" s="752" t="s">
        <v>943</v>
      </c>
      <c r="B31" s="810" t="s">
        <v>353</v>
      </c>
      <c r="C31" s="757" t="s">
        <v>30</v>
      </c>
      <c r="D31" s="757" t="s">
        <v>168</v>
      </c>
      <c r="E31" s="810" t="s">
        <v>355</v>
      </c>
      <c r="F31" s="757" t="s">
        <v>353</v>
      </c>
      <c r="G31" s="757">
        <v>2.2999999999999998</v>
      </c>
      <c r="H31" s="757">
        <v>136</v>
      </c>
      <c r="I31" s="810">
        <v>312.8</v>
      </c>
      <c r="J31" s="757">
        <v>5</v>
      </c>
      <c r="K31" s="757">
        <v>9</v>
      </c>
      <c r="L31" s="757">
        <v>4</v>
      </c>
      <c r="M31" s="757">
        <v>153.1</v>
      </c>
      <c r="N31" s="757">
        <v>8.9599999999999992E-3</v>
      </c>
      <c r="O31" s="757">
        <v>20</v>
      </c>
      <c r="P31" s="757">
        <v>19.5</v>
      </c>
      <c r="Q31" s="757" t="s">
        <v>30</v>
      </c>
      <c r="S31" s="765">
        <v>766.38400000000001</v>
      </c>
      <c r="T31" s="765">
        <v>413.79399999999998</v>
      </c>
      <c r="U31" s="765">
        <v>557.29499999999996</v>
      </c>
      <c r="V31" s="765">
        <v>743.476</v>
      </c>
      <c r="W31" s="765">
        <v>524.19799999999998</v>
      </c>
      <c r="X31" s="415"/>
      <c r="Y31" s="775">
        <v>102.938</v>
      </c>
      <c r="Z31" s="776">
        <v>0.98</v>
      </c>
      <c r="AA31" s="777">
        <v>0.83</v>
      </c>
      <c r="AB31" s="779">
        <v>0.71</v>
      </c>
      <c r="AC31" s="779">
        <v>0.66500000000000004</v>
      </c>
      <c r="AD31" s="779">
        <v>1.02</v>
      </c>
      <c r="AE31" s="776">
        <v>0.98</v>
      </c>
      <c r="AF31" s="780">
        <v>13.955</v>
      </c>
      <c r="AG31" s="781">
        <v>24.555</v>
      </c>
      <c r="AH31" s="781">
        <v>32.51</v>
      </c>
      <c r="AI31" s="781">
        <v>31.31</v>
      </c>
      <c r="AJ31" s="781">
        <v>13.7</v>
      </c>
      <c r="AK31" s="781">
        <v>11.74</v>
      </c>
      <c r="AL31" s="781">
        <v>12</v>
      </c>
      <c r="AM31" s="781">
        <v>25.44</v>
      </c>
      <c r="AN31" s="781">
        <v>32.4</v>
      </c>
      <c r="AO31" s="781">
        <v>17.61</v>
      </c>
      <c r="AP31" s="781">
        <v>14.1</v>
      </c>
      <c r="AQ31" s="782">
        <v>559.04899999999998</v>
      </c>
      <c r="AR31" s="411"/>
      <c r="AS31" s="411"/>
      <c r="AT31" s="411"/>
      <c r="AU31" s="411"/>
      <c r="AV31" s="411"/>
      <c r="AW31" s="394"/>
      <c r="AX31" s="775">
        <v>102.938</v>
      </c>
      <c r="AY31" s="776"/>
      <c r="AZ31" s="851">
        <v>0.83</v>
      </c>
      <c r="BA31" s="853">
        <v>0.71</v>
      </c>
      <c r="BB31" s="853">
        <v>0.66500000000000004</v>
      </c>
      <c r="BC31" s="853">
        <v>1.02</v>
      </c>
      <c r="BD31" s="776"/>
      <c r="BE31" s="808"/>
      <c r="BF31" s="776"/>
      <c r="BG31" s="851">
        <v>0.83</v>
      </c>
      <c r="BH31" s="853">
        <v>0.71</v>
      </c>
      <c r="BI31" s="853">
        <v>0.66500000000000004</v>
      </c>
      <c r="BJ31" s="853">
        <v>1.02</v>
      </c>
      <c r="BK31" s="776"/>
      <c r="BL31" s="834"/>
      <c r="BM31" s="776">
        <v>0.98</v>
      </c>
      <c r="BN31" s="777">
        <v>0.83</v>
      </c>
      <c r="BO31" s="779">
        <v>0.71</v>
      </c>
      <c r="BP31" s="779">
        <v>0.66500000000000004</v>
      </c>
      <c r="BQ31" s="779">
        <v>1.02</v>
      </c>
      <c r="BR31" s="776">
        <v>0.98</v>
      </c>
      <c r="BS31" s="841"/>
      <c r="BT31" s="776">
        <v>0.98</v>
      </c>
      <c r="BU31" s="777">
        <v>0.83</v>
      </c>
      <c r="BV31" s="779">
        <v>0.71</v>
      </c>
      <c r="BW31" s="779">
        <v>0.66500000000000004</v>
      </c>
      <c r="BX31" s="779">
        <v>1.02</v>
      </c>
      <c r="BY31" s="776">
        <v>0.98</v>
      </c>
      <c r="BZ31" s="774"/>
      <c r="CA31" s="776">
        <v>0.98</v>
      </c>
      <c r="CB31" s="777">
        <v>0.83</v>
      </c>
      <c r="CC31" s="779">
        <v>0.71</v>
      </c>
      <c r="CD31" s="779">
        <v>0.66500000000000004</v>
      </c>
      <c r="CE31" s="779">
        <v>1.02</v>
      </c>
      <c r="CF31" s="776">
        <v>0.98</v>
      </c>
      <c r="CG31" s="834"/>
      <c r="CH31" s="776">
        <v>0.98</v>
      </c>
      <c r="CI31" s="777">
        <v>0.83</v>
      </c>
      <c r="CJ31" s="779">
        <v>0.71</v>
      </c>
      <c r="CK31" s="779">
        <v>0.66500000000000004</v>
      </c>
      <c r="CL31" s="779">
        <v>1.02</v>
      </c>
      <c r="CM31" s="776">
        <v>0.98</v>
      </c>
      <c r="CN31" s="834"/>
      <c r="CO31" s="776">
        <v>0.98</v>
      </c>
      <c r="CP31" s="777">
        <v>0.83</v>
      </c>
      <c r="CQ31" s="779">
        <v>0.71</v>
      </c>
      <c r="CR31" s="779">
        <v>0.66500000000000004</v>
      </c>
      <c r="CS31" s="779">
        <v>1.02</v>
      </c>
      <c r="CT31" s="776">
        <v>0.98</v>
      </c>
      <c r="CU31" s="422"/>
      <c r="CV31" s="776">
        <v>0.98</v>
      </c>
      <c r="CW31" s="777">
        <v>0.83</v>
      </c>
      <c r="CX31" s="779">
        <v>0.71</v>
      </c>
      <c r="CY31" s="779">
        <v>0.66500000000000004</v>
      </c>
      <c r="CZ31" s="779">
        <v>1.02</v>
      </c>
      <c r="DA31" s="776">
        <v>0.98</v>
      </c>
      <c r="DB31" s="414"/>
      <c r="DC31" s="413"/>
      <c r="DD31" s="413"/>
      <c r="DE31" s="413"/>
      <c r="DF31" s="413"/>
      <c r="DG31" s="413"/>
      <c r="DH31" s="413"/>
      <c r="DI31" s="413"/>
      <c r="DJ31" s="413"/>
      <c r="DK31" s="413"/>
      <c r="DL31" s="413"/>
      <c r="DM31" s="413"/>
      <c r="DN31" s="394"/>
      <c r="DO31" s="411"/>
      <c r="DP31" s="411"/>
      <c r="DQ31" s="411"/>
      <c r="DR31" s="411"/>
      <c r="DS31" s="411"/>
      <c r="DT31" s="394"/>
      <c r="DU31" s="411"/>
      <c r="DV31" s="394"/>
      <c r="DW31" s="411"/>
      <c r="DX31" s="411"/>
      <c r="DY31" s="394"/>
      <c r="DZ31" s="411"/>
      <c r="EA31" s="394"/>
      <c r="EB31" s="411"/>
      <c r="EC31" s="411"/>
      <c r="ED31" s="411"/>
      <c r="EE31" s="411"/>
      <c r="EF31" s="411"/>
      <c r="EG31" s="411"/>
      <c r="EH31" s="411"/>
      <c r="EI31" s="411"/>
      <c r="EJ31" s="411"/>
      <c r="EK31" s="411"/>
      <c r="EL31" s="411"/>
      <c r="EM31" s="394"/>
      <c r="EN31" s="411"/>
      <c r="EO31" s="411"/>
      <c r="EP31" s="411"/>
      <c r="EQ31" s="411"/>
      <c r="ER31" s="411"/>
      <c r="ES31" s="394"/>
      <c r="ET31" s="411"/>
      <c r="EU31" s="394"/>
      <c r="EV31" s="411"/>
      <c r="EW31" s="411"/>
      <c r="EX31" s="394"/>
      <c r="EY31" s="411"/>
      <c r="EZ31" s="394"/>
      <c r="FA31" s="411"/>
      <c r="FB31" s="411"/>
      <c r="FC31" s="411"/>
      <c r="FD31" s="411"/>
      <c r="FE31" s="411"/>
      <c r="FF31" s="411"/>
      <c r="FG31" s="411"/>
      <c r="FH31" s="411"/>
      <c r="FI31" s="411"/>
      <c r="FJ31" s="411"/>
      <c r="FK31" s="411"/>
      <c r="FL31" s="394"/>
      <c r="FM31" s="411"/>
      <c r="FN31" s="411"/>
      <c r="FO31" s="411"/>
      <c r="FP31" s="411"/>
      <c r="FQ31" s="411"/>
      <c r="FS31" s="411"/>
      <c r="FU31" s="411"/>
      <c r="FV31" s="411"/>
      <c r="FX31" s="411"/>
      <c r="FZ31" s="411"/>
      <c r="GA31" s="411"/>
      <c r="GB31" s="411"/>
      <c r="GC31" s="411"/>
      <c r="GD31" s="411"/>
      <c r="GE31" s="411"/>
      <c r="GF31" s="411"/>
      <c r="GG31" s="411"/>
      <c r="GH31" s="411"/>
      <c r="GI31" s="411"/>
      <c r="GJ31" s="411"/>
      <c r="GL31" s="411"/>
      <c r="GM31" s="411"/>
      <c r="GN31" s="411"/>
      <c r="GO31" s="411"/>
      <c r="GP31" s="411"/>
      <c r="GR31" s="411"/>
      <c r="GT31" s="411"/>
      <c r="GU31" s="411"/>
      <c r="GW31" s="411"/>
      <c r="GY31" s="411"/>
      <c r="GZ31" s="411"/>
      <c r="HA31" s="411"/>
      <c r="HB31" s="411"/>
      <c r="HC31" s="411"/>
      <c r="HD31" s="411"/>
      <c r="HE31" s="411"/>
      <c r="HF31" s="411"/>
      <c r="HG31" s="411"/>
      <c r="HH31" s="411"/>
      <c r="HI31" s="411"/>
      <c r="HK31" s="411"/>
      <c r="HL31" s="411"/>
      <c r="HM31" s="411"/>
      <c r="HN31" s="411"/>
      <c r="HO31" s="411"/>
      <c r="HQ31" s="411"/>
      <c r="HS31" s="411"/>
      <c r="HT31" s="411"/>
      <c r="HV31" s="411"/>
      <c r="HX31" s="411"/>
      <c r="HY31" s="411"/>
      <c r="HZ31" s="411"/>
      <c r="IA31" s="411"/>
      <c r="IB31" s="411"/>
      <c r="IC31" s="411"/>
      <c r="ID31" s="411"/>
      <c r="IE31" s="411"/>
      <c r="IF31" s="411"/>
      <c r="IG31" s="411"/>
      <c r="IH31" s="411"/>
      <c r="II31" s="394"/>
      <c r="IJ31" s="411"/>
      <c r="IK31" s="411"/>
      <c r="IL31" s="411"/>
      <c r="IM31" s="411"/>
      <c r="IN31" s="411"/>
      <c r="IP31" s="411"/>
      <c r="IR31" s="411"/>
      <c r="IS31" s="411"/>
      <c r="IU31" s="411"/>
      <c r="IW31" s="411"/>
      <c r="IX31" s="411"/>
      <c r="IY31" s="411"/>
      <c r="IZ31" s="411"/>
      <c r="JA31" s="411"/>
      <c r="JB31" s="411"/>
      <c r="JC31" s="411"/>
      <c r="JD31" s="411"/>
      <c r="JE31" s="411"/>
      <c r="JF31" s="411"/>
      <c r="JG31" s="411"/>
    </row>
    <row r="32" spans="1:267" x14ac:dyDescent="0.3">
      <c r="A32" s="754" t="s">
        <v>944</v>
      </c>
      <c r="B32" s="757" t="s">
        <v>168</v>
      </c>
      <c r="C32" s="757" t="s">
        <v>30</v>
      </c>
      <c r="D32" s="757" t="s">
        <v>168</v>
      </c>
      <c r="E32" s="757" t="s">
        <v>168</v>
      </c>
      <c r="F32" s="757" t="s">
        <v>353</v>
      </c>
      <c r="G32" s="757">
        <v>3.3010000000000002</v>
      </c>
      <c r="H32" s="757">
        <v>80</v>
      </c>
      <c r="I32" s="757">
        <v>264.10000000000002</v>
      </c>
      <c r="J32" s="757">
        <v>9</v>
      </c>
      <c r="K32" s="757">
        <v>10</v>
      </c>
      <c r="L32" s="757">
        <v>5</v>
      </c>
      <c r="M32" s="757">
        <v>186.86</v>
      </c>
      <c r="N32" s="757">
        <v>6.7499999999999999E-3</v>
      </c>
      <c r="O32" s="757">
        <v>10</v>
      </c>
      <c r="P32" s="757">
        <v>11</v>
      </c>
      <c r="Q32" s="757" t="s">
        <v>355</v>
      </c>
      <c r="S32" s="764">
        <v>390.17</v>
      </c>
      <c r="T32" s="760">
        <v>635.59699999999998</v>
      </c>
      <c r="U32" s="760">
        <v>516.10299999999995</v>
      </c>
      <c r="V32" s="760">
        <v>689.51700000000005</v>
      </c>
      <c r="W32" s="760">
        <v>360.74900000000002</v>
      </c>
      <c r="X32" s="415"/>
      <c r="Y32" s="775">
        <v>89</v>
      </c>
      <c r="Z32" s="776"/>
      <c r="AA32" s="780">
        <v>0.85699999999999998</v>
      </c>
      <c r="AB32" s="783">
        <v>0.79500000000000004</v>
      </c>
      <c r="AC32" s="775">
        <v>0.79500000000000004</v>
      </c>
      <c r="AD32" s="775">
        <v>1.044</v>
      </c>
      <c r="AE32" s="776"/>
      <c r="AF32" s="780">
        <v>24.393999999999998</v>
      </c>
      <c r="AG32" s="781">
        <v>44.667999999999999</v>
      </c>
      <c r="AH32" s="781">
        <v>28.803999999999998</v>
      </c>
      <c r="AI32" s="781">
        <v>25.622</v>
      </c>
      <c r="AJ32" s="781">
        <v>30.236999999999998</v>
      </c>
      <c r="AK32" s="781">
        <v>20.962</v>
      </c>
      <c r="AL32" s="781">
        <v>14.37</v>
      </c>
      <c r="AM32" s="781">
        <v>21.588000000000001</v>
      </c>
      <c r="AN32" s="781">
        <v>12.737</v>
      </c>
      <c r="AO32" s="781">
        <v>43.470999999999997</v>
      </c>
      <c r="AP32" s="781">
        <v>12.807</v>
      </c>
      <c r="AQ32" s="782">
        <v>232.67</v>
      </c>
      <c r="AR32" s="411"/>
      <c r="AS32" s="411"/>
      <c r="AT32" s="411"/>
      <c r="AU32" s="411"/>
      <c r="AV32" s="411"/>
      <c r="AW32" s="394"/>
      <c r="AX32" s="775">
        <v>89</v>
      </c>
      <c r="AY32" s="776"/>
      <c r="AZ32" s="854">
        <v>0.85699999999999998</v>
      </c>
      <c r="BA32" s="855">
        <v>0.79500000000000004</v>
      </c>
      <c r="BB32" s="856">
        <v>0.79500000000000004</v>
      </c>
      <c r="BC32" s="856">
        <v>1.044</v>
      </c>
      <c r="BD32" s="776"/>
      <c r="BE32" s="808"/>
      <c r="BF32" s="776"/>
      <c r="BG32" s="854">
        <v>0.85699999999999998</v>
      </c>
      <c r="BH32" s="855">
        <v>0.79500000000000004</v>
      </c>
      <c r="BI32" s="856">
        <v>0.79500000000000004</v>
      </c>
      <c r="BJ32" s="856">
        <v>1.044</v>
      </c>
      <c r="BK32" s="776"/>
      <c r="BL32" s="834"/>
      <c r="BM32" s="776"/>
      <c r="BN32" s="780">
        <v>0.85699999999999998</v>
      </c>
      <c r="BO32" s="783">
        <v>0.79500000000000004</v>
      </c>
      <c r="BP32" s="775">
        <v>0.79500000000000004</v>
      </c>
      <c r="BQ32" s="775">
        <v>1.044</v>
      </c>
      <c r="BR32" s="776"/>
      <c r="BS32" s="843"/>
      <c r="BT32" s="776"/>
      <c r="BU32" s="780">
        <v>0.85699999999999998</v>
      </c>
      <c r="BV32" s="783">
        <v>0.79500000000000004</v>
      </c>
      <c r="BW32" s="775">
        <v>0.79500000000000004</v>
      </c>
      <c r="BX32" s="775">
        <v>1.044</v>
      </c>
      <c r="BY32" s="776"/>
      <c r="BZ32" s="774"/>
      <c r="CA32" s="776"/>
      <c r="CB32" s="780">
        <v>0.85699999999999998</v>
      </c>
      <c r="CC32" s="783">
        <v>0.79500000000000004</v>
      </c>
      <c r="CD32" s="775">
        <v>0.79500000000000004</v>
      </c>
      <c r="CE32" s="775">
        <v>1.044</v>
      </c>
      <c r="CF32" s="776"/>
      <c r="CG32" s="834"/>
      <c r="CH32" s="776"/>
      <c r="CI32" s="780">
        <v>0.85699999999999998</v>
      </c>
      <c r="CJ32" s="783">
        <v>0.79500000000000004</v>
      </c>
      <c r="CK32" s="775">
        <v>0.79500000000000004</v>
      </c>
      <c r="CL32" s="775">
        <v>1.044</v>
      </c>
      <c r="CM32" s="776"/>
      <c r="CN32" s="834"/>
      <c r="CO32" s="776"/>
      <c r="CP32" s="780">
        <v>0.85699999999999998</v>
      </c>
      <c r="CQ32" s="783">
        <v>0.79500000000000004</v>
      </c>
      <c r="CR32" s="775">
        <v>0.79500000000000004</v>
      </c>
      <c r="CS32" s="775">
        <v>1.044</v>
      </c>
      <c r="CT32" s="776"/>
      <c r="CU32" s="418"/>
      <c r="CV32" s="776"/>
      <c r="CW32" s="780">
        <v>0.85699999999999998</v>
      </c>
      <c r="CX32" s="783">
        <v>0.79500000000000004</v>
      </c>
      <c r="CY32" s="775">
        <v>0.79500000000000004</v>
      </c>
      <c r="CZ32" s="775">
        <v>1.044</v>
      </c>
      <c r="DA32" s="776"/>
      <c r="DB32" s="418"/>
      <c r="DC32" s="417"/>
      <c r="DD32" s="417"/>
      <c r="DE32" s="417"/>
      <c r="DF32" s="417"/>
      <c r="DG32" s="417"/>
      <c r="DH32" s="417"/>
      <c r="DI32" s="417"/>
      <c r="DJ32" s="417"/>
      <c r="DK32" s="417"/>
      <c r="DL32" s="417"/>
      <c r="DM32" s="417"/>
      <c r="DN32" s="394"/>
      <c r="DO32" s="411"/>
      <c r="DP32" s="411"/>
      <c r="DQ32" s="411"/>
      <c r="DR32" s="411"/>
      <c r="DS32" s="411"/>
      <c r="DU32" s="411"/>
      <c r="DW32" s="411"/>
      <c r="DX32" s="411"/>
      <c r="DZ32" s="411"/>
      <c r="EB32" s="411"/>
      <c r="EC32" s="411"/>
      <c r="ED32" s="411"/>
      <c r="EE32" s="411"/>
      <c r="EF32" s="411"/>
      <c r="EG32" s="411"/>
      <c r="EH32" s="411"/>
      <c r="EI32" s="411"/>
      <c r="EJ32" s="411"/>
      <c r="EK32" s="411"/>
      <c r="EL32" s="411"/>
      <c r="EM32" s="394"/>
      <c r="EN32" s="411"/>
      <c r="EO32" s="411"/>
      <c r="EP32" s="411"/>
      <c r="EQ32" s="411"/>
      <c r="ER32" s="411"/>
      <c r="ES32" s="394"/>
      <c r="ET32" s="411"/>
      <c r="EU32" s="394"/>
      <c r="EV32" s="417"/>
      <c r="EW32" s="417"/>
      <c r="EX32" s="418"/>
      <c r="EY32" s="417"/>
      <c r="EZ32" s="418"/>
      <c r="FA32" s="417"/>
      <c r="FB32" s="417"/>
      <c r="FC32" s="417"/>
      <c r="FD32" s="417"/>
      <c r="FE32" s="417"/>
      <c r="FF32" s="417"/>
      <c r="FG32" s="417"/>
      <c r="FH32" s="417"/>
      <c r="FI32" s="417"/>
      <c r="FJ32" s="417"/>
      <c r="FK32" s="417"/>
      <c r="FL32" s="394"/>
      <c r="FM32" s="411"/>
      <c r="FN32" s="411"/>
      <c r="FO32" s="411"/>
      <c r="FP32" s="411"/>
      <c r="FQ32" s="411"/>
      <c r="FS32" s="411"/>
      <c r="FU32" s="411"/>
      <c r="FV32" s="411"/>
      <c r="FX32" s="411"/>
      <c r="FZ32" s="411"/>
      <c r="GA32" s="411"/>
      <c r="GB32" s="411"/>
      <c r="GC32" s="411"/>
      <c r="GD32" s="411"/>
      <c r="GE32" s="411"/>
      <c r="GF32" s="411"/>
      <c r="GG32" s="411"/>
      <c r="GH32" s="411"/>
      <c r="GI32" s="411"/>
      <c r="GJ32" s="411"/>
      <c r="GL32" s="411"/>
      <c r="GM32" s="411"/>
      <c r="GN32" s="411"/>
      <c r="GO32" s="411"/>
      <c r="GP32" s="411"/>
      <c r="GR32" s="411"/>
      <c r="GT32" s="411"/>
      <c r="GU32" s="411"/>
      <c r="GW32" s="411"/>
      <c r="GY32" s="411"/>
      <c r="GZ32" s="411"/>
      <c r="HA32" s="411"/>
      <c r="HB32" s="411"/>
      <c r="HC32" s="411"/>
      <c r="HD32" s="411"/>
      <c r="HE32" s="411"/>
      <c r="HF32" s="411"/>
      <c r="HG32" s="411"/>
      <c r="HH32" s="411"/>
      <c r="HI32" s="411"/>
      <c r="HK32" s="411"/>
      <c r="HL32" s="411"/>
      <c r="HM32" s="411"/>
      <c r="HN32" s="411"/>
      <c r="HO32" s="411"/>
      <c r="HQ32" s="411"/>
      <c r="HS32" s="411"/>
      <c r="HT32" s="411"/>
      <c r="HV32" s="411"/>
      <c r="HX32" s="411"/>
      <c r="HY32" s="411"/>
      <c r="HZ32" s="411"/>
      <c r="IA32" s="411"/>
      <c r="IB32" s="411"/>
      <c r="IC32" s="411"/>
      <c r="ID32" s="411"/>
      <c r="IE32" s="411"/>
      <c r="IF32" s="411"/>
      <c r="IG32" s="411"/>
      <c r="IH32" s="411"/>
      <c r="II32" s="394"/>
      <c r="IJ32" s="417"/>
      <c r="IK32" s="417"/>
      <c r="IL32" s="417"/>
      <c r="IM32" s="417"/>
      <c r="IN32" s="417"/>
      <c r="IO32" s="418"/>
      <c r="IP32" s="417"/>
      <c r="IQ32" s="418"/>
      <c r="IR32" s="417"/>
      <c r="IS32" s="417"/>
      <c r="IT32" s="418"/>
      <c r="IU32" s="417"/>
      <c r="IV32" s="418"/>
      <c r="IW32" s="417"/>
      <c r="IX32" s="417"/>
      <c r="IY32" s="417"/>
      <c r="IZ32" s="417"/>
      <c r="JA32" s="417"/>
      <c r="JB32" s="417"/>
      <c r="JC32" s="417"/>
      <c r="JD32" s="417"/>
      <c r="JE32" s="417"/>
      <c r="JF32" s="417"/>
      <c r="JG32" s="417"/>
    </row>
    <row r="33" spans="1:267" ht="12.75" customHeight="1" x14ac:dyDescent="0.3">
      <c r="A33" s="754" t="s">
        <v>945</v>
      </c>
      <c r="B33" s="810" t="s">
        <v>353</v>
      </c>
      <c r="C33" s="757" t="s">
        <v>174</v>
      </c>
      <c r="D33" s="757" t="s">
        <v>174</v>
      </c>
      <c r="E33" s="757" t="s">
        <v>356</v>
      </c>
      <c r="F33" s="757" t="s">
        <v>168</v>
      </c>
      <c r="G33" s="757">
        <v>4.2610000000000001</v>
      </c>
      <c r="H33" s="757">
        <v>72</v>
      </c>
      <c r="I33" s="810">
        <v>306.8</v>
      </c>
      <c r="J33" s="757">
        <v>9</v>
      </c>
      <c r="K33" s="757">
        <v>12</v>
      </c>
      <c r="L33" s="810">
        <v>9</v>
      </c>
      <c r="M33" s="757">
        <v>233.41</v>
      </c>
      <c r="N33" s="757">
        <v>1.06E-2</v>
      </c>
      <c r="O33" s="811">
        <v>14</v>
      </c>
      <c r="P33" s="757">
        <v>15</v>
      </c>
      <c r="Q33" s="757" t="s">
        <v>356</v>
      </c>
      <c r="S33" s="760">
        <v>775.54300000000001</v>
      </c>
      <c r="T33" s="760">
        <v>533.16399999999999</v>
      </c>
      <c r="U33" s="760">
        <v>556.24800000000005</v>
      </c>
      <c r="V33" s="760">
        <v>530.17700000000002</v>
      </c>
      <c r="W33" s="760">
        <v>746.94899999999996</v>
      </c>
      <c r="X33" s="415"/>
      <c r="Y33" s="775">
        <v>200.38</v>
      </c>
      <c r="Z33" s="776">
        <v>0.99</v>
      </c>
      <c r="AA33" s="777">
        <v>0.79500000000000004</v>
      </c>
      <c r="AB33" s="779">
        <v>0.60399999999999998</v>
      </c>
      <c r="AC33" s="779">
        <v>0.59499999999999997</v>
      </c>
      <c r="AD33" s="779">
        <v>1.0549999999999999</v>
      </c>
      <c r="AE33" s="776">
        <v>0.98</v>
      </c>
      <c r="AF33" s="780">
        <v>24.31</v>
      </c>
      <c r="AG33" s="781">
        <v>34.75</v>
      </c>
      <c r="AH33" s="781">
        <v>36.46</v>
      </c>
      <c r="AI33" s="781">
        <v>39.9</v>
      </c>
      <c r="AJ33" s="781">
        <v>22.79</v>
      </c>
      <c r="AK33" s="781">
        <v>21.27</v>
      </c>
      <c r="AL33" s="781">
        <v>33.43</v>
      </c>
      <c r="AM33" s="781">
        <v>45.98</v>
      </c>
      <c r="AN33" s="781">
        <v>29.37</v>
      </c>
      <c r="AO33" s="781">
        <v>25.83</v>
      </c>
      <c r="AP33" s="781">
        <v>24.31</v>
      </c>
      <c r="AQ33" s="782">
        <v>190.93299999999999</v>
      </c>
      <c r="AR33" s="411"/>
      <c r="AS33" s="411"/>
      <c r="AT33" s="411"/>
      <c r="AU33" s="411"/>
      <c r="AV33" s="411"/>
      <c r="AW33" s="412"/>
      <c r="AX33" s="775">
        <v>200.38</v>
      </c>
      <c r="AY33" s="776"/>
      <c r="AZ33" s="851">
        <v>0.79500000000000004</v>
      </c>
      <c r="BA33" s="853">
        <v>0.60399999999999998</v>
      </c>
      <c r="BB33" s="853">
        <v>0.59499999999999997</v>
      </c>
      <c r="BC33" s="853">
        <v>1.0549999999999999</v>
      </c>
      <c r="BD33" s="776"/>
      <c r="BE33" s="808"/>
      <c r="BF33" s="776"/>
      <c r="BG33" s="851">
        <v>0.79500000000000004</v>
      </c>
      <c r="BH33" s="853">
        <v>0.60399999999999998</v>
      </c>
      <c r="BI33" s="853">
        <v>0.59499999999999997</v>
      </c>
      <c r="BJ33" s="853">
        <v>1.0549999999999999</v>
      </c>
      <c r="BK33" s="776"/>
      <c r="BL33" s="834"/>
      <c r="BM33" s="776">
        <v>0.99</v>
      </c>
      <c r="BN33" s="777">
        <v>0.79500000000000004</v>
      </c>
      <c r="BO33" s="779">
        <v>0.60399999999999998</v>
      </c>
      <c r="BP33" s="779">
        <v>0.59499999999999997</v>
      </c>
      <c r="BQ33" s="779">
        <v>1.0549999999999999</v>
      </c>
      <c r="BR33" s="776">
        <v>0.98</v>
      </c>
      <c r="BS33" s="842"/>
      <c r="BT33" s="776">
        <v>0.99</v>
      </c>
      <c r="BU33" s="777">
        <v>0.79500000000000004</v>
      </c>
      <c r="BV33" s="779">
        <v>0.60399999999999998</v>
      </c>
      <c r="BW33" s="779">
        <v>0.59499999999999997</v>
      </c>
      <c r="BX33" s="779">
        <v>1.0549999999999999</v>
      </c>
      <c r="BY33" s="776">
        <v>0.98</v>
      </c>
      <c r="BZ33" s="774"/>
      <c r="CA33" s="776">
        <v>0.99</v>
      </c>
      <c r="CB33" s="777">
        <v>0.79500000000000004</v>
      </c>
      <c r="CC33" s="779">
        <v>0.60399999999999998</v>
      </c>
      <c r="CD33" s="779">
        <v>0.59499999999999997</v>
      </c>
      <c r="CE33" s="779">
        <v>1.0549999999999999</v>
      </c>
      <c r="CF33" s="776">
        <v>0.98</v>
      </c>
      <c r="CG33" s="834"/>
      <c r="CH33" s="776">
        <v>0.99</v>
      </c>
      <c r="CI33" s="777">
        <v>0.79500000000000004</v>
      </c>
      <c r="CJ33" s="779">
        <v>0.60399999999999998</v>
      </c>
      <c r="CK33" s="779">
        <v>0.59499999999999997</v>
      </c>
      <c r="CL33" s="779">
        <v>1.0549999999999999</v>
      </c>
      <c r="CM33" s="776">
        <v>0.98</v>
      </c>
      <c r="CN33" s="834"/>
      <c r="CO33" s="776">
        <v>0.99</v>
      </c>
      <c r="CP33" s="777">
        <v>0.79500000000000004</v>
      </c>
      <c r="CQ33" s="779">
        <v>0.60399999999999998</v>
      </c>
      <c r="CR33" s="779">
        <v>0.59499999999999997</v>
      </c>
      <c r="CS33" s="779">
        <v>1.0549999999999999</v>
      </c>
      <c r="CT33" s="776">
        <v>0.98</v>
      </c>
      <c r="CU33" s="396"/>
      <c r="CV33" s="776">
        <v>0.99</v>
      </c>
      <c r="CW33" s="777">
        <v>0.79500000000000004</v>
      </c>
      <c r="CX33" s="779">
        <v>0.60399999999999998</v>
      </c>
      <c r="CY33" s="779">
        <v>0.59499999999999997</v>
      </c>
      <c r="CZ33" s="779">
        <v>1.0549999999999999</v>
      </c>
      <c r="DA33" s="776">
        <v>0.98</v>
      </c>
      <c r="DB33" s="396"/>
      <c r="DC33" s="411"/>
      <c r="DD33" s="411"/>
      <c r="DE33" s="411"/>
      <c r="DF33" s="411"/>
      <c r="DG33" s="411"/>
      <c r="DH33" s="411"/>
      <c r="DI33" s="411"/>
      <c r="DJ33" s="411"/>
      <c r="DK33" s="411"/>
      <c r="DL33" s="411"/>
      <c r="DM33" s="411"/>
      <c r="DN33" s="394"/>
      <c r="DO33" s="411"/>
      <c r="DP33" s="411"/>
      <c r="DQ33" s="411"/>
      <c r="DR33" s="411"/>
      <c r="DS33" s="411"/>
      <c r="DU33" s="411"/>
      <c r="DW33" s="411"/>
      <c r="DX33" s="411"/>
      <c r="DZ33" s="421"/>
      <c r="EB33" s="411"/>
      <c r="EC33" s="411"/>
      <c r="ED33" s="411"/>
      <c r="EE33" s="411"/>
      <c r="EF33" s="411"/>
      <c r="EG33" s="411"/>
      <c r="EH33" s="411"/>
      <c r="EI33" s="411"/>
      <c r="EJ33" s="411"/>
      <c r="EK33" s="411"/>
      <c r="EL33" s="411"/>
      <c r="EM33" s="394"/>
      <c r="EN33" s="411"/>
      <c r="EO33" s="411"/>
      <c r="EP33" s="411"/>
      <c r="EQ33" s="411"/>
      <c r="ER33" s="411"/>
      <c r="ES33" s="394"/>
      <c r="ET33" s="411"/>
      <c r="EU33" s="394"/>
      <c r="EV33" s="411"/>
      <c r="EW33" s="411"/>
      <c r="EX33" s="394"/>
      <c r="EY33" s="411"/>
      <c r="EZ33" s="394"/>
      <c r="FA33" s="411"/>
      <c r="FB33" s="411"/>
      <c r="FC33" s="411"/>
      <c r="FD33" s="411"/>
      <c r="FE33" s="411"/>
      <c r="FF33" s="411"/>
      <c r="FG33" s="411"/>
      <c r="FH33" s="411"/>
      <c r="FI33" s="411"/>
      <c r="FJ33" s="411"/>
      <c r="FK33" s="411"/>
      <c r="FL33" s="394"/>
      <c r="FM33" s="411"/>
      <c r="FN33" s="411"/>
      <c r="FO33" s="411"/>
      <c r="FP33" s="411"/>
      <c r="FQ33" s="411"/>
      <c r="FS33" s="411"/>
      <c r="FU33" s="411"/>
      <c r="FV33" s="411"/>
      <c r="FX33" s="421"/>
      <c r="FZ33" s="411"/>
      <c r="GA33" s="411"/>
      <c r="GB33" s="411"/>
      <c r="GC33" s="411"/>
      <c r="GD33" s="411"/>
      <c r="GE33" s="411"/>
      <c r="GF33" s="411"/>
      <c r="GG33" s="411"/>
      <c r="GH33" s="411"/>
      <c r="GI33" s="411"/>
      <c r="GJ33" s="411"/>
      <c r="GL33" s="411"/>
      <c r="GM33" s="411"/>
      <c r="GN33" s="411"/>
      <c r="GO33" s="411"/>
      <c r="GP33" s="411"/>
      <c r="GR33" s="411"/>
      <c r="GT33" s="411"/>
      <c r="GU33" s="411"/>
      <c r="GW33" s="421"/>
      <c r="GY33" s="416"/>
      <c r="GZ33" s="416"/>
      <c r="HA33" s="416"/>
      <c r="HB33" s="416"/>
      <c r="HC33" s="416"/>
      <c r="HD33" s="416"/>
      <c r="HE33" s="416"/>
      <c r="HF33" s="416"/>
      <c r="HG33" s="416"/>
      <c r="HH33" s="416"/>
      <c r="HI33" s="416"/>
      <c r="HK33" s="411"/>
      <c r="HL33" s="411"/>
      <c r="HM33" s="411"/>
      <c r="HN33" s="411"/>
      <c r="HO33" s="411"/>
      <c r="HQ33" s="411"/>
      <c r="HS33" s="411"/>
      <c r="HT33" s="411"/>
      <c r="HV33" s="421"/>
      <c r="HX33" s="411"/>
      <c r="HY33" s="411"/>
      <c r="HZ33" s="411"/>
      <c r="IA33" s="411"/>
      <c r="IB33" s="411"/>
      <c r="IC33" s="411"/>
      <c r="ID33" s="411"/>
      <c r="IE33" s="411"/>
      <c r="IF33" s="411"/>
      <c r="IG33" s="411"/>
      <c r="IH33" s="411"/>
      <c r="II33" s="394"/>
      <c r="IJ33" s="411"/>
      <c r="IK33" s="411"/>
      <c r="IL33" s="411"/>
      <c r="IM33" s="411"/>
      <c r="IN33" s="411"/>
      <c r="IP33" s="411"/>
      <c r="IR33" s="411"/>
      <c r="IS33" s="411"/>
      <c r="IU33" s="411"/>
      <c r="IW33" s="411"/>
      <c r="IX33" s="411"/>
      <c r="IY33" s="411"/>
      <c r="IZ33" s="411"/>
      <c r="JA33" s="411"/>
      <c r="JB33" s="411"/>
      <c r="JC33" s="411"/>
      <c r="JD33" s="411"/>
      <c r="JE33" s="411"/>
      <c r="JF33" s="411"/>
      <c r="JG33" s="411"/>
    </row>
    <row r="34" spans="1:267" ht="12.75" customHeight="1" x14ac:dyDescent="0.3">
      <c r="A34" s="752" t="s">
        <v>946</v>
      </c>
      <c r="B34" s="757" t="s">
        <v>168</v>
      </c>
      <c r="C34" s="757" t="s">
        <v>693</v>
      </c>
      <c r="D34" s="757" t="s">
        <v>162</v>
      </c>
      <c r="E34" s="757" t="s">
        <v>351</v>
      </c>
      <c r="F34" s="757" t="s">
        <v>353</v>
      </c>
      <c r="G34" s="757">
        <v>3.601</v>
      </c>
      <c r="H34" s="757">
        <v>79</v>
      </c>
      <c r="I34" s="757">
        <v>284.5</v>
      </c>
      <c r="J34" s="757">
        <v>11</v>
      </c>
      <c r="K34" s="757">
        <v>8</v>
      </c>
      <c r="L34" s="757">
        <v>7</v>
      </c>
      <c r="M34" s="757">
        <v>183.45</v>
      </c>
      <c r="N34" s="757">
        <v>7.7000000000000002E-3</v>
      </c>
      <c r="O34" s="757">
        <v>11</v>
      </c>
      <c r="P34" s="757">
        <v>16.7</v>
      </c>
      <c r="Q34" s="757" t="s">
        <v>356</v>
      </c>
      <c r="S34" s="760">
        <v>480.779</v>
      </c>
      <c r="T34" s="760">
        <v>400.70100000000002</v>
      </c>
      <c r="U34" s="760">
        <v>583.39800000000002</v>
      </c>
      <c r="V34" s="760">
        <v>618.41</v>
      </c>
      <c r="W34" s="760">
        <v>138</v>
      </c>
      <c r="X34" s="409"/>
      <c r="Y34" s="775">
        <v>-90.587000000000003</v>
      </c>
      <c r="Z34" s="776">
        <v>0.98</v>
      </c>
      <c r="AA34" s="780">
        <v>0.89300000000000002</v>
      </c>
      <c r="AB34" s="783">
        <v>0.76300000000000001</v>
      </c>
      <c r="AC34" s="775">
        <v>0.76300000000000001</v>
      </c>
      <c r="AD34" s="775">
        <v>1.05</v>
      </c>
      <c r="AE34" s="776">
        <v>0.98</v>
      </c>
      <c r="AF34" s="780">
        <v>32.81</v>
      </c>
      <c r="AG34" s="781">
        <v>39</v>
      </c>
      <c r="AH34" s="781">
        <v>28.95</v>
      </c>
      <c r="AI34" s="781">
        <v>19.3</v>
      </c>
      <c r="AJ34" s="781">
        <v>17.37</v>
      </c>
      <c r="AK34" s="781">
        <v>17.37</v>
      </c>
      <c r="AL34" s="781">
        <v>27.02</v>
      </c>
      <c r="AM34" s="781">
        <v>44.39</v>
      </c>
      <c r="AN34" s="781">
        <v>48.25</v>
      </c>
      <c r="AO34" s="781">
        <v>38.6</v>
      </c>
      <c r="AP34" s="781">
        <v>9.65</v>
      </c>
      <c r="AQ34" s="782">
        <v>248.74199999999999</v>
      </c>
      <c r="AR34" s="411"/>
      <c r="AS34" s="411"/>
      <c r="AT34" s="411"/>
      <c r="AU34" s="411"/>
      <c r="AV34" s="411"/>
      <c r="AW34" s="412"/>
      <c r="AX34" s="775">
        <v>-90.587000000000003</v>
      </c>
      <c r="AY34" s="776"/>
      <c r="AZ34" s="854">
        <v>0.89300000000000002</v>
      </c>
      <c r="BA34" s="855">
        <v>0.76300000000000001</v>
      </c>
      <c r="BB34" s="856">
        <v>0.76300000000000001</v>
      </c>
      <c r="BC34" s="856">
        <v>1.05</v>
      </c>
      <c r="BD34" s="776"/>
      <c r="BE34" s="808"/>
      <c r="BF34" s="776"/>
      <c r="BG34" s="854">
        <v>0.89300000000000002</v>
      </c>
      <c r="BH34" s="855">
        <v>0.76300000000000001</v>
      </c>
      <c r="BI34" s="856">
        <v>0.76300000000000001</v>
      </c>
      <c r="BJ34" s="856">
        <v>1.05</v>
      </c>
      <c r="BK34" s="776"/>
      <c r="BL34" s="834"/>
      <c r="BM34" s="776">
        <v>0.98</v>
      </c>
      <c r="BN34" s="780">
        <v>0.89300000000000002</v>
      </c>
      <c r="BO34" s="783">
        <v>0.76300000000000001</v>
      </c>
      <c r="BP34" s="775">
        <v>0.76300000000000001</v>
      </c>
      <c r="BQ34" s="775">
        <v>1.05</v>
      </c>
      <c r="BR34" s="776">
        <v>0.98</v>
      </c>
      <c r="BS34" s="842"/>
      <c r="BT34" s="776">
        <v>0.98</v>
      </c>
      <c r="BU34" s="780">
        <v>0.89300000000000002</v>
      </c>
      <c r="BV34" s="783">
        <v>0.76300000000000001</v>
      </c>
      <c r="BW34" s="775">
        <v>0.76300000000000001</v>
      </c>
      <c r="BX34" s="775">
        <v>1.05</v>
      </c>
      <c r="BY34" s="776">
        <v>0.98</v>
      </c>
      <c r="BZ34" s="774"/>
      <c r="CA34" s="776">
        <v>0.98</v>
      </c>
      <c r="CB34" s="780">
        <v>0.89300000000000002</v>
      </c>
      <c r="CC34" s="783">
        <v>0.76300000000000001</v>
      </c>
      <c r="CD34" s="775">
        <v>0.76300000000000001</v>
      </c>
      <c r="CE34" s="775">
        <v>1.05</v>
      </c>
      <c r="CF34" s="776">
        <v>0.98</v>
      </c>
      <c r="CG34" s="834"/>
      <c r="CH34" s="776">
        <v>0.98</v>
      </c>
      <c r="CI34" s="780">
        <v>0.89300000000000002</v>
      </c>
      <c r="CJ34" s="783">
        <v>0.76300000000000001</v>
      </c>
      <c r="CK34" s="775">
        <v>0.76300000000000001</v>
      </c>
      <c r="CL34" s="775">
        <v>1.05</v>
      </c>
      <c r="CM34" s="776">
        <v>0.98</v>
      </c>
      <c r="CN34" s="834"/>
      <c r="CO34" s="776">
        <v>0.98</v>
      </c>
      <c r="CP34" s="780">
        <v>0.89300000000000002</v>
      </c>
      <c r="CQ34" s="783">
        <v>0.76300000000000001</v>
      </c>
      <c r="CR34" s="775">
        <v>0.76300000000000001</v>
      </c>
      <c r="CS34" s="775">
        <v>1.05</v>
      </c>
      <c r="CT34" s="776">
        <v>0.98</v>
      </c>
      <c r="CV34" s="776">
        <v>0.98</v>
      </c>
      <c r="CW34" s="780">
        <v>0.89300000000000002</v>
      </c>
      <c r="CX34" s="783">
        <v>0.76300000000000001</v>
      </c>
      <c r="CY34" s="775">
        <v>0.76300000000000001</v>
      </c>
      <c r="CZ34" s="775">
        <v>1.05</v>
      </c>
      <c r="DA34" s="776">
        <v>0.98</v>
      </c>
      <c r="DB34" s="396"/>
      <c r="DC34" s="411"/>
      <c r="DD34" s="411"/>
      <c r="DE34" s="411"/>
      <c r="DF34" s="411"/>
      <c r="DG34" s="411"/>
      <c r="DH34" s="411"/>
      <c r="DI34" s="411"/>
      <c r="DJ34" s="411"/>
      <c r="DK34" s="411"/>
      <c r="DL34" s="411"/>
      <c r="DM34" s="411"/>
      <c r="DN34" s="394"/>
      <c r="DO34" s="413"/>
      <c r="DP34" s="413"/>
      <c r="DQ34" s="413"/>
      <c r="DR34" s="413"/>
      <c r="DS34" s="413"/>
      <c r="DT34" s="414"/>
      <c r="DU34" s="413"/>
      <c r="DV34" s="414"/>
      <c r="DW34" s="413"/>
      <c r="DX34" s="413"/>
      <c r="DY34" s="414"/>
      <c r="DZ34" s="413"/>
      <c r="EA34" s="414"/>
      <c r="EB34" s="413"/>
      <c r="EC34" s="413"/>
      <c r="ED34" s="413"/>
      <c r="EE34" s="413"/>
      <c r="EF34" s="413"/>
      <c r="EG34" s="413"/>
      <c r="EH34" s="413"/>
      <c r="EI34" s="413"/>
      <c r="EJ34" s="413"/>
      <c r="EK34" s="413"/>
      <c r="EL34" s="413"/>
      <c r="EM34" s="394"/>
      <c r="EN34" s="411"/>
      <c r="EO34" s="411"/>
      <c r="EP34" s="411"/>
      <c r="EQ34" s="411"/>
      <c r="ER34" s="411"/>
      <c r="ES34" s="394"/>
      <c r="ET34" s="411"/>
      <c r="EU34" s="394"/>
      <c r="EV34" s="411"/>
      <c r="EW34" s="411"/>
      <c r="EX34" s="394"/>
      <c r="EY34" s="411"/>
      <c r="EZ34" s="394"/>
      <c r="FA34" s="411"/>
      <c r="FB34" s="411"/>
      <c r="FC34" s="411"/>
      <c r="FD34" s="411"/>
      <c r="FE34" s="411"/>
      <c r="FF34" s="411"/>
      <c r="FG34" s="411"/>
      <c r="FH34" s="411"/>
      <c r="FI34" s="411"/>
      <c r="FJ34" s="411"/>
      <c r="FK34" s="411"/>
      <c r="FL34" s="394"/>
      <c r="FM34" s="411"/>
      <c r="FN34" s="411"/>
      <c r="FO34" s="411"/>
      <c r="FP34" s="411"/>
      <c r="FQ34" s="411"/>
      <c r="FR34" s="394"/>
      <c r="FS34" s="411"/>
      <c r="FT34" s="394"/>
      <c r="FU34" s="411"/>
      <c r="FV34" s="411"/>
      <c r="FW34" s="394"/>
      <c r="FX34" s="411"/>
      <c r="FY34" s="394"/>
      <c r="FZ34" s="411"/>
      <c r="GA34" s="411"/>
      <c r="GB34" s="411"/>
      <c r="GC34" s="411"/>
      <c r="GD34" s="411"/>
      <c r="GE34" s="411"/>
      <c r="GF34" s="411"/>
      <c r="GG34" s="411"/>
      <c r="GH34" s="411"/>
      <c r="GI34" s="411"/>
      <c r="GJ34" s="411"/>
      <c r="GK34" s="394"/>
      <c r="GL34" s="411"/>
      <c r="GM34" s="411"/>
      <c r="GN34" s="411"/>
      <c r="GO34" s="411"/>
      <c r="GP34" s="411"/>
      <c r="GQ34" s="394"/>
      <c r="GR34" s="411"/>
      <c r="GS34" s="394"/>
      <c r="GT34" s="411"/>
      <c r="GU34" s="411"/>
      <c r="GV34" s="394"/>
      <c r="GW34" s="411"/>
      <c r="GX34" s="394"/>
      <c r="GY34" s="411"/>
      <c r="GZ34" s="411"/>
      <c r="HA34" s="411"/>
      <c r="HB34" s="411"/>
      <c r="HC34" s="411"/>
      <c r="HD34" s="411"/>
      <c r="HE34" s="411"/>
      <c r="HF34" s="411"/>
      <c r="HG34" s="411"/>
      <c r="HH34" s="411"/>
      <c r="HI34" s="411"/>
      <c r="HJ34" s="394"/>
      <c r="HK34" s="411"/>
      <c r="HL34" s="411"/>
      <c r="HM34" s="411"/>
      <c r="HN34" s="411"/>
      <c r="HO34" s="411"/>
      <c r="HP34" s="394"/>
      <c r="HQ34" s="411"/>
      <c r="HR34" s="394"/>
      <c r="HS34" s="411"/>
      <c r="HT34" s="411"/>
      <c r="HU34" s="394"/>
      <c r="HV34" s="421"/>
      <c r="HW34" s="394"/>
      <c r="HX34" s="411"/>
      <c r="HY34" s="411"/>
      <c r="HZ34" s="411"/>
      <c r="IA34" s="411"/>
      <c r="IB34" s="411"/>
      <c r="IC34" s="411"/>
      <c r="ID34" s="411"/>
      <c r="IE34" s="411"/>
      <c r="IF34" s="411"/>
      <c r="IG34" s="411"/>
      <c r="IH34" s="411"/>
      <c r="II34" s="394"/>
      <c r="IJ34" s="413"/>
      <c r="IK34" s="413"/>
      <c r="IL34" s="413"/>
      <c r="IM34" s="413"/>
      <c r="IN34" s="413"/>
      <c r="IO34" s="414"/>
      <c r="IP34" s="413"/>
      <c r="IQ34" s="414"/>
      <c r="IR34" s="413"/>
      <c r="IS34" s="413"/>
      <c r="IT34" s="414"/>
      <c r="IU34" s="413"/>
      <c r="IV34" s="414"/>
      <c r="IW34" s="413"/>
      <c r="IX34" s="413"/>
      <c r="IY34" s="413"/>
      <c r="IZ34" s="413"/>
      <c r="JA34" s="413"/>
      <c r="JB34" s="413"/>
      <c r="JC34" s="413"/>
      <c r="JD34" s="413"/>
      <c r="JE34" s="413"/>
      <c r="JF34" s="413"/>
      <c r="JG34" s="413"/>
    </row>
    <row r="35" spans="1:267" ht="12.75" customHeight="1" x14ac:dyDescent="0.3">
      <c r="A35" s="752" t="s">
        <v>947</v>
      </c>
      <c r="B35" s="757" t="s">
        <v>168</v>
      </c>
      <c r="C35" s="757" t="s">
        <v>174</v>
      </c>
      <c r="D35" s="757" t="s">
        <v>168</v>
      </c>
      <c r="E35" s="757" t="s">
        <v>168</v>
      </c>
      <c r="F35" s="757" t="s">
        <v>168</v>
      </c>
      <c r="G35" s="757">
        <v>4.2469999999999999</v>
      </c>
      <c r="H35" s="757">
        <v>72</v>
      </c>
      <c r="I35" s="757">
        <v>305.8</v>
      </c>
      <c r="J35" s="757">
        <v>12</v>
      </c>
      <c r="K35" s="757">
        <v>8</v>
      </c>
      <c r="L35" s="757">
        <v>11</v>
      </c>
      <c r="M35" s="757">
        <v>211.3</v>
      </c>
      <c r="N35" s="757">
        <v>1.12E-2</v>
      </c>
      <c r="O35" s="757">
        <v>14</v>
      </c>
      <c r="P35" s="757">
        <v>18</v>
      </c>
      <c r="Q35" s="757" t="s">
        <v>353</v>
      </c>
      <c r="S35" s="760">
        <v>450.93599999999998</v>
      </c>
      <c r="T35" s="760">
        <v>564.25099999999998</v>
      </c>
      <c r="U35" s="760">
        <v>296.38499999999999</v>
      </c>
      <c r="V35" s="760">
        <v>589.37900000000002</v>
      </c>
      <c r="W35" s="760">
        <v>560.05600000000004</v>
      </c>
      <c r="X35" s="409"/>
      <c r="Y35" s="775">
        <v>155.18299999999999</v>
      </c>
      <c r="Z35" s="776">
        <v>0.97</v>
      </c>
      <c r="AA35" s="777">
        <v>0.85899999999999999</v>
      </c>
      <c r="AB35" s="779">
        <v>0.72799999999999998</v>
      </c>
      <c r="AC35" s="779">
        <v>0.65100000000000002</v>
      </c>
      <c r="AD35" s="779">
        <v>0.96099999999999997</v>
      </c>
      <c r="AE35" s="776">
        <v>0.97</v>
      </c>
      <c r="AF35" s="780">
        <v>26.68</v>
      </c>
      <c r="AG35" s="781">
        <v>47</v>
      </c>
      <c r="AH35" s="781">
        <v>33.35</v>
      </c>
      <c r="AI35" s="781">
        <v>28.35</v>
      </c>
      <c r="AJ35" s="781">
        <v>30.01</v>
      </c>
      <c r="AK35" s="781">
        <v>23.34</v>
      </c>
      <c r="AL35" s="781">
        <v>23.34</v>
      </c>
      <c r="AM35" s="781">
        <v>41.68</v>
      </c>
      <c r="AN35" s="781">
        <v>56.69</v>
      </c>
      <c r="AO35" s="781">
        <v>43.35</v>
      </c>
      <c r="AP35" s="781">
        <v>13.34</v>
      </c>
      <c r="AQ35" s="782">
        <v>210.845</v>
      </c>
      <c r="AR35" s="411"/>
      <c r="AS35" s="411"/>
      <c r="AT35" s="411"/>
      <c r="AU35" s="411"/>
      <c r="AV35" s="411"/>
      <c r="AW35" s="394"/>
      <c r="AX35" s="775">
        <v>155.18299999999999</v>
      </c>
      <c r="AY35" s="776"/>
      <c r="AZ35" s="851">
        <v>0.85899999999999999</v>
      </c>
      <c r="BA35" s="853">
        <v>0.72799999999999998</v>
      </c>
      <c r="BB35" s="853">
        <v>0.65100000000000002</v>
      </c>
      <c r="BC35" s="853">
        <v>0.96099999999999997</v>
      </c>
      <c r="BD35" s="776"/>
      <c r="BE35" s="808"/>
      <c r="BF35" s="776"/>
      <c r="BG35" s="851">
        <v>0.85899999999999999</v>
      </c>
      <c r="BH35" s="853">
        <v>0.72799999999999998</v>
      </c>
      <c r="BI35" s="853">
        <v>0.65100000000000002</v>
      </c>
      <c r="BJ35" s="853">
        <v>0.96099999999999997</v>
      </c>
      <c r="BK35" s="776"/>
      <c r="BL35" s="834"/>
      <c r="BM35" s="776">
        <v>0.97</v>
      </c>
      <c r="BN35" s="777">
        <v>0.85899999999999999</v>
      </c>
      <c r="BO35" s="779">
        <v>0.72799999999999998</v>
      </c>
      <c r="BP35" s="779">
        <v>0.65100000000000002</v>
      </c>
      <c r="BQ35" s="779">
        <v>0.96099999999999997</v>
      </c>
      <c r="BR35" s="776">
        <v>0.97</v>
      </c>
      <c r="BS35" s="842"/>
      <c r="BT35" s="776">
        <v>0.97</v>
      </c>
      <c r="BU35" s="777">
        <v>0.85899999999999999</v>
      </c>
      <c r="BV35" s="779">
        <v>0.72799999999999998</v>
      </c>
      <c r="BW35" s="779">
        <v>0.65100000000000002</v>
      </c>
      <c r="BX35" s="779">
        <v>0.96099999999999997</v>
      </c>
      <c r="BY35" s="776">
        <v>0.97</v>
      </c>
      <c r="BZ35" s="774"/>
      <c r="CA35" s="776">
        <v>0.97</v>
      </c>
      <c r="CB35" s="777">
        <v>0.85899999999999999</v>
      </c>
      <c r="CC35" s="779">
        <v>0.72799999999999998</v>
      </c>
      <c r="CD35" s="779">
        <v>0.65100000000000002</v>
      </c>
      <c r="CE35" s="779">
        <v>0.96099999999999997</v>
      </c>
      <c r="CF35" s="776">
        <v>0.97</v>
      </c>
      <c r="CG35" s="834"/>
      <c r="CH35" s="776">
        <v>0.97</v>
      </c>
      <c r="CI35" s="777">
        <v>0.85899999999999999</v>
      </c>
      <c r="CJ35" s="779">
        <v>0.72799999999999998</v>
      </c>
      <c r="CK35" s="779">
        <v>0.65100000000000002</v>
      </c>
      <c r="CL35" s="779">
        <v>0.96099999999999997</v>
      </c>
      <c r="CM35" s="776">
        <v>0.97</v>
      </c>
      <c r="CN35" s="834"/>
      <c r="CO35" s="776">
        <v>0.97</v>
      </c>
      <c r="CP35" s="777">
        <v>0.85899999999999999</v>
      </c>
      <c r="CQ35" s="779">
        <v>0.72799999999999998</v>
      </c>
      <c r="CR35" s="779">
        <v>0.65100000000000002</v>
      </c>
      <c r="CS35" s="779">
        <v>0.96099999999999997</v>
      </c>
      <c r="CT35" s="776">
        <v>0.97</v>
      </c>
      <c r="CU35" s="396"/>
      <c r="CV35" s="776">
        <v>0.97</v>
      </c>
      <c r="CW35" s="777">
        <v>0.85899999999999999</v>
      </c>
      <c r="CX35" s="779">
        <v>0.72799999999999998</v>
      </c>
      <c r="CY35" s="779">
        <v>0.65100000000000002</v>
      </c>
      <c r="CZ35" s="779">
        <v>0.96099999999999997</v>
      </c>
      <c r="DA35" s="776">
        <v>0.97</v>
      </c>
      <c r="DB35" s="396"/>
      <c r="DC35" s="411"/>
      <c r="DD35" s="411"/>
      <c r="DE35" s="411"/>
      <c r="DF35" s="411"/>
      <c r="DG35" s="411"/>
      <c r="DH35" s="411"/>
      <c r="DI35" s="411"/>
      <c r="DJ35" s="411"/>
      <c r="DK35" s="411"/>
      <c r="DL35" s="411"/>
      <c r="DM35" s="411"/>
      <c r="DN35" s="394"/>
      <c r="DO35" s="411"/>
      <c r="DP35" s="411"/>
      <c r="DQ35" s="411"/>
      <c r="DR35" s="411"/>
      <c r="DS35" s="411"/>
      <c r="DU35" s="411"/>
      <c r="DW35" s="411"/>
      <c r="DX35" s="411"/>
      <c r="DZ35" s="411"/>
      <c r="EB35" s="411"/>
      <c r="EC35" s="411"/>
      <c r="ED35" s="411"/>
      <c r="EE35" s="411"/>
      <c r="EF35" s="411"/>
      <c r="EG35" s="411"/>
      <c r="EH35" s="411"/>
      <c r="EI35" s="411"/>
      <c r="EJ35" s="411"/>
      <c r="EK35" s="411"/>
      <c r="EL35" s="411"/>
      <c r="EM35" s="394"/>
      <c r="EN35" s="411"/>
      <c r="EO35" s="411"/>
      <c r="EP35" s="411"/>
      <c r="EQ35" s="411"/>
      <c r="ER35" s="411"/>
      <c r="ES35" s="394"/>
      <c r="ET35" s="411"/>
      <c r="EU35" s="394"/>
      <c r="EV35" s="411"/>
      <c r="EW35" s="411"/>
      <c r="EX35" s="394"/>
      <c r="EY35" s="411"/>
      <c r="EZ35" s="394"/>
      <c r="FA35" s="411"/>
      <c r="FB35" s="411"/>
      <c r="FC35" s="411"/>
      <c r="FD35" s="411"/>
      <c r="FE35" s="411"/>
      <c r="FF35" s="411"/>
      <c r="FG35" s="411"/>
      <c r="FH35" s="411"/>
      <c r="FI35" s="411"/>
      <c r="FJ35" s="411"/>
      <c r="FK35" s="411"/>
      <c r="FL35" s="394"/>
      <c r="FM35" s="411"/>
      <c r="FN35" s="411"/>
      <c r="FO35" s="411"/>
      <c r="FP35" s="411"/>
      <c r="FQ35" s="411"/>
      <c r="FS35" s="411"/>
      <c r="FU35" s="411"/>
      <c r="FV35" s="411"/>
      <c r="FX35" s="411"/>
      <c r="FZ35" s="411"/>
      <c r="GA35" s="411"/>
      <c r="GB35" s="411"/>
      <c r="GC35" s="411"/>
      <c r="GD35" s="411"/>
      <c r="GE35" s="411"/>
      <c r="GF35" s="411"/>
      <c r="GG35" s="411"/>
      <c r="GH35" s="411"/>
      <c r="GI35" s="411"/>
      <c r="GJ35" s="411"/>
      <c r="GL35" s="411"/>
      <c r="GM35" s="411"/>
      <c r="GN35" s="411"/>
      <c r="GO35" s="411"/>
      <c r="GP35" s="411"/>
      <c r="GR35" s="411"/>
      <c r="GT35" s="411"/>
      <c r="GU35" s="411"/>
      <c r="GW35" s="411"/>
      <c r="GY35" s="411"/>
      <c r="GZ35" s="411"/>
      <c r="HA35" s="411"/>
      <c r="HB35" s="411"/>
      <c r="HC35" s="411"/>
      <c r="HD35" s="411"/>
      <c r="HE35" s="411"/>
      <c r="HF35" s="411"/>
      <c r="HG35" s="411"/>
      <c r="HH35" s="411"/>
      <c r="HI35" s="411"/>
      <c r="HK35" s="411"/>
      <c r="HL35" s="411"/>
      <c r="HM35" s="411"/>
      <c r="HN35" s="411"/>
      <c r="HO35" s="411"/>
      <c r="HQ35" s="411"/>
      <c r="HS35" s="411"/>
      <c r="HT35" s="411"/>
      <c r="HV35" s="411"/>
      <c r="HX35" s="411"/>
      <c r="HY35" s="411"/>
      <c r="HZ35" s="411"/>
      <c r="IA35" s="411"/>
      <c r="IB35" s="411"/>
      <c r="IC35" s="411"/>
      <c r="ID35" s="411"/>
      <c r="IE35" s="411"/>
      <c r="IF35" s="411"/>
      <c r="IG35" s="411"/>
      <c r="IH35" s="411"/>
      <c r="II35" s="394"/>
      <c r="IJ35" s="413"/>
      <c r="IK35" s="413"/>
      <c r="IL35" s="413"/>
      <c r="IM35" s="413"/>
      <c r="IN35" s="413"/>
      <c r="IO35" s="414"/>
      <c r="IP35" s="413"/>
      <c r="IQ35" s="414"/>
      <c r="IR35" s="413"/>
      <c r="IS35" s="413"/>
      <c r="IT35" s="414"/>
      <c r="IU35" s="413"/>
      <c r="IV35" s="414"/>
      <c r="IW35" s="413"/>
      <c r="IX35" s="413"/>
      <c r="IY35" s="413"/>
      <c r="IZ35" s="413"/>
      <c r="JA35" s="413"/>
      <c r="JB35" s="413"/>
      <c r="JC35" s="413"/>
      <c r="JD35" s="413"/>
      <c r="JE35" s="413"/>
      <c r="JF35" s="413"/>
      <c r="JG35" s="413"/>
    </row>
    <row r="36" spans="1:267" ht="12.75" customHeight="1" x14ac:dyDescent="0.3">
      <c r="A36" s="753" t="s">
        <v>948</v>
      </c>
      <c r="B36" s="757" t="s">
        <v>168</v>
      </c>
      <c r="C36" s="757" t="s">
        <v>174</v>
      </c>
      <c r="D36" s="757" t="s">
        <v>162</v>
      </c>
      <c r="E36" s="757" t="s">
        <v>168</v>
      </c>
      <c r="F36" s="757" t="s">
        <v>168</v>
      </c>
      <c r="G36" s="757">
        <v>5.3029999999999999</v>
      </c>
      <c r="H36" s="757">
        <v>58</v>
      </c>
      <c r="I36" s="757">
        <v>307.60000000000002</v>
      </c>
      <c r="J36" s="757">
        <v>12</v>
      </c>
      <c r="K36" s="757">
        <v>15</v>
      </c>
      <c r="L36" s="757">
        <v>10</v>
      </c>
      <c r="M36" s="757">
        <v>221.86</v>
      </c>
      <c r="N36" s="757">
        <v>1.7100000000000001E-2</v>
      </c>
      <c r="O36" s="757">
        <v>17</v>
      </c>
      <c r="P36" s="757">
        <v>16.5</v>
      </c>
      <c r="Q36" s="757" t="s">
        <v>355</v>
      </c>
      <c r="S36" s="767">
        <v>387.935</v>
      </c>
      <c r="T36" s="767">
        <v>620.41600000000005</v>
      </c>
      <c r="U36" s="767">
        <v>611.39099999999996</v>
      </c>
      <c r="V36" s="767">
        <v>754.745</v>
      </c>
      <c r="W36" s="767">
        <v>295.60199999999998</v>
      </c>
      <c r="X36" s="409"/>
      <c r="Y36" s="792">
        <v>11.214</v>
      </c>
      <c r="Z36" s="776">
        <v>0.98</v>
      </c>
      <c r="AA36" s="777">
        <v>0.85099999999999998</v>
      </c>
      <c r="AB36" s="779">
        <v>0.55500000000000005</v>
      </c>
      <c r="AC36" s="779">
        <v>0.80100000000000005</v>
      </c>
      <c r="AD36" s="779">
        <v>1.06</v>
      </c>
      <c r="AE36" s="776">
        <v>0.98</v>
      </c>
      <c r="AF36" s="793">
        <v>22.036000000000001</v>
      </c>
      <c r="AG36" s="767">
        <v>44</v>
      </c>
      <c r="AH36" s="767">
        <v>27.143999999999998</v>
      </c>
      <c r="AI36" s="767">
        <v>29.056999999999999</v>
      </c>
      <c r="AJ36" s="767">
        <v>21.754999999999999</v>
      </c>
      <c r="AK36" s="767">
        <v>21.295000000000002</v>
      </c>
      <c r="AL36" s="767">
        <v>19.844000000000001</v>
      </c>
      <c r="AM36" s="767">
        <v>30.673999999999999</v>
      </c>
      <c r="AN36" s="767">
        <v>35.828000000000003</v>
      </c>
      <c r="AO36" s="767">
        <v>21.977</v>
      </c>
      <c r="AP36" s="767">
        <v>17.504999999999999</v>
      </c>
      <c r="AQ36" s="782">
        <v>161.99100000000001</v>
      </c>
      <c r="AR36" s="411"/>
      <c r="AS36" s="411"/>
      <c r="AT36" s="411"/>
      <c r="AU36" s="411"/>
      <c r="AV36" s="411"/>
      <c r="AW36" s="412"/>
      <c r="AX36" s="792">
        <v>11.214</v>
      </c>
      <c r="AY36" s="776"/>
      <c r="AZ36" s="851">
        <v>0.85099999999999998</v>
      </c>
      <c r="BA36" s="853">
        <v>0.55500000000000005</v>
      </c>
      <c r="BB36" s="853">
        <v>0.80100000000000005</v>
      </c>
      <c r="BC36" s="853">
        <v>1.06</v>
      </c>
      <c r="BD36" s="776"/>
      <c r="BE36" s="808"/>
      <c r="BF36" s="776"/>
      <c r="BG36" s="851">
        <v>0.85099999999999998</v>
      </c>
      <c r="BH36" s="853">
        <v>0.55500000000000005</v>
      </c>
      <c r="BI36" s="853">
        <v>0.80100000000000005</v>
      </c>
      <c r="BJ36" s="853">
        <v>1.06</v>
      </c>
      <c r="BK36" s="776"/>
      <c r="BL36" s="834"/>
      <c r="BM36" s="776">
        <v>0.98</v>
      </c>
      <c r="BN36" s="777">
        <v>0.85099999999999998</v>
      </c>
      <c r="BO36" s="779">
        <v>0.55500000000000005</v>
      </c>
      <c r="BP36" s="779">
        <v>0.80100000000000005</v>
      </c>
      <c r="BQ36" s="779">
        <v>1.06</v>
      </c>
      <c r="BR36" s="776">
        <v>0.98</v>
      </c>
      <c r="BS36" s="842"/>
      <c r="BT36" s="776">
        <v>0.98</v>
      </c>
      <c r="BU36" s="777">
        <v>0.85099999999999998</v>
      </c>
      <c r="BV36" s="779">
        <v>0.55500000000000005</v>
      </c>
      <c r="BW36" s="779">
        <v>0.80100000000000005</v>
      </c>
      <c r="BX36" s="779">
        <v>1.06</v>
      </c>
      <c r="BY36" s="776">
        <v>0.98</v>
      </c>
      <c r="BZ36" s="774"/>
      <c r="CA36" s="776">
        <v>0.98</v>
      </c>
      <c r="CB36" s="777">
        <v>0.85099999999999998</v>
      </c>
      <c r="CC36" s="779">
        <v>0.55500000000000005</v>
      </c>
      <c r="CD36" s="779">
        <v>0.80100000000000005</v>
      </c>
      <c r="CE36" s="779">
        <v>1.06</v>
      </c>
      <c r="CF36" s="776">
        <v>0.98</v>
      </c>
      <c r="CG36" s="834"/>
      <c r="CH36" s="776">
        <v>0.98</v>
      </c>
      <c r="CI36" s="777">
        <v>0.85099999999999998</v>
      </c>
      <c r="CJ36" s="779">
        <v>0.55500000000000005</v>
      </c>
      <c r="CK36" s="779">
        <v>0.80100000000000005</v>
      </c>
      <c r="CL36" s="779">
        <v>1.06</v>
      </c>
      <c r="CM36" s="776">
        <v>0.98</v>
      </c>
      <c r="CN36" s="834"/>
      <c r="CO36" s="776">
        <v>0.98</v>
      </c>
      <c r="CP36" s="777">
        <v>0.85099999999999998</v>
      </c>
      <c r="CQ36" s="779">
        <v>0.55500000000000005</v>
      </c>
      <c r="CR36" s="779">
        <v>0.80100000000000005</v>
      </c>
      <c r="CS36" s="779">
        <v>1.06</v>
      </c>
      <c r="CT36" s="776">
        <v>0.98</v>
      </c>
      <c r="CU36" s="394"/>
      <c r="CV36" s="776">
        <v>0.98</v>
      </c>
      <c r="CW36" s="777">
        <v>0.85099999999999998</v>
      </c>
      <c r="CX36" s="779">
        <v>0.55500000000000005</v>
      </c>
      <c r="CY36" s="779">
        <v>0.80100000000000005</v>
      </c>
      <c r="CZ36" s="779">
        <v>1.06</v>
      </c>
      <c r="DA36" s="776">
        <v>0.98</v>
      </c>
      <c r="DB36" s="394"/>
      <c r="DC36" s="411"/>
      <c r="DD36" s="411"/>
      <c r="DE36" s="411"/>
      <c r="DF36" s="411"/>
      <c r="DG36" s="411"/>
      <c r="DH36" s="411"/>
      <c r="DI36" s="411"/>
      <c r="DJ36" s="411"/>
      <c r="DK36" s="411"/>
      <c r="DL36" s="411"/>
      <c r="DM36" s="411"/>
      <c r="DN36" s="394"/>
      <c r="DO36" s="411"/>
      <c r="DP36" s="411"/>
      <c r="DQ36" s="411"/>
      <c r="DR36" s="411"/>
      <c r="DS36" s="411"/>
      <c r="DU36" s="411"/>
      <c r="DW36" s="411"/>
      <c r="DX36" s="411"/>
      <c r="DZ36" s="421"/>
      <c r="EB36" s="411"/>
      <c r="EC36" s="411"/>
      <c r="ED36" s="411"/>
      <c r="EE36" s="411"/>
      <c r="EF36" s="411"/>
      <c r="EG36" s="411"/>
      <c r="EH36" s="411"/>
      <c r="EI36" s="411"/>
      <c r="EJ36" s="411"/>
      <c r="EK36" s="411"/>
      <c r="EL36" s="411"/>
      <c r="EM36" s="394"/>
      <c r="EN36" s="411"/>
      <c r="EO36" s="411"/>
      <c r="EP36" s="411"/>
      <c r="EQ36" s="411"/>
      <c r="ER36" s="411"/>
      <c r="ES36" s="394"/>
      <c r="ET36" s="411"/>
      <c r="EU36" s="394"/>
      <c r="EV36" s="411"/>
      <c r="EW36" s="411"/>
      <c r="EX36" s="394"/>
      <c r="EY36" s="411"/>
      <c r="EZ36" s="394"/>
      <c r="FA36" s="411"/>
      <c r="FB36" s="411"/>
      <c r="FC36" s="411"/>
      <c r="FD36" s="411"/>
      <c r="FE36" s="411"/>
      <c r="FF36" s="411"/>
      <c r="FG36" s="411"/>
      <c r="FH36" s="411"/>
      <c r="FI36" s="411"/>
      <c r="FJ36" s="411"/>
      <c r="FK36" s="411"/>
      <c r="FL36" s="394"/>
      <c r="FM36" s="411"/>
      <c r="FN36" s="411"/>
      <c r="FO36" s="411"/>
      <c r="FP36" s="411"/>
      <c r="FQ36" s="411"/>
      <c r="FS36" s="411"/>
      <c r="FU36" s="411"/>
      <c r="FV36" s="411"/>
      <c r="FX36" s="411"/>
      <c r="FZ36" s="411"/>
      <c r="GA36" s="411"/>
      <c r="GB36" s="411"/>
      <c r="GC36" s="411"/>
      <c r="GD36" s="411"/>
      <c r="GE36" s="411"/>
      <c r="GF36" s="411"/>
      <c r="GG36" s="411"/>
      <c r="GH36" s="411"/>
      <c r="GI36" s="411"/>
      <c r="GJ36" s="411"/>
      <c r="GL36" s="411"/>
      <c r="GM36" s="411"/>
      <c r="GN36" s="411"/>
      <c r="GO36" s="411"/>
      <c r="GP36" s="411"/>
      <c r="GR36" s="411"/>
      <c r="GT36" s="411"/>
      <c r="GU36" s="411"/>
      <c r="GW36" s="411"/>
      <c r="GY36" s="411"/>
      <c r="GZ36" s="411"/>
      <c r="HA36" s="411"/>
      <c r="HB36" s="411"/>
      <c r="HC36" s="411"/>
      <c r="HD36" s="411"/>
      <c r="HE36" s="411"/>
      <c r="HF36" s="411"/>
      <c r="HG36" s="411"/>
      <c r="HH36" s="411"/>
      <c r="HI36" s="411"/>
      <c r="HK36" s="411"/>
      <c r="HL36" s="411"/>
      <c r="HM36" s="411"/>
      <c r="HN36" s="411"/>
      <c r="HO36" s="411"/>
      <c r="HQ36" s="411"/>
      <c r="HS36" s="411"/>
      <c r="HT36" s="411"/>
      <c r="HV36" s="411"/>
      <c r="HX36" s="411"/>
      <c r="HY36" s="411"/>
      <c r="HZ36" s="411"/>
      <c r="IA36" s="411"/>
      <c r="IB36" s="411"/>
      <c r="IC36" s="411"/>
      <c r="ID36" s="411"/>
      <c r="IE36" s="411"/>
      <c r="IF36" s="411"/>
      <c r="IG36" s="411"/>
      <c r="IH36" s="411"/>
      <c r="II36" s="394"/>
      <c r="IJ36" s="411"/>
      <c r="IK36" s="411"/>
      <c r="IL36" s="411"/>
      <c r="IM36" s="411"/>
      <c r="IN36" s="411"/>
      <c r="IP36" s="411"/>
      <c r="IR36" s="411"/>
      <c r="IS36" s="411"/>
      <c r="IU36" s="411"/>
      <c r="IW36" s="411"/>
      <c r="IX36" s="411"/>
      <c r="IY36" s="411"/>
      <c r="IZ36" s="411"/>
      <c r="JA36" s="411"/>
      <c r="JB36" s="411"/>
      <c r="JC36" s="411"/>
      <c r="JD36" s="411"/>
      <c r="JE36" s="411"/>
      <c r="JF36" s="411"/>
      <c r="JG36" s="411"/>
    </row>
    <row r="37" spans="1:267" ht="12.75" customHeight="1" x14ac:dyDescent="0.3">
      <c r="A37" s="754" t="s">
        <v>949</v>
      </c>
      <c r="B37" s="757" t="s">
        <v>168</v>
      </c>
      <c r="C37" s="757" t="s">
        <v>174</v>
      </c>
      <c r="D37" s="757" t="s">
        <v>162</v>
      </c>
      <c r="E37" s="757" t="s">
        <v>355</v>
      </c>
      <c r="F37" s="757" t="s">
        <v>168</v>
      </c>
      <c r="G37" s="757">
        <v>4.42</v>
      </c>
      <c r="H37" s="757">
        <v>69</v>
      </c>
      <c r="I37" s="757">
        <v>305</v>
      </c>
      <c r="J37" s="757">
        <v>13</v>
      </c>
      <c r="K37" s="757">
        <v>12</v>
      </c>
      <c r="L37" s="757">
        <v>7</v>
      </c>
      <c r="M37" s="757">
        <v>227.84</v>
      </c>
      <c r="N37" s="757">
        <v>7.3000000000000001E-3</v>
      </c>
      <c r="O37" s="757">
        <v>9</v>
      </c>
      <c r="P37" s="757">
        <v>24</v>
      </c>
      <c r="Q37" s="757" t="s">
        <v>30</v>
      </c>
      <c r="S37" s="764">
        <v>634.9</v>
      </c>
      <c r="T37" s="765">
        <v>702.5</v>
      </c>
      <c r="U37" s="765">
        <v>468</v>
      </c>
      <c r="V37" s="765">
        <v>671</v>
      </c>
      <c r="W37" s="765">
        <v>321</v>
      </c>
      <c r="X37" s="409"/>
      <c r="Y37" s="775">
        <v>34</v>
      </c>
      <c r="Z37" s="776">
        <v>0.99</v>
      </c>
      <c r="AA37" s="777">
        <v>0.83</v>
      </c>
      <c r="AB37" s="779">
        <v>0.67</v>
      </c>
      <c r="AC37" s="779">
        <v>0.68600000000000005</v>
      </c>
      <c r="AD37" s="779">
        <v>1.03</v>
      </c>
      <c r="AE37" s="776">
        <v>0.99</v>
      </c>
      <c r="AF37" s="780">
        <v>16.86</v>
      </c>
      <c r="AG37" s="781">
        <v>27</v>
      </c>
      <c r="AH37" s="781">
        <v>19.510000000000002</v>
      </c>
      <c r="AI37" s="781">
        <v>17.940000000000001</v>
      </c>
      <c r="AJ37" s="781">
        <v>22.84</v>
      </c>
      <c r="AK37" s="781">
        <v>16.98</v>
      </c>
      <c r="AL37" s="781">
        <v>21.64</v>
      </c>
      <c r="AM37" s="781">
        <v>34.950000000000003</v>
      </c>
      <c r="AN37" s="781">
        <v>17.579999999999998</v>
      </c>
      <c r="AO37" s="781">
        <v>41.61</v>
      </c>
      <c r="AP37" s="781">
        <v>20.309999999999999</v>
      </c>
      <c r="AQ37" s="782">
        <v>187.221</v>
      </c>
      <c r="AR37" s="411"/>
      <c r="AS37" s="411"/>
      <c r="AT37" s="411"/>
      <c r="AU37" s="411"/>
      <c r="AV37" s="411"/>
      <c r="AW37" s="412"/>
      <c r="AX37" s="775">
        <v>34</v>
      </c>
      <c r="AY37" s="776"/>
      <c r="AZ37" s="851">
        <v>0.83</v>
      </c>
      <c r="BA37" s="853">
        <v>0.67</v>
      </c>
      <c r="BB37" s="853">
        <v>0.68600000000000005</v>
      </c>
      <c r="BC37" s="853">
        <v>1.03</v>
      </c>
      <c r="BD37" s="776"/>
      <c r="BE37" s="808"/>
      <c r="BF37" s="776"/>
      <c r="BG37" s="851">
        <v>0.83</v>
      </c>
      <c r="BH37" s="853">
        <v>0.67</v>
      </c>
      <c r="BI37" s="853">
        <v>0.68600000000000005</v>
      </c>
      <c r="BJ37" s="853">
        <v>1.03</v>
      </c>
      <c r="BK37" s="776"/>
      <c r="BL37" s="834"/>
      <c r="BM37" s="776">
        <v>0.99</v>
      </c>
      <c r="BN37" s="777">
        <v>0.83</v>
      </c>
      <c r="BO37" s="779">
        <v>0.67</v>
      </c>
      <c r="BP37" s="779">
        <v>0.68600000000000005</v>
      </c>
      <c r="BQ37" s="779">
        <v>1.03</v>
      </c>
      <c r="BR37" s="776">
        <v>0.99</v>
      </c>
      <c r="BS37" s="842"/>
      <c r="BT37" s="776">
        <v>0.99</v>
      </c>
      <c r="BU37" s="777">
        <v>0.83</v>
      </c>
      <c r="BV37" s="779">
        <v>0.67</v>
      </c>
      <c r="BW37" s="779">
        <v>0.68600000000000005</v>
      </c>
      <c r="BX37" s="779">
        <v>1.03</v>
      </c>
      <c r="BY37" s="776">
        <v>0.99</v>
      </c>
      <c r="BZ37" s="774"/>
      <c r="CA37" s="776">
        <v>0.99</v>
      </c>
      <c r="CB37" s="777">
        <v>0.83</v>
      </c>
      <c r="CC37" s="779">
        <v>0.67</v>
      </c>
      <c r="CD37" s="779">
        <v>0.68600000000000005</v>
      </c>
      <c r="CE37" s="779">
        <v>1.03</v>
      </c>
      <c r="CF37" s="776">
        <v>0.99</v>
      </c>
      <c r="CG37" s="834"/>
      <c r="CH37" s="776">
        <v>0.99</v>
      </c>
      <c r="CI37" s="777">
        <v>0.83</v>
      </c>
      <c r="CJ37" s="779">
        <v>0.67</v>
      </c>
      <c r="CK37" s="779">
        <v>0.68600000000000005</v>
      </c>
      <c r="CL37" s="779">
        <v>1.03</v>
      </c>
      <c r="CM37" s="776">
        <v>0.99</v>
      </c>
      <c r="CN37" s="834"/>
      <c r="CO37" s="776">
        <v>0.99</v>
      </c>
      <c r="CP37" s="777">
        <v>0.83</v>
      </c>
      <c r="CQ37" s="779">
        <v>0.67</v>
      </c>
      <c r="CR37" s="779">
        <v>0.68600000000000005</v>
      </c>
      <c r="CS37" s="779">
        <v>1.03</v>
      </c>
      <c r="CT37" s="776">
        <v>0.99</v>
      </c>
      <c r="CU37" s="394"/>
      <c r="CV37" s="776">
        <v>0.99</v>
      </c>
      <c r="CW37" s="777">
        <v>0.83</v>
      </c>
      <c r="CX37" s="779">
        <v>0.67</v>
      </c>
      <c r="CY37" s="779">
        <v>0.68600000000000005</v>
      </c>
      <c r="CZ37" s="779">
        <v>1.03</v>
      </c>
      <c r="DA37" s="776">
        <v>0.99</v>
      </c>
      <c r="DB37" s="394"/>
      <c r="DC37" s="411"/>
      <c r="DD37" s="411"/>
      <c r="DE37" s="411"/>
      <c r="DF37" s="411"/>
      <c r="DG37" s="411"/>
      <c r="DH37" s="411"/>
      <c r="DI37" s="411"/>
      <c r="DJ37" s="411"/>
      <c r="DK37" s="411"/>
      <c r="DL37" s="411"/>
      <c r="DM37" s="411"/>
      <c r="DN37" s="394"/>
      <c r="DO37" s="411"/>
      <c r="DP37" s="411"/>
      <c r="DQ37" s="411"/>
      <c r="DR37" s="411"/>
      <c r="DS37" s="411"/>
      <c r="DU37" s="411"/>
      <c r="DW37" s="411"/>
      <c r="DX37" s="411"/>
      <c r="DZ37" s="411"/>
      <c r="EB37" s="411"/>
      <c r="EC37" s="411"/>
      <c r="ED37" s="411"/>
      <c r="EE37" s="411"/>
      <c r="EF37" s="411"/>
      <c r="EG37" s="411"/>
      <c r="EH37" s="411"/>
      <c r="EI37" s="411"/>
      <c r="EJ37" s="411"/>
      <c r="EK37" s="411"/>
      <c r="EL37" s="411"/>
      <c r="EM37" s="394"/>
      <c r="EN37" s="411"/>
      <c r="EO37" s="411"/>
      <c r="EP37" s="411"/>
      <c r="EQ37" s="411"/>
      <c r="ER37" s="411"/>
      <c r="ES37" s="394"/>
      <c r="ET37" s="411"/>
      <c r="EU37" s="394"/>
      <c r="EV37" s="411"/>
      <c r="EW37" s="411"/>
      <c r="EX37" s="394"/>
      <c r="EY37" s="411"/>
      <c r="EZ37" s="394"/>
      <c r="FA37" s="411"/>
      <c r="FB37" s="411"/>
      <c r="FC37" s="411"/>
      <c r="FD37" s="411"/>
      <c r="FE37" s="411"/>
      <c r="FF37" s="411"/>
      <c r="FG37" s="411"/>
      <c r="FH37" s="411"/>
      <c r="FI37" s="411"/>
      <c r="FJ37" s="411"/>
      <c r="FK37" s="411"/>
      <c r="FL37" s="394"/>
      <c r="FM37" s="411"/>
      <c r="FN37" s="411"/>
      <c r="FO37" s="411"/>
      <c r="FP37" s="411"/>
      <c r="FQ37" s="411"/>
      <c r="FS37" s="411"/>
      <c r="FU37" s="411"/>
      <c r="FV37" s="411"/>
      <c r="FX37" s="411"/>
      <c r="FZ37" s="411"/>
      <c r="GA37" s="411"/>
      <c r="GB37" s="411"/>
      <c r="GC37" s="411"/>
      <c r="GD37" s="411"/>
      <c r="GE37" s="411"/>
      <c r="GF37" s="411"/>
      <c r="GG37" s="411"/>
      <c r="GH37" s="411"/>
      <c r="GI37" s="411"/>
      <c r="GJ37" s="411"/>
      <c r="GL37" s="411"/>
      <c r="GM37" s="411"/>
      <c r="GN37" s="411"/>
      <c r="GO37" s="411"/>
      <c r="GP37" s="411"/>
      <c r="GR37" s="411"/>
      <c r="GT37" s="411"/>
      <c r="GU37" s="411"/>
      <c r="GW37" s="421"/>
      <c r="GY37" s="411"/>
      <c r="GZ37" s="411"/>
      <c r="HA37" s="411"/>
      <c r="HB37" s="411"/>
      <c r="HC37" s="411"/>
      <c r="HD37" s="411"/>
      <c r="HE37" s="411"/>
      <c r="HF37" s="411"/>
      <c r="HG37" s="411"/>
      <c r="HH37" s="411"/>
      <c r="HI37" s="411"/>
      <c r="HK37" s="411"/>
      <c r="HL37" s="411"/>
      <c r="HM37" s="411"/>
      <c r="HN37" s="411"/>
      <c r="HO37" s="411"/>
      <c r="HQ37" s="411"/>
      <c r="HS37" s="411"/>
      <c r="HT37" s="411"/>
      <c r="HV37" s="411"/>
      <c r="HX37" s="411"/>
      <c r="HY37" s="411"/>
      <c r="HZ37" s="411"/>
      <c r="IA37" s="411"/>
      <c r="IB37" s="411"/>
      <c r="IC37" s="411"/>
      <c r="ID37" s="411"/>
      <c r="IE37" s="411"/>
      <c r="IF37" s="411"/>
      <c r="IG37" s="411"/>
      <c r="IH37" s="411"/>
      <c r="II37" s="394"/>
      <c r="IJ37" s="411"/>
      <c r="IK37" s="411"/>
      <c r="IL37" s="411"/>
      <c r="IM37" s="411"/>
      <c r="IN37" s="411"/>
      <c r="IP37" s="411"/>
      <c r="IR37" s="411"/>
      <c r="IS37" s="411"/>
      <c r="IU37" s="411"/>
      <c r="IW37" s="411"/>
      <c r="IX37" s="411"/>
      <c r="IY37" s="411"/>
      <c r="IZ37" s="411"/>
      <c r="JA37" s="411"/>
      <c r="JB37" s="411"/>
      <c r="JC37" s="411"/>
      <c r="JD37" s="411"/>
      <c r="JE37" s="411"/>
      <c r="JF37" s="411"/>
      <c r="JG37" s="411"/>
    </row>
    <row r="38" spans="1:267" ht="12.75" customHeight="1" x14ac:dyDescent="0.3">
      <c r="A38" s="752" t="s">
        <v>950</v>
      </c>
      <c r="B38" s="810" t="s">
        <v>353</v>
      </c>
      <c r="C38" s="757" t="s">
        <v>694</v>
      </c>
      <c r="D38" s="757" t="s">
        <v>168</v>
      </c>
      <c r="E38" s="810" t="s">
        <v>355</v>
      </c>
      <c r="F38" s="810" t="s">
        <v>168</v>
      </c>
      <c r="G38" s="757">
        <v>3.3690000000000002</v>
      </c>
      <c r="H38" s="757">
        <v>78</v>
      </c>
      <c r="I38" s="757">
        <v>262.8</v>
      </c>
      <c r="J38" s="757">
        <v>7</v>
      </c>
      <c r="K38" s="757">
        <v>7</v>
      </c>
      <c r="L38" s="757">
        <v>12</v>
      </c>
      <c r="M38" s="757">
        <v>157.19</v>
      </c>
      <c r="N38" s="757">
        <v>1.0500000000000001E-2</v>
      </c>
      <c r="O38" s="757">
        <v>19</v>
      </c>
      <c r="P38" s="757">
        <v>18</v>
      </c>
      <c r="Q38" s="757" t="s">
        <v>30</v>
      </c>
      <c r="S38" s="760">
        <v>988.15200000000004</v>
      </c>
      <c r="T38" s="760">
        <v>373.40800000000002</v>
      </c>
      <c r="U38" s="760">
        <v>471.86900000000003</v>
      </c>
      <c r="V38" s="760">
        <v>374.27499999999998</v>
      </c>
      <c r="W38" s="760">
        <v>497.10500000000002</v>
      </c>
      <c r="X38" s="409"/>
      <c r="Y38" s="775">
        <v>120.831</v>
      </c>
      <c r="Z38" s="776">
        <v>0.98</v>
      </c>
      <c r="AA38" s="777">
        <v>0.81699999999999995</v>
      </c>
      <c r="AB38" s="779">
        <v>0.63700000000000001</v>
      </c>
      <c r="AC38" s="779">
        <v>0.72</v>
      </c>
      <c r="AD38" s="779">
        <v>1.0900000000000001</v>
      </c>
      <c r="AE38" s="776">
        <v>0.98</v>
      </c>
      <c r="AF38" s="780">
        <v>18.21</v>
      </c>
      <c r="AG38" s="781">
        <v>21.85</v>
      </c>
      <c r="AH38" s="781">
        <v>60.09</v>
      </c>
      <c r="AI38" s="781">
        <v>60.09</v>
      </c>
      <c r="AJ38" s="781">
        <v>32.770000000000003</v>
      </c>
      <c r="AK38" s="781">
        <v>12.75</v>
      </c>
      <c r="AL38" s="781">
        <v>18.21</v>
      </c>
      <c r="AM38" s="781">
        <v>32.770000000000003</v>
      </c>
      <c r="AN38" s="781">
        <v>52.8</v>
      </c>
      <c r="AO38" s="781">
        <v>41.88</v>
      </c>
      <c r="AP38" s="781">
        <v>14.57</v>
      </c>
      <c r="AQ38" s="782">
        <v>265.26499999999999</v>
      </c>
      <c r="AR38" s="411"/>
      <c r="AS38" s="411"/>
      <c r="AT38" s="411"/>
      <c r="AU38" s="411"/>
      <c r="AV38" s="411"/>
      <c r="AX38" s="775">
        <v>120.831</v>
      </c>
      <c r="AY38" s="776"/>
      <c r="AZ38" s="851">
        <v>0.81699999999999995</v>
      </c>
      <c r="BA38" s="853">
        <v>0.63700000000000001</v>
      </c>
      <c r="BB38" s="853">
        <v>0.72</v>
      </c>
      <c r="BC38" s="853">
        <v>1.0900000000000001</v>
      </c>
      <c r="BD38" s="776"/>
      <c r="BE38" s="808"/>
      <c r="BF38" s="776"/>
      <c r="BG38" s="851">
        <v>0.81699999999999995</v>
      </c>
      <c r="BH38" s="853">
        <v>0.63700000000000001</v>
      </c>
      <c r="BI38" s="853">
        <v>0.72</v>
      </c>
      <c r="BJ38" s="853">
        <v>1.0900000000000001</v>
      </c>
      <c r="BK38" s="776"/>
      <c r="BL38" s="834"/>
      <c r="BM38" s="776">
        <v>0.98</v>
      </c>
      <c r="BN38" s="777">
        <v>0.81699999999999995</v>
      </c>
      <c r="BO38" s="779">
        <v>0.63700000000000001</v>
      </c>
      <c r="BP38" s="779">
        <v>0.72</v>
      </c>
      <c r="BQ38" s="779">
        <v>1.0900000000000001</v>
      </c>
      <c r="BR38" s="776">
        <v>0.98</v>
      </c>
      <c r="BS38" s="842"/>
      <c r="BT38" s="776">
        <v>0.98</v>
      </c>
      <c r="BU38" s="777">
        <v>0.81699999999999995</v>
      </c>
      <c r="BV38" s="779">
        <v>0.63700000000000001</v>
      </c>
      <c r="BW38" s="779">
        <v>0.72</v>
      </c>
      <c r="BX38" s="779">
        <v>1.0900000000000001</v>
      </c>
      <c r="BY38" s="776">
        <v>0.98</v>
      </c>
      <c r="BZ38" s="774"/>
      <c r="CA38" s="776">
        <v>0.98</v>
      </c>
      <c r="CB38" s="777">
        <v>0.81699999999999995</v>
      </c>
      <c r="CC38" s="779">
        <v>0.63700000000000001</v>
      </c>
      <c r="CD38" s="779">
        <v>0.72</v>
      </c>
      <c r="CE38" s="779">
        <v>1.0900000000000001</v>
      </c>
      <c r="CF38" s="776">
        <v>0.98</v>
      </c>
      <c r="CG38" s="834"/>
      <c r="CH38" s="776">
        <v>0.98</v>
      </c>
      <c r="CI38" s="777">
        <v>0.81699999999999995</v>
      </c>
      <c r="CJ38" s="779">
        <v>0.63700000000000001</v>
      </c>
      <c r="CK38" s="779">
        <v>0.72</v>
      </c>
      <c r="CL38" s="779">
        <v>1.0900000000000001</v>
      </c>
      <c r="CM38" s="776">
        <v>0.98</v>
      </c>
      <c r="CN38" s="834"/>
      <c r="CO38" s="776">
        <v>0.98</v>
      </c>
      <c r="CP38" s="777">
        <v>0.81699999999999995</v>
      </c>
      <c r="CQ38" s="779">
        <v>0.63700000000000001</v>
      </c>
      <c r="CR38" s="779">
        <v>0.72</v>
      </c>
      <c r="CS38" s="779">
        <v>1.0900000000000001</v>
      </c>
      <c r="CT38" s="776">
        <v>0.98</v>
      </c>
      <c r="CU38" s="396"/>
      <c r="CV38" s="776">
        <v>0.98</v>
      </c>
      <c r="CW38" s="777">
        <v>0.81699999999999995</v>
      </c>
      <c r="CX38" s="779">
        <v>0.63700000000000001</v>
      </c>
      <c r="CY38" s="779">
        <v>0.72</v>
      </c>
      <c r="CZ38" s="779">
        <v>1.0900000000000001</v>
      </c>
      <c r="DA38" s="776">
        <v>0.98</v>
      </c>
      <c r="DB38" s="396"/>
      <c r="DC38" s="411"/>
      <c r="DD38" s="411"/>
      <c r="DE38" s="411"/>
      <c r="DF38" s="411"/>
      <c r="DG38" s="411"/>
      <c r="DH38" s="411"/>
      <c r="DI38" s="411"/>
      <c r="DJ38" s="411"/>
      <c r="DK38" s="411"/>
      <c r="DL38" s="411"/>
      <c r="DM38" s="411"/>
      <c r="DN38" s="394"/>
      <c r="DO38" s="411"/>
      <c r="DP38" s="411"/>
      <c r="DQ38" s="411"/>
      <c r="DR38" s="411"/>
      <c r="DS38" s="411"/>
      <c r="DU38" s="411"/>
      <c r="DW38" s="411"/>
      <c r="DX38" s="411"/>
      <c r="DZ38" s="411"/>
      <c r="EB38" s="411"/>
      <c r="EC38" s="411"/>
      <c r="ED38" s="411"/>
      <c r="EE38" s="411"/>
      <c r="EF38" s="411"/>
      <c r="EG38" s="411"/>
      <c r="EH38" s="411"/>
      <c r="EI38" s="411"/>
      <c r="EJ38" s="411"/>
      <c r="EK38" s="411"/>
      <c r="EL38" s="411"/>
      <c r="EM38" s="394"/>
      <c r="EN38" s="411"/>
      <c r="EO38" s="411"/>
      <c r="EP38" s="411"/>
      <c r="EQ38" s="411"/>
      <c r="ER38" s="411"/>
      <c r="ES38" s="394"/>
      <c r="ET38" s="411"/>
      <c r="EU38" s="394"/>
      <c r="EV38" s="411"/>
      <c r="EW38" s="411"/>
      <c r="EX38" s="396"/>
      <c r="EY38" s="411"/>
      <c r="EZ38" s="394"/>
      <c r="FA38" s="411"/>
      <c r="FB38" s="411"/>
      <c r="FC38" s="411"/>
      <c r="FD38" s="411"/>
      <c r="FE38" s="411"/>
      <c r="FF38" s="411"/>
      <c r="FG38" s="411"/>
      <c r="FH38" s="411"/>
      <c r="FI38" s="411"/>
      <c r="FJ38" s="411"/>
      <c r="FK38" s="411"/>
      <c r="FL38" s="394"/>
      <c r="FM38" s="411"/>
      <c r="FN38" s="411"/>
      <c r="FO38" s="411"/>
      <c r="FP38" s="411"/>
      <c r="FQ38" s="411"/>
      <c r="FS38" s="411"/>
      <c r="FU38" s="411"/>
      <c r="FV38" s="411"/>
      <c r="FX38" s="411"/>
      <c r="FZ38" s="411"/>
      <c r="GA38" s="411"/>
      <c r="GB38" s="411"/>
      <c r="GC38" s="411"/>
      <c r="GD38" s="411"/>
      <c r="GE38" s="411"/>
      <c r="GF38" s="411"/>
      <c r="GG38" s="411"/>
      <c r="GH38" s="411"/>
      <c r="GI38" s="411"/>
      <c r="GJ38" s="411"/>
      <c r="GL38" s="411"/>
      <c r="GM38" s="411"/>
      <c r="GN38" s="411"/>
      <c r="GO38" s="411"/>
      <c r="GP38" s="411"/>
      <c r="GR38" s="411"/>
      <c r="GT38" s="411"/>
      <c r="GU38" s="411"/>
      <c r="GW38" s="411"/>
      <c r="GY38" s="416"/>
      <c r="GZ38" s="416"/>
      <c r="HA38" s="416"/>
      <c r="HB38" s="416"/>
      <c r="HC38" s="416"/>
      <c r="HD38" s="416"/>
      <c r="HE38" s="416"/>
      <c r="HF38" s="416"/>
      <c r="HG38" s="416"/>
      <c r="HH38" s="416"/>
      <c r="HI38" s="416"/>
      <c r="HK38" s="411"/>
      <c r="HL38" s="411"/>
      <c r="HM38" s="411"/>
      <c r="HN38" s="411"/>
      <c r="HO38" s="411"/>
      <c r="HQ38" s="411"/>
      <c r="HS38" s="411"/>
      <c r="HT38" s="411"/>
      <c r="HV38" s="411"/>
      <c r="HX38" s="416"/>
      <c r="HY38" s="416"/>
      <c r="HZ38" s="416"/>
      <c r="IA38" s="416"/>
      <c r="IB38" s="416"/>
      <c r="IC38" s="416"/>
      <c r="ID38" s="416"/>
      <c r="IE38" s="416"/>
      <c r="IF38" s="416"/>
      <c r="IG38" s="416"/>
      <c r="IH38" s="416"/>
      <c r="II38" s="394"/>
      <c r="IJ38" s="411"/>
      <c r="IK38" s="411"/>
      <c r="IL38" s="411"/>
      <c r="IM38" s="411"/>
      <c r="IN38" s="411"/>
      <c r="IP38" s="411"/>
      <c r="IR38" s="411"/>
      <c r="IS38" s="411"/>
      <c r="IU38" s="411"/>
      <c r="IW38" s="411"/>
      <c r="IX38" s="411"/>
      <c r="IY38" s="411"/>
      <c r="IZ38" s="411"/>
      <c r="JA38" s="411"/>
      <c r="JB38" s="411"/>
      <c r="JC38" s="411"/>
      <c r="JD38" s="411"/>
      <c r="JE38" s="411"/>
      <c r="JF38" s="411"/>
      <c r="JG38" s="411"/>
    </row>
    <row r="39" spans="1:267" ht="12.75" customHeight="1" x14ac:dyDescent="0.3">
      <c r="A39" s="754" t="s">
        <v>951</v>
      </c>
      <c r="B39" s="757" t="s">
        <v>168</v>
      </c>
      <c r="C39" s="757" t="s">
        <v>30</v>
      </c>
      <c r="D39" s="757" t="s">
        <v>162</v>
      </c>
      <c r="E39" s="757" t="s">
        <v>168</v>
      </c>
      <c r="F39" s="757" t="s">
        <v>168</v>
      </c>
      <c r="G39" s="757">
        <v>4.42</v>
      </c>
      <c r="H39" s="757">
        <v>69</v>
      </c>
      <c r="I39" s="757">
        <v>305</v>
      </c>
      <c r="J39" s="757">
        <v>12</v>
      </c>
      <c r="K39" s="757">
        <v>7</v>
      </c>
      <c r="L39" s="757">
        <v>13</v>
      </c>
      <c r="M39" s="757">
        <v>214.41</v>
      </c>
      <c r="N39" s="757">
        <v>8.9999999999999993E-3</v>
      </c>
      <c r="O39" s="757">
        <v>12</v>
      </c>
      <c r="P39" s="757">
        <v>16.5</v>
      </c>
      <c r="Q39" s="757" t="s">
        <v>356</v>
      </c>
      <c r="S39" s="764">
        <v>340</v>
      </c>
      <c r="T39" s="760">
        <v>679</v>
      </c>
      <c r="U39" s="760">
        <v>568</v>
      </c>
      <c r="V39" s="760">
        <v>720</v>
      </c>
      <c r="W39" s="760">
        <v>236</v>
      </c>
      <c r="X39" s="560"/>
      <c r="Y39" s="775">
        <v>-75.5</v>
      </c>
      <c r="Z39" s="776">
        <v>0.99</v>
      </c>
      <c r="AA39" s="777">
        <v>0.85499999999999998</v>
      </c>
      <c r="AB39" s="779">
        <v>0.72899999999999998</v>
      </c>
      <c r="AC39" s="779">
        <v>0.748</v>
      </c>
      <c r="AD39" s="779">
        <v>1.07</v>
      </c>
      <c r="AE39" s="776">
        <v>0.97</v>
      </c>
      <c r="AF39" s="780">
        <v>28.66</v>
      </c>
      <c r="AG39" s="781">
        <v>49.5</v>
      </c>
      <c r="AH39" s="781">
        <v>28.66</v>
      </c>
      <c r="AI39" s="781">
        <v>19.61</v>
      </c>
      <c r="AJ39" s="781">
        <v>27.15</v>
      </c>
      <c r="AK39" s="781">
        <v>21.12</v>
      </c>
      <c r="AL39" s="781">
        <v>16.59</v>
      </c>
      <c r="AM39" s="781">
        <v>37.71</v>
      </c>
      <c r="AN39" s="781">
        <v>53</v>
      </c>
      <c r="AO39" s="781">
        <v>46.3</v>
      </c>
      <c r="AP39" s="781">
        <v>16.59</v>
      </c>
      <c r="AQ39" s="782">
        <v>200.46299999999999</v>
      </c>
      <c r="AR39" s="411"/>
      <c r="AS39" s="411"/>
      <c r="AT39" s="411"/>
      <c r="AU39" s="411"/>
      <c r="AV39" s="411"/>
      <c r="AX39" s="775">
        <v>-75.5</v>
      </c>
      <c r="AY39" s="776"/>
      <c r="AZ39" s="851">
        <v>0.85499999999999998</v>
      </c>
      <c r="BA39" s="853">
        <v>0.72899999999999998</v>
      </c>
      <c r="BB39" s="853">
        <v>0.748</v>
      </c>
      <c r="BC39" s="853">
        <v>1.07</v>
      </c>
      <c r="BD39" s="776"/>
      <c r="BE39" s="808"/>
      <c r="BF39" s="776"/>
      <c r="BG39" s="851">
        <v>0.85499999999999998</v>
      </c>
      <c r="BH39" s="853">
        <v>0.72899999999999998</v>
      </c>
      <c r="BI39" s="853">
        <v>0.748</v>
      </c>
      <c r="BJ39" s="853">
        <v>1.07</v>
      </c>
      <c r="BK39" s="776"/>
      <c r="BL39" s="834"/>
      <c r="BM39" s="776">
        <v>0.99</v>
      </c>
      <c r="BN39" s="777">
        <v>0.85499999999999998</v>
      </c>
      <c r="BO39" s="779">
        <v>0.72899999999999998</v>
      </c>
      <c r="BP39" s="779">
        <v>0.748</v>
      </c>
      <c r="BQ39" s="779">
        <v>1.07</v>
      </c>
      <c r="BR39" s="776">
        <v>0.97</v>
      </c>
      <c r="BS39" s="842"/>
      <c r="BT39" s="776">
        <v>0.99</v>
      </c>
      <c r="BU39" s="777">
        <v>0.85499999999999998</v>
      </c>
      <c r="BV39" s="779">
        <v>0.72899999999999998</v>
      </c>
      <c r="BW39" s="779">
        <v>0.748</v>
      </c>
      <c r="BX39" s="779">
        <v>1.07</v>
      </c>
      <c r="BY39" s="776">
        <v>0.97</v>
      </c>
      <c r="BZ39" s="774"/>
      <c r="CA39" s="776">
        <v>0.99</v>
      </c>
      <c r="CB39" s="777">
        <v>0.85499999999999998</v>
      </c>
      <c r="CC39" s="779">
        <v>0.72899999999999998</v>
      </c>
      <c r="CD39" s="779">
        <v>0.748</v>
      </c>
      <c r="CE39" s="779">
        <v>1.07</v>
      </c>
      <c r="CF39" s="776">
        <v>0.97</v>
      </c>
      <c r="CG39" s="834"/>
      <c r="CH39" s="776">
        <v>0.99</v>
      </c>
      <c r="CI39" s="777">
        <v>0.85499999999999998</v>
      </c>
      <c r="CJ39" s="779">
        <v>0.72899999999999998</v>
      </c>
      <c r="CK39" s="779">
        <v>0.748</v>
      </c>
      <c r="CL39" s="779">
        <v>1.07</v>
      </c>
      <c r="CM39" s="776">
        <v>0.97</v>
      </c>
      <c r="CN39" s="834"/>
      <c r="CO39" s="776">
        <v>0.99</v>
      </c>
      <c r="CP39" s="777">
        <v>0.85499999999999998</v>
      </c>
      <c r="CQ39" s="779">
        <v>0.72899999999999998</v>
      </c>
      <c r="CR39" s="779">
        <v>0.748</v>
      </c>
      <c r="CS39" s="779">
        <v>1.07</v>
      </c>
      <c r="CT39" s="776">
        <v>0.97</v>
      </c>
      <c r="CU39" s="396"/>
      <c r="CV39" s="776">
        <v>0.99</v>
      </c>
      <c r="CW39" s="777">
        <v>0.85499999999999998</v>
      </c>
      <c r="CX39" s="779">
        <v>0.72899999999999998</v>
      </c>
      <c r="CY39" s="779">
        <v>0.748</v>
      </c>
      <c r="CZ39" s="779">
        <v>1.07</v>
      </c>
      <c r="DA39" s="776">
        <v>0.97</v>
      </c>
      <c r="DB39" s="396"/>
      <c r="DC39" s="411"/>
      <c r="DD39" s="411"/>
      <c r="DE39" s="411"/>
      <c r="DF39" s="411"/>
      <c r="DG39" s="411"/>
      <c r="DH39" s="411"/>
      <c r="DI39" s="411"/>
      <c r="DJ39" s="411"/>
      <c r="DK39" s="411"/>
      <c r="DL39" s="411"/>
      <c r="DM39" s="411"/>
      <c r="DN39" s="394"/>
      <c r="DO39" s="411"/>
      <c r="DP39" s="411"/>
      <c r="DQ39" s="411"/>
      <c r="DR39" s="411"/>
      <c r="DS39" s="411"/>
      <c r="DU39" s="411"/>
      <c r="DW39" s="411"/>
      <c r="DX39" s="411"/>
      <c r="DZ39" s="411"/>
      <c r="EB39" s="411"/>
      <c r="EC39" s="411"/>
      <c r="ED39" s="411"/>
      <c r="EE39" s="411"/>
      <c r="EF39" s="411"/>
      <c r="EG39" s="411"/>
      <c r="EH39" s="411"/>
      <c r="EI39" s="411"/>
      <c r="EJ39" s="411"/>
      <c r="EK39" s="411"/>
      <c r="EL39" s="411"/>
      <c r="EM39" s="394"/>
      <c r="EN39" s="411"/>
      <c r="EO39" s="411"/>
      <c r="EP39" s="411"/>
      <c r="EQ39" s="411"/>
      <c r="ER39" s="411"/>
      <c r="ES39" s="394"/>
      <c r="ET39" s="411"/>
      <c r="EU39" s="394"/>
      <c r="EV39" s="411"/>
      <c r="EW39" s="411"/>
      <c r="EX39" s="396"/>
      <c r="EY39" s="411"/>
      <c r="EZ39" s="394"/>
      <c r="FA39" s="411"/>
      <c r="FB39" s="411"/>
      <c r="FC39" s="411"/>
      <c r="FD39" s="411"/>
      <c r="FE39" s="411"/>
      <c r="FF39" s="411"/>
      <c r="FG39" s="411"/>
      <c r="FH39" s="411"/>
      <c r="FI39" s="411"/>
      <c r="FJ39" s="411"/>
      <c r="FK39" s="411"/>
      <c r="FL39" s="394"/>
      <c r="FM39" s="411"/>
      <c r="FN39" s="411"/>
      <c r="FO39" s="411"/>
      <c r="FP39" s="411"/>
      <c r="FQ39" s="411"/>
      <c r="FS39" s="411"/>
      <c r="FU39" s="411"/>
      <c r="FV39" s="411"/>
      <c r="FX39" s="411"/>
      <c r="FZ39" s="411"/>
      <c r="GA39" s="411"/>
      <c r="GB39" s="411"/>
      <c r="GC39" s="411"/>
      <c r="GD39" s="411"/>
      <c r="GE39" s="411"/>
      <c r="GF39" s="411"/>
      <c r="GG39" s="411"/>
      <c r="GH39" s="411"/>
      <c r="GI39" s="411"/>
      <c r="GJ39" s="411"/>
      <c r="GL39" s="411"/>
      <c r="GM39" s="411"/>
      <c r="GN39" s="411"/>
      <c r="GO39" s="411"/>
      <c r="GP39" s="411"/>
      <c r="GR39" s="411"/>
      <c r="GT39" s="411"/>
      <c r="GU39" s="411"/>
      <c r="GW39" s="411"/>
      <c r="GY39" s="416"/>
      <c r="GZ39" s="416"/>
      <c r="HA39" s="416"/>
      <c r="HB39" s="416"/>
      <c r="HC39" s="416"/>
      <c r="HD39" s="416"/>
      <c r="HE39" s="416"/>
      <c r="HF39" s="416"/>
      <c r="HG39" s="416"/>
      <c r="HH39" s="416"/>
      <c r="HI39" s="416"/>
      <c r="HK39" s="411"/>
      <c r="HL39" s="411"/>
      <c r="HM39" s="411"/>
      <c r="HN39" s="411"/>
      <c r="HO39" s="411"/>
      <c r="HQ39" s="411"/>
      <c r="HS39" s="411"/>
      <c r="HT39" s="411"/>
      <c r="HV39" s="411"/>
      <c r="HX39" s="416"/>
      <c r="HY39" s="416"/>
      <c r="HZ39" s="416"/>
      <c r="IA39" s="416"/>
      <c r="IB39" s="416"/>
      <c r="IC39" s="416"/>
      <c r="ID39" s="416"/>
      <c r="IE39" s="416"/>
      <c r="IF39" s="416"/>
      <c r="IG39" s="416"/>
      <c r="IH39" s="416"/>
      <c r="II39" s="394"/>
      <c r="IJ39" s="411"/>
      <c r="IK39" s="411"/>
      <c r="IL39" s="411"/>
      <c r="IM39" s="411"/>
      <c r="IN39" s="411"/>
      <c r="IP39" s="411"/>
      <c r="IR39" s="411"/>
      <c r="IS39" s="411"/>
      <c r="IU39" s="411"/>
      <c r="IW39" s="411"/>
      <c r="IX39" s="411"/>
      <c r="IY39" s="411"/>
      <c r="IZ39" s="411"/>
      <c r="JA39" s="411"/>
      <c r="JB39" s="411"/>
      <c r="JC39" s="411"/>
      <c r="JD39" s="411"/>
      <c r="JE39" s="411"/>
      <c r="JF39" s="411"/>
      <c r="JG39" s="411"/>
    </row>
    <row r="40" spans="1:267" ht="12.75" customHeight="1" x14ac:dyDescent="0.3">
      <c r="A40" s="754" t="s">
        <v>952</v>
      </c>
      <c r="B40" s="757" t="s">
        <v>355</v>
      </c>
      <c r="C40" s="757" t="s">
        <v>693</v>
      </c>
      <c r="D40" s="757" t="s">
        <v>168</v>
      </c>
      <c r="E40" s="757" t="s">
        <v>351</v>
      </c>
      <c r="F40" s="757" t="s">
        <v>168</v>
      </c>
      <c r="G40" s="757">
        <v>5.7869999999999999</v>
      </c>
      <c r="H40" s="757">
        <v>53</v>
      </c>
      <c r="I40" s="757">
        <v>306.7</v>
      </c>
      <c r="J40" s="757">
        <v>17</v>
      </c>
      <c r="K40" s="757">
        <v>12</v>
      </c>
      <c r="L40" s="757">
        <v>9</v>
      </c>
      <c r="M40" s="757">
        <v>263.67</v>
      </c>
      <c r="N40" s="757">
        <v>1.295E-2</v>
      </c>
      <c r="O40" s="757">
        <v>13</v>
      </c>
      <c r="P40" s="757">
        <v>25.5</v>
      </c>
      <c r="Q40" s="757" t="s">
        <v>356</v>
      </c>
      <c r="S40" s="760">
        <v>126.286</v>
      </c>
      <c r="T40" s="760">
        <v>737.54399999999998</v>
      </c>
      <c r="U40" s="760">
        <v>496.65899999999999</v>
      </c>
      <c r="V40" s="760">
        <v>870.95100000000002</v>
      </c>
      <c r="W40" s="760">
        <v>611.04</v>
      </c>
      <c r="X40" s="409"/>
      <c r="Y40" s="775">
        <v>18.126000000000001</v>
      </c>
      <c r="Z40" s="776">
        <v>0.97</v>
      </c>
      <c r="AA40" s="777">
        <v>0.90600000000000003</v>
      </c>
      <c r="AB40" s="779">
        <v>0.78500000000000003</v>
      </c>
      <c r="AC40" s="779">
        <v>0.73</v>
      </c>
      <c r="AD40" s="779">
        <v>1.099</v>
      </c>
      <c r="AE40" s="776">
        <v>0.97</v>
      </c>
      <c r="AF40" s="780">
        <v>31.63</v>
      </c>
      <c r="AG40" s="781">
        <v>56</v>
      </c>
      <c r="AH40" s="781">
        <v>19.77</v>
      </c>
      <c r="AI40" s="781">
        <v>13.84</v>
      </c>
      <c r="AJ40" s="781">
        <v>27.68</v>
      </c>
      <c r="AK40" s="781">
        <v>23.73</v>
      </c>
      <c r="AL40" s="781">
        <v>17.79</v>
      </c>
      <c r="AM40" s="781">
        <v>45.47</v>
      </c>
      <c r="AN40" s="781">
        <v>55.36</v>
      </c>
      <c r="AO40" s="781">
        <v>29.66</v>
      </c>
      <c r="AP40" s="781">
        <v>19.77</v>
      </c>
      <c r="AQ40" s="782">
        <v>125.60899999999999</v>
      </c>
      <c r="AR40" s="411"/>
      <c r="AS40" s="411"/>
      <c r="AT40" s="411"/>
      <c r="AU40" s="411"/>
      <c r="AV40" s="411"/>
      <c r="AW40" s="396"/>
      <c r="AX40" s="775">
        <v>18.126000000000001</v>
      </c>
      <c r="AY40" s="776"/>
      <c r="AZ40" s="851">
        <v>0.90600000000000003</v>
      </c>
      <c r="BA40" s="853">
        <v>0.78500000000000003</v>
      </c>
      <c r="BB40" s="853">
        <v>0.73</v>
      </c>
      <c r="BC40" s="853">
        <v>1.099</v>
      </c>
      <c r="BD40" s="776"/>
      <c r="BE40" s="808"/>
      <c r="BF40" s="776"/>
      <c r="BG40" s="851">
        <v>0.90600000000000003</v>
      </c>
      <c r="BH40" s="853">
        <v>0.78500000000000003</v>
      </c>
      <c r="BI40" s="853">
        <v>0.73</v>
      </c>
      <c r="BJ40" s="853">
        <v>1.099</v>
      </c>
      <c r="BK40" s="776"/>
      <c r="BL40" s="834"/>
      <c r="BM40" s="776">
        <v>0.97</v>
      </c>
      <c r="BN40" s="777">
        <v>0.90600000000000003</v>
      </c>
      <c r="BO40" s="779">
        <v>0.78500000000000003</v>
      </c>
      <c r="BP40" s="779">
        <v>0.73</v>
      </c>
      <c r="BQ40" s="779">
        <v>1.099</v>
      </c>
      <c r="BR40" s="776">
        <v>0.97</v>
      </c>
      <c r="BS40" s="842"/>
      <c r="BT40" s="776">
        <v>0.97</v>
      </c>
      <c r="BU40" s="777">
        <v>0.90600000000000003</v>
      </c>
      <c r="BV40" s="779">
        <v>0.78500000000000003</v>
      </c>
      <c r="BW40" s="779">
        <v>0.73</v>
      </c>
      <c r="BX40" s="779">
        <v>1.099</v>
      </c>
      <c r="BY40" s="776">
        <v>0.97</v>
      </c>
      <c r="BZ40" s="774"/>
      <c r="CA40" s="776">
        <v>0.97</v>
      </c>
      <c r="CB40" s="777">
        <v>0.90600000000000003</v>
      </c>
      <c r="CC40" s="779">
        <v>0.78500000000000003</v>
      </c>
      <c r="CD40" s="779">
        <v>0.73</v>
      </c>
      <c r="CE40" s="779">
        <v>1.099</v>
      </c>
      <c r="CF40" s="776">
        <v>0.97</v>
      </c>
      <c r="CG40" s="834"/>
      <c r="CH40" s="776">
        <v>0.97</v>
      </c>
      <c r="CI40" s="777">
        <v>0.90600000000000003</v>
      </c>
      <c r="CJ40" s="779">
        <v>0.78500000000000003</v>
      </c>
      <c r="CK40" s="779">
        <v>0.73</v>
      </c>
      <c r="CL40" s="779">
        <v>1.099</v>
      </c>
      <c r="CM40" s="776">
        <v>0.97</v>
      </c>
      <c r="CN40" s="834"/>
      <c r="CO40" s="776">
        <v>0.97</v>
      </c>
      <c r="CP40" s="777">
        <v>0.90600000000000003</v>
      </c>
      <c r="CQ40" s="779">
        <v>0.78500000000000003</v>
      </c>
      <c r="CR40" s="779">
        <v>0.73</v>
      </c>
      <c r="CS40" s="779">
        <v>1.099</v>
      </c>
      <c r="CT40" s="776">
        <v>0.97</v>
      </c>
      <c r="CU40" s="394"/>
      <c r="CV40" s="776">
        <v>0.97</v>
      </c>
      <c r="CW40" s="777">
        <v>0.90600000000000003</v>
      </c>
      <c r="CX40" s="779">
        <v>0.78500000000000003</v>
      </c>
      <c r="CY40" s="779">
        <v>0.73</v>
      </c>
      <c r="CZ40" s="779">
        <v>1.099</v>
      </c>
      <c r="DA40" s="776">
        <v>0.97</v>
      </c>
      <c r="DB40" s="394"/>
      <c r="DC40" s="411"/>
      <c r="DD40" s="411"/>
      <c r="DE40" s="411"/>
      <c r="DF40" s="411"/>
      <c r="DG40" s="411"/>
      <c r="DH40" s="411"/>
      <c r="DI40" s="411"/>
      <c r="DJ40" s="411"/>
      <c r="DK40" s="411"/>
      <c r="DL40" s="411"/>
      <c r="DM40" s="411"/>
      <c r="DN40" s="394"/>
      <c r="DO40" s="411"/>
      <c r="DP40" s="411"/>
      <c r="DQ40" s="411"/>
      <c r="DR40" s="411"/>
      <c r="DS40" s="411"/>
      <c r="DU40" s="411"/>
      <c r="DW40" s="411"/>
      <c r="DX40" s="411"/>
      <c r="DZ40" s="411"/>
      <c r="EB40" s="411"/>
      <c r="EC40" s="411"/>
      <c r="ED40" s="411"/>
      <c r="EE40" s="411"/>
      <c r="EF40" s="411"/>
      <c r="EG40" s="411"/>
      <c r="EH40" s="411"/>
      <c r="EI40" s="411"/>
      <c r="EJ40" s="411"/>
      <c r="EK40" s="411"/>
      <c r="EL40" s="411"/>
      <c r="EM40" s="394"/>
      <c r="EN40" s="411"/>
      <c r="EO40" s="411"/>
      <c r="EP40" s="411"/>
      <c r="EQ40" s="411"/>
      <c r="ER40" s="411"/>
      <c r="ES40" s="394"/>
      <c r="ET40" s="411"/>
      <c r="EU40" s="394"/>
      <c r="EV40" s="411"/>
      <c r="EW40" s="411"/>
      <c r="EX40" s="394"/>
      <c r="EY40" s="411"/>
      <c r="EZ40" s="394"/>
      <c r="FA40" s="411"/>
      <c r="FB40" s="411"/>
      <c r="FC40" s="411"/>
      <c r="FD40" s="411"/>
      <c r="FE40" s="411"/>
      <c r="FF40" s="411"/>
      <c r="FG40" s="411"/>
      <c r="FH40" s="411"/>
      <c r="FI40" s="411"/>
      <c r="FJ40" s="411"/>
      <c r="FK40" s="411"/>
      <c r="FL40" s="394"/>
      <c r="FM40" s="411"/>
      <c r="FN40" s="411"/>
      <c r="FO40" s="411"/>
      <c r="FP40" s="411"/>
      <c r="FQ40" s="411"/>
      <c r="FS40" s="411"/>
      <c r="FU40" s="411"/>
      <c r="FV40" s="411"/>
      <c r="FX40" s="411"/>
      <c r="FZ40" s="411"/>
      <c r="GA40" s="411"/>
      <c r="GB40" s="411"/>
      <c r="GC40" s="411"/>
      <c r="GD40" s="411"/>
      <c r="GE40" s="411"/>
      <c r="GF40" s="411"/>
      <c r="GG40" s="411"/>
      <c r="GH40" s="411"/>
      <c r="GI40" s="411"/>
      <c r="GJ40" s="411"/>
      <c r="GL40" s="411"/>
      <c r="GM40" s="411"/>
      <c r="GN40" s="411"/>
      <c r="GO40" s="411"/>
      <c r="GP40" s="411"/>
      <c r="GR40" s="411"/>
      <c r="GT40" s="411"/>
      <c r="GU40" s="411"/>
      <c r="GW40" s="411"/>
      <c r="GY40" s="411"/>
      <c r="GZ40" s="411"/>
      <c r="HA40" s="411"/>
      <c r="HB40" s="411"/>
      <c r="HC40" s="411"/>
      <c r="HD40" s="411"/>
      <c r="HE40" s="411"/>
      <c r="HF40" s="411"/>
      <c r="HG40" s="411"/>
      <c r="HH40" s="411"/>
      <c r="HI40" s="411"/>
      <c r="HK40" s="411"/>
      <c r="HL40" s="411"/>
      <c r="HM40" s="411"/>
      <c r="HN40" s="411"/>
      <c r="HO40" s="411"/>
      <c r="HQ40" s="411"/>
      <c r="HS40" s="411"/>
      <c r="HT40" s="411"/>
      <c r="HV40" s="411"/>
      <c r="HX40" s="411"/>
      <c r="HY40" s="411"/>
      <c r="HZ40" s="411"/>
      <c r="IA40" s="411"/>
      <c r="IB40" s="411"/>
      <c r="IC40" s="411"/>
      <c r="ID40" s="411"/>
      <c r="IE40" s="411"/>
      <c r="IF40" s="411"/>
      <c r="IG40" s="411"/>
      <c r="IH40" s="411"/>
      <c r="II40" s="394"/>
      <c r="IJ40" s="411"/>
      <c r="IK40" s="411"/>
      <c r="IL40" s="411"/>
      <c r="IM40" s="411"/>
      <c r="IN40" s="411"/>
      <c r="IP40" s="411"/>
      <c r="IR40" s="411"/>
      <c r="IS40" s="411"/>
      <c r="IU40" s="411"/>
      <c r="IW40" s="411"/>
      <c r="IX40" s="411"/>
      <c r="IY40" s="411"/>
      <c r="IZ40" s="411"/>
      <c r="JA40" s="411"/>
      <c r="JB40" s="411"/>
      <c r="JC40" s="411"/>
      <c r="JD40" s="411"/>
      <c r="JE40" s="411"/>
      <c r="JF40" s="411"/>
      <c r="JG40" s="411"/>
    </row>
    <row r="41" spans="1:267" x14ac:dyDescent="0.3">
      <c r="A41" s="753" t="s">
        <v>953</v>
      </c>
      <c r="B41" s="757" t="s">
        <v>168</v>
      </c>
      <c r="C41" s="757" t="s">
        <v>174</v>
      </c>
      <c r="D41" s="757" t="s">
        <v>168</v>
      </c>
      <c r="E41" s="757" t="s">
        <v>168</v>
      </c>
      <c r="F41" s="757" t="s">
        <v>168</v>
      </c>
      <c r="G41" s="757">
        <v>5.2469999999999999</v>
      </c>
      <c r="H41" s="757">
        <v>58</v>
      </c>
      <c r="I41" s="757">
        <v>304.3</v>
      </c>
      <c r="J41" s="757">
        <v>11</v>
      </c>
      <c r="K41" s="757">
        <v>13</v>
      </c>
      <c r="L41" s="757">
        <v>12</v>
      </c>
      <c r="M41" s="757">
        <v>248.93</v>
      </c>
      <c r="N41" s="757">
        <v>1.2999999999999999E-2</v>
      </c>
      <c r="O41" s="757">
        <v>14</v>
      </c>
      <c r="P41" s="757">
        <v>13.5</v>
      </c>
      <c r="Q41" s="757" t="s">
        <v>353</v>
      </c>
      <c r="S41" s="765">
        <v>506</v>
      </c>
      <c r="T41" s="765">
        <v>805.6</v>
      </c>
      <c r="U41" s="765">
        <v>879</v>
      </c>
      <c r="V41" s="765">
        <v>898.61900000000003</v>
      </c>
      <c r="W41" s="765">
        <v>592</v>
      </c>
      <c r="X41" s="407"/>
      <c r="Y41" s="775">
        <v>-89.453999999999994</v>
      </c>
      <c r="Z41" s="776">
        <v>0.97</v>
      </c>
      <c r="AA41" s="777">
        <v>0.85099999999999998</v>
      </c>
      <c r="AB41" s="779">
        <v>0.70499999999999996</v>
      </c>
      <c r="AC41" s="779">
        <v>0.68</v>
      </c>
      <c r="AD41" s="779">
        <v>1.0529999999999999</v>
      </c>
      <c r="AE41" s="776">
        <v>0.97</v>
      </c>
      <c r="AF41" s="780">
        <v>22.8</v>
      </c>
      <c r="AG41" s="781">
        <v>24</v>
      </c>
      <c r="AH41" s="781">
        <v>28.5</v>
      </c>
      <c r="AI41" s="781">
        <v>19</v>
      </c>
      <c r="AJ41" s="781">
        <v>28.5</v>
      </c>
      <c r="AK41" s="781">
        <v>34.21</v>
      </c>
      <c r="AL41" s="781">
        <v>34.21</v>
      </c>
      <c r="AM41" s="781">
        <v>39.909999999999997</v>
      </c>
      <c r="AN41" s="781">
        <v>36.11</v>
      </c>
      <c r="AO41" s="781">
        <v>30.4</v>
      </c>
      <c r="AP41" s="781">
        <v>19</v>
      </c>
      <c r="AQ41" s="782">
        <v>143.17699999999999</v>
      </c>
      <c r="AR41" s="411"/>
      <c r="AS41" s="411"/>
      <c r="AT41" s="411"/>
      <c r="AU41" s="411"/>
      <c r="AV41" s="411"/>
      <c r="AW41" s="412"/>
      <c r="AX41" s="775">
        <v>-89.453999999999994</v>
      </c>
      <c r="AY41" s="776"/>
      <c r="AZ41" s="851">
        <v>0.85099999999999998</v>
      </c>
      <c r="BA41" s="853">
        <v>0.70499999999999996</v>
      </c>
      <c r="BB41" s="853">
        <v>0.68</v>
      </c>
      <c r="BC41" s="853">
        <v>1.0529999999999999</v>
      </c>
      <c r="BD41" s="776"/>
      <c r="BE41" s="808"/>
      <c r="BF41" s="776"/>
      <c r="BG41" s="851">
        <v>0.85099999999999998</v>
      </c>
      <c r="BH41" s="853">
        <v>0.70499999999999996</v>
      </c>
      <c r="BI41" s="853">
        <v>0.68</v>
      </c>
      <c r="BJ41" s="853">
        <v>1.0529999999999999</v>
      </c>
      <c r="BK41" s="776"/>
      <c r="BL41" s="834"/>
      <c r="BM41" s="776">
        <v>0.97</v>
      </c>
      <c r="BN41" s="777">
        <v>0.85099999999999998</v>
      </c>
      <c r="BO41" s="779">
        <v>0.70499999999999996</v>
      </c>
      <c r="BP41" s="779">
        <v>0.68</v>
      </c>
      <c r="BQ41" s="779">
        <v>1.0529999999999999</v>
      </c>
      <c r="BR41" s="776">
        <v>0.97</v>
      </c>
      <c r="BS41" s="842"/>
      <c r="BT41" s="776">
        <v>0.97</v>
      </c>
      <c r="BU41" s="777">
        <v>0.85099999999999998</v>
      </c>
      <c r="BV41" s="779">
        <v>0.70499999999999996</v>
      </c>
      <c r="BW41" s="779">
        <v>0.68</v>
      </c>
      <c r="BX41" s="779">
        <v>1.0529999999999999</v>
      </c>
      <c r="BY41" s="776">
        <v>0.97</v>
      </c>
      <c r="BZ41" s="774"/>
      <c r="CA41" s="776">
        <v>0.97</v>
      </c>
      <c r="CB41" s="777">
        <v>0.85099999999999998</v>
      </c>
      <c r="CC41" s="779">
        <v>0.70499999999999996</v>
      </c>
      <c r="CD41" s="779">
        <v>0.68</v>
      </c>
      <c r="CE41" s="779">
        <v>1.0529999999999999</v>
      </c>
      <c r="CF41" s="776">
        <v>0.97</v>
      </c>
      <c r="CG41" s="834"/>
      <c r="CH41" s="776">
        <v>0.97</v>
      </c>
      <c r="CI41" s="777">
        <v>0.85099999999999998</v>
      </c>
      <c r="CJ41" s="779">
        <v>0.70499999999999996</v>
      </c>
      <c r="CK41" s="779">
        <v>0.68</v>
      </c>
      <c r="CL41" s="779">
        <v>1.0529999999999999</v>
      </c>
      <c r="CM41" s="776">
        <v>0.97</v>
      </c>
      <c r="CN41" s="834"/>
      <c r="CO41" s="776">
        <v>0.97</v>
      </c>
      <c r="CP41" s="777">
        <v>0.85099999999999998</v>
      </c>
      <c r="CQ41" s="779">
        <v>0.70499999999999996</v>
      </c>
      <c r="CR41" s="779">
        <v>0.68</v>
      </c>
      <c r="CS41" s="779">
        <v>1.0529999999999999</v>
      </c>
      <c r="CT41" s="776">
        <v>0.97</v>
      </c>
      <c r="CU41" s="418"/>
      <c r="CV41" s="776">
        <v>0.97</v>
      </c>
      <c r="CW41" s="777">
        <v>0.85099999999999998</v>
      </c>
      <c r="CX41" s="779">
        <v>0.70499999999999996</v>
      </c>
      <c r="CY41" s="779">
        <v>0.68</v>
      </c>
      <c r="CZ41" s="779">
        <v>1.0529999999999999</v>
      </c>
      <c r="DA41" s="776">
        <v>0.97</v>
      </c>
      <c r="DB41" s="418"/>
      <c r="DC41" s="417"/>
      <c r="DD41" s="417"/>
      <c r="DE41" s="417"/>
      <c r="DF41" s="417"/>
      <c r="DG41" s="417"/>
      <c r="DH41" s="417"/>
      <c r="DI41" s="417"/>
      <c r="DJ41" s="417"/>
      <c r="DK41" s="417"/>
      <c r="DL41" s="417"/>
      <c r="DM41" s="417"/>
      <c r="DN41" s="394"/>
      <c r="DO41" s="411"/>
      <c r="DP41" s="411"/>
      <c r="DQ41" s="411"/>
      <c r="DR41" s="411"/>
      <c r="DS41" s="411"/>
      <c r="DU41" s="411"/>
      <c r="DW41" s="411"/>
      <c r="DX41" s="411"/>
      <c r="DZ41" s="411"/>
      <c r="EA41" s="394"/>
      <c r="EB41" s="411"/>
      <c r="EC41" s="411"/>
      <c r="ED41" s="411"/>
      <c r="EE41" s="411"/>
      <c r="EF41" s="411"/>
      <c r="EG41" s="411"/>
      <c r="EH41" s="411"/>
      <c r="EI41" s="411"/>
      <c r="EJ41" s="411"/>
      <c r="EK41" s="411"/>
      <c r="EL41" s="411"/>
      <c r="EM41" s="394"/>
      <c r="EN41" s="411"/>
      <c r="EO41" s="411"/>
      <c r="EP41" s="411"/>
      <c r="EQ41" s="411"/>
      <c r="ER41" s="411"/>
      <c r="ES41" s="394"/>
      <c r="ET41" s="411"/>
      <c r="EU41" s="394"/>
      <c r="EV41" s="411"/>
      <c r="EW41" s="411"/>
      <c r="EX41" s="394"/>
      <c r="EY41" s="411"/>
      <c r="EZ41" s="394"/>
      <c r="FA41" s="411"/>
      <c r="FB41" s="411"/>
      <c r="FC41" s="411"/>
      <c r="FD41" s="411"/>
      <c r="FE41" s="411"/>
      <c r="FF41" s="411"/>
      <c r="FG41" s="411"/>
      <c r="FH41" s="411"/>
      <c r="FI41" s="411"/>
      <c r="FJ41" s="411"/>
      <c r="FK41" s="411"/>
      <c r="FL41" s="394"/>
      <c r="FM41" s="411"/>
      <c r="FN41" s="411"/>
      <c r="FO41" s="411"/>
      <c r="FP41" s="411"/>
      <c r="FQ41" s="411"/>
      <c r="FS41" s="411"/>
      <c r="FU41" s="411"/>
      <c r="FV41" s="411"/>
      <c r="FX41" s="411"/>
      <c r="FZ41" s="411"/>
      <c r="GA41" s="411"/>
      <c r="GB41" s="411"/>
      <c r="GC41" s="411"/>
      <c r="GD41" s="411"/>
      <c r="GE41" s="411"/>
      <c r="GF41" s="411"/>
      <c r="GG41" s="411"/>
      <c r="GH41" s="411"/>
      <c r="GI41" s="411"/>
      <c r="GJ41" s="411"/>
      <c r="GL41" s="411"/>
      <c r="GM41" s="411"/>
      <c r="GN41" s="411"/>
      <c r="GO41" s="411"/>
      <c r="GP41" s="411"/>
      <c r="GR41" s="411"/>
      <c r="GT41" s="411"/>
      <c r="GU41" s="411"/>
      <c r="GW41" s="411"/>
      <c r="GY41" s="411"/>
      <c r="GZ41" s="411"/>
      <c r="HA41" s="411"/>
      <c r="HB41" s="411"/>
      <c r="HC41" s="411"/>
      <c r="HD41" s="411"/>
      <c r="HE41" s="411"/>
      <c r="HF41" s="411"/>
      <c r="HG41" s="411"/>
      <c r="HH41" s="411"/>
      <c r="HI41" s="411"/>
      <c r="HK41" s="411"/>
      <c r="HL41" s="411"/>
      <c r="HM41" s="411"/>
      <c r="HN41" s="411"/>
      <c r="HO41" s="411"/>
      <c r="HQ41" s="411"/>
      <c r="HS41" s="411"/>
      <c r="HT41" s="411"/>
      <c r="HV41" s="411"/>
      <c r="HX41" s="411"/>
      <c r="HY41" s="411"/>
      <c r="HZ41" s="411"/>
      <c r="IA41" s="411"/>
      <c r="IB41" s="411"/>
      <c r="IC41" s="411"/>
      <c r="ID41" s="411"/>
      <c r="IE41" s="411"/>
      <c r="IF41" s="411"/>
      <c r="IG41" s="411"/>
      <c r="IH41" s="411"/>
      <c r="II41" s="394"/>
      <c r="IJ41" s="417"/>
      <c r="IK41" s="417"/>
      <c r="IL41" s="417"/>
      <c r="IM41" s="417"/>
      <c r="IN41" s="417"/>
      <c r="IO41" s="418"/>
      <c r="IP41" s="417"/>
      <c r="IQ41" s="418"/>
      <c r="IR41" s="417"/>
      <c r="IS41" s="417"/>
      <c r="IT41" s="418"/>
      <c r="IU41" s="417"/>
      <c r="IV41" s="418"/>
      <c r="IW41" s="417"/>
      <c r="IX41" s="417"/>
      <c r="IY41" s="417"/>
      <c r="IZ41" s="417"/>
      <c r="JA41" s="417"/>
      <c r="JB41" s="417"/>
      <c r="JC41" s="417"/>
      <c r="JD41" s="417"/>
      <c r="JE41" s="417"/>
      <c r="JF41" s="417"/>
      <c r="JG41" s="417"/>
    </row>
    <row r="42" spans="1:267" ht="12.75" customHeight="1" x14ac:dyDescent="0.3">
      <c r="A42" s="753" t="s">
        <v>954</v>
      </c>
      <c r="B42" s="757" t="s">
        <v>168</v>
      </c>
      <c r="C42" s="757" t="s">
        <v>30</v>
      </c>
      <c r="D42" s="757" t="s">
        <v>162</v>
      </c>
      <c r="E42" s="757" t="s">
        <v>168</v>
      </c>
      <c r="F42" s="757" t="s">
        <v>351</v>
      </c>
      <c r="G42" s="757">
        <v>5.1369999999999996</v>
      </c>
      <c r="H42" s="757">
        <v>60</v>
      </c>
      <c r="I42" s="757">
        <v>308.2</v>
      </c>
      <c r="J42" s="757">
        <v>11</v>
      </c>
      <c r="K42" s="757">
        <v>15</v>
      </c>
      <c r="L42" s="757">
        <v>10</v>
      </c>
      <c r="M42" s="757">
        <v>232.5</v>
      </c>
      <c r="N42" s="757">
        <v>1.8350000000000002E-2</v>
      </c>
      <c r="O42" s="757">
        <v>16</v>
      </c>
      <c r="P42" s="757">
        <v>19</v>
      </c>
      <c r="Q42" s="757" t="s">
        <v>356</v>
      </c>
      <c r="S42" s="760">
        <v>647.22299999999996</v>
      </c>
      <c r="T42" s="760">
        <v>556.28599999999994</v>
      </c>
      <c r="U42" s="760">
        <v>555.72900000000004</v>
      </c>
      <c r="V42" s="760">
        <v>718.80399999999997</v>
      </c>
      <c r="W42" s="760">
        <v>149.84200000000001</v>
      </c>
      <c r="X42" s="409"/>
      <c r="Y42" s="775">
        <v>-92.804000000000002</v>
      </c>
      <c r="Z42" s="776">
        <v>0.98</v>
      </c>
      <c r="AA42" s="777">
        <v>0.83699999999999997</v>
      </c>
      <c r="AB42" s="779">
        <v>0.75</v>
      </c>
      <c r="AC42" s="779">
        <v>0.73299999999999998</v>
      </c>
      <c r="AD42" s="779">
        <v>1.0449999999999999</v>
      </c>
      <c r="AE42" s="776">
        <v>0.98</v>
      </c>
      <c r="AF42" s="780">
        <v>29.59</v>
      </c>
      <c r="AG42" s="781">
        <v>48</v>
      </c>
      <c r="AH42" s="781">
        <v>40.03</v>
      </c>
      <c r="AI42" s="781">
        <v>34.81</v>
      </c>
      <c r="AJ42" s="781">
        <v>25.78</v>
      </c>
      <c r="AK42" s="781">
        <v>17.399999999999999</v>
      </c>
      <c r="AL42" s="781">
        <v>22.63</v>
      </c>
      <c r="AM42" s="781">
        <v>36.549999999999997</v>
      </c>
      <c r="AN42" s="781">
        <v>48.73</v>
      </c>
      <c r="AO42" s="781">
        <v>45.25</v>
      </c>
      <c r="AP42" s="781">
        <v>13.69</v>
      </c>
      <c r="AQ42" s="782">
        <v>162.74199999999999</v>
      </c>
      <c r="AR42" s="411"/>
      <c r="AS42" s="411"/>
      <c r="AT42" s="411"/>
      <c r="AU42" s="411"/>
      <c r="AV42" s="411"/>
      <c r="AW42" s="394"/>
      <c r="AX42" s="775">
        <v>-92.804000000000002</v>
      </c>
      <c r="AY42" s="776"/>
      <c r="AZ42" s="851">
        <v>0.83699999999999997</v>
      </c>
      <c r="BA42" s="853">
        <v>0.75</v>
      </c>
      <c r="BB42" s="853">
        <v>0.73299999999999998</v>
      </c>
      <c r="BC42" s="853">
        <v>1.0449999999999999</v>
      </c>
      <c r="BD42" s="776"/>
      <c r="BE42" s="808"/>
      <c r="BF42" s="776"/>
      <c r="BG42" s="851">
        <v>0.83699999999999997</v>
      </c>
      <c r="BH42" s="853">
        <v>0.75</v>
      </c>
      <c r="BI42" s="853">
        <v>0.73299999999999998</v>
      </c>
      <c r="BJ42" s="853">
        <v>1.0449999999999999</v>
      </c>
      <c r="BK42" s="776"/>
      <c r="BL42" s="834"/>
      <c r="BM42" s="776">
        <v>0.98</v>
      </c>
      <c r="BN42" s="777">
        <v>0.83699999999999997</v>
      </c>
      <c r="BO42" s="779">
        <v>0.75</v>
      </c>
      <c r="BP42" s="779">
        <v>0.73299999999999998</v>
      </c>
      <c r="BQ42" s="779">
        <v>1.0449999999999999</v>
      </c>
      <c r="BR42" s="776">
        <v>0.98</v>
      </c>
      <c r="BS42" s="844"/>
      <c r="BT42" s="776">
        <v>0.98</v>
      </c>
      <c r="BU42" s="777">
        <v>0.83699999999999997</v>
      </c>
      <c r="BV42" s="779">
        <v>0.75</v>
      </c>
      <c r="BW42" s="779">
        <v>0.73299999999999998</v>
      </c>
      <c r="BX42" s="779">
        <v>1.0449999999999999</v>
      </c>
      <c r="BY42" s="776">
        <v>0.98</v>
      </c>
      <c r="BZ42" s="774"/>
      <c r="CA42" s="776">
        <v>0.98</v>
      </c>
      <c r="CB42" s="777">
        <v>0.83699999999999997</v>
      </c>
      <c r="CC42" s="779">
        <v>0.75</v>
      </c>
      <c r="CD42" s="779">
        <v>0.73299999999999998</v>
      </c>
      <c r="CE42" s="779">
        <v>1.0449999999999999</v>
      </c>
      <c r="CF42" s="776">
        <v>0.98</v>
      </c>
      <c r="CG42" s="834"/>
      <c r="CH42" s="776">
        <v>0.98</v>
      </c>
      <c r="CI42" s="777">
        <v>0.83699999999999997</v>
      </c>
      <c r="CJ42" s="779">
        <v>0.75</v>
      </c>
      <c r="CK42" s="779">
        <v>0.73299999999999998</v>
      </c>
      <c r="CL42" s="779">
        <v>1.0449999999999999</v>
      </c>
      <c r="CM42" s="776">
        <v>0.98</v>
      </c>
      <c r="CN42" s="834"/>
      <c r="CO42" s="776">
        <v>0.98</v>
      </c>
      <c r="CP42" s="777">
        <v>0.83699999999999997</v>
      </c>
      <c r="CQ42" s="779">
        <v>0.75</v>
      </c>
      <c r="CR42" s="779">
        <v>0.73299999999999998</v>
      </c>
      <c r="CS42" s="779">
        <v>1.0449999999999999</v>
      </c>
      <c r="CT42" s="776">
        <v>0.98</v>
      </c>
      <c r="CU42" s="394"/>
      <c r="CV42" s="776">
        <v>0.98</v>
      </c>
      <c r="CW42" s="777">
        <v>0.83699999999999997</v>
      </c>
      <c r="CX42" s="779">
        <v>0.75</v>
      </c>
      <c r="CY42" s="779">
        <v>0.73299999999999998</v>
      </c>
      <c r="CZ42" s="779">
        <v>1.0449999999999999</v>
      </c>
      <c r="DA42" s="776">
        <v>0.98</v>
      </c>
      <c r="DB42" s="394"/>
      <c r="DC42" s="411"/>
      <c r="DD42" s="411"/>
      <c r="DE42" s="411"/>
      <c r="DF42" s="411"/>
      <c r="DG42" s="411"/>
      <c r="DH42" s="411"/>
      <c r="DI42" s="411"/>
      <c r="DJ42" s="411"/>
      <c r="DK42" s="411"/>
      <c r="DL42" s="411"/>
      <c r="DM42" s="411"/>
      <c r="DN42" s="394"/>
      <c r="DO42" s="411"/>
      <c r="DP42" s="411"/>
      <c r="DQ42" s="411"/>
      <c r="DR42" s="411"/>
      <c r="DS42" s="411"/>
      <c r="DU42" s="411"/>
      <c r="DW42" s="411"/>
      <c r="DX42" s="411"/>
      <c r="DZ42" s="411"/>
      <c r="EB42" s="411"/>
      <c r="EC42" s="411"/>
      <c r="ED42" s="411"/>
      <c r="EE42" s="411"/>
      <c r="EF42" s="411"/>
      <c r="EG42" s="411"/>
      <c r="EH42" s="411"/>
      <c r="EI42" s="411"/>
      <c r="EJ42" s="411"/>
      <c r="EK42" s="411"/>
      <c r="EL42" s="411"/>
      <c r="EM42" s="394"/>
      <c r="EN42" s="411"/>
      <c r="EO42" s="411"/>
      <c r="EP42" s="411"/>
      <c r="EQ42" s="411"/>
      <c r="ER42" s="411"/>
      <c r="ES42" s="394"/>
      <c r="ET42" s="411"/>
      <c r="EU42" s="394"/>
      <c r="EV42" s="411"/>
      <c r="EW42" s="411"/>
      <c r="EX42" s="394"/>
      <c r="EY42" s="411"/>
      <c r="EZ42" s="394"/>
      <c r="FA42" s="411"/>
      <c r="FB42" s="411"/>
      <c r="FC42" s="411"/>
      <c r="FD42" s="411"/>
      <c r="FE42" s="411"/>
      <c r="FF42" s="411"/>
      <c r="FG42" s="411"/>
      <c r="FH42" s="411"/>
      <c r="FI42" s="411"/>
      <c r="FJ42" s="411"/>
      <c r="FK42" s="411"/>
      <c r="FL42" s="394"/>
      <c r="FM42" s="411"/>
      <c r="FN42" s="411"/>
      <c r="FO42" s="411"/>
      <c r="FP42" s="411"/>
      <c r="FQ42" s="411"/>
      <c r="FS42" s="411"/>
      <c r="FU42" s="411"/>
      <c r="FV42" s="411"/>
      <c r="FX42" s="411"/>
      <c r="FZ42" s="411"/>
      <c r="GA42" s="411"/>
      <c r="GB42" s="411"/>
      <c r="GC42" s="411"/>
      <c r="GD42" s="411"/>
      <c r="GE42" s="411"/>
      <c r="GF42" s="411"/>
      <c r="GG42" s="411"/>
      <c r="GH42" s="411"/>
      <c r="GI42" s="411"/>
      <c r="GJ42" s="411"/>
      <c r="GL42" s="411"/>
      <c r="GM42" s="411"/>
      <c r="GN42" s="411"/>
      <c r="GO42" s="411"/>
      <c r="GP42" s="411"/>
      <c r="GR42" s="411"/>
      <c r="GT42" s="411"/>
      <c r="GU42" s="411"/>
      <c r="GW42" s="411"/>
      <c r="GY42" s="411"/>
      <c r="GZ42" s="411"/>
      <c r="HA42" s="411"/>
      <c r="HB42" s="411"/>
      <c r="HC42" s="411"/>
      <c r="HD42" s="411"/>
      <c r="HE42" s="411"/>
      <c r="HF42" s="411"/>
      <c r="HG42" s="411"/>
      <c r="HH42" s="411"/>
      <c r="HI42" s="411"/>
      <c r="HK42" s="411"/>
      <c r="HL42" s="411"/>
      <c r="HM42" s="411"/>
      <c r="HN42" s="411"/>
      <c r="HO42" s="411"/>
      <c r="HQ42" s="411"/>
      <c r="HS42" s="411"/>
      <c r="HT42" s="411"/>
      <c r="HV42" s="411"/>
      <c r="HX42" s="411"/>
      <c r="HY42" s="411"/>
      <c r="HZ42" s="411"/>
      <c r="IA42" s="411"/>
      <c r="IB42" s="411"/>
      <c r="IC42" s="411"/>
      <c r="ID42" s="411"/>
      <c r="IE42" s="411"/>
      <c r="IF42" s="411"/>
      <c r="IG42" s="411"/>
      <c r="IH42" s="411"/>
      <c r="II42" s="394"/>
      <c r="IJ42" s="411"/>
      <c r="IK42" s="411"/>
      <c r="IL42" s="411"/>
      <c r="IM42" s="411"/>
      <c r="IN42" s="411"/>
      <c r="IP42" s="411"/>
      <c r="IR42" s="411"/>
      <c r="IS42" s="411"/>
      <c r="IU42" s="411"/>
      <c r="IW42" s="411"/>
      <c r="IX42" s="411"/>
      <c r="IY42" s="411"/>
      <c r="IZ42" s="411"/>
      <c r="JA42" s="411"/>
      <c r="JB42" s="411"/>
      <c r="JC42" s="411"/>
      <c r="JD42" s="411"/>
      <c r="JE42" s="411"/>
      <c r="JF42" s="411"/>
      <c r="JG42" s="411"/>
    </row>
    <row r="43" spans="1:267" x14ac:dyDescent="0.3">
      <c r="A43" s="752" t="s">
        <v>955</v>
      </c>
      <c r="B43" s="757" t="s">
        <v>168</v>
      </c>
      <c r="C43" s="757" t="s">
        <v>30</v>
      </c>
      <c r="D43" s="757" t="s">
        <v>162</v>
      </c>
      <c r="E43" s="757" t="s">
        <v>356</v>
      </c>
      <c r="F43" s="757" t="s">
        <v>355</v>
      </c>
      <c r="G43" s="757">
        <v>5.1449999999999996</v>
      </c>
      <c r="H43" s="757">
        <v>60</v>
      </c>
      <c r="I43" s="757">
        <v>308.7</v>
      </c>
      <c r="J43" s="757">
        <v>12</v>
      </c>
      <c r="K43" s="757">
        <v>12</v>
      </c>
      <c r="L43" s="757">
        <v>13</v>
      </c>
      <c r="M43" s="757">
        <v>228.07</v>
      </c>
      <c r="N43" s="757">
        <v>1.4120000000000001E-2</v>
      </c>
      <c r="O43" s="757">
        <v>16</v>
      </c>
      <c r="P43" s="757">
        <v>15</v>
      </c>
      <c r="Q43" s="757" t="s">
        <v>30</v>
      </c>
      <c r="S43" s="768">
        <v>653</v>
      </c>
      <c r="T43" s="760">
        <v>451.97199999999998</v>
      </c>
      <c r="U43" s="760">
        <v>626.40200000000004</v>
      </c>
      <c r="V43" s="760">
        <v>600.048</v>
      </c>
      <c r="W43" s="760">
        <v>149.892</v>
      </c>
      <c r="X43" s="407"/>
      <c r="Y43" s="775">
        <v>215.32</v>
      </c>
      <c r="Z43" s="776">
        <v>0.97</v>
      </c>
      <c r="AA43" s="777">
        <v>0.78500000000000003</v>
      </c>
      <c r="AB43" s="779">
        <v>0.65800000000000003</v>
      </c>
      <c r="AC43" s="779">
        <v>0.71</v>
      </c>
      <c r="AD43" s="779">
        <v>1.075</v>
      </c>
      <c r="AE43" s="776">
        <v>0.97</v>
      </c>
      <c r="AF43" s="780">
        <v>33.96</v>
      </c>
      <c r="AG43" s="781">
        <v>52</v>
      </c>
      <c r="AH43" s="781">
        <v>28.86</v>
      </c>
      <c r="AI43" s="781">
        <v>37.35</v>
      </c>
      <c r="AJ43" s="781">
        <v>32.26</v>
      </c>
      <c r="AK43" s="781">
        <v>17.32</v>
      </c>
      <c r="AL43" s="781">
        <v>17.32</v>
      </c>
      <c r="AM43" s="781">
        <v>33.96</v>
      </c>
      <c r="AN43" s="781">
        <v>55.41</v>
      </c>
      <c r="AO43" s="781">
        <v>50.93</v>
      </c>
      <c r="AP43" s="781">
        <v>11.88</v>
      </c>
      <c r="AQ43" s="782">
        <v>165.21299999999999</v>
      </c>
      <c r="AR43" s="411"/>
      <c r="AS43" s="411"/>
      <c r="AT43" s="411"/>
      <c r="AU43" s="411"/>
      <c r="AV43" s="411"/>
      <c r="AW43" s="396"/>
      <c r="AX43" s="775">
        <v>215.32</v>
      </c>
      <c r="AY43" s="776"/>
      <c r="AZ43" s="851">
        <v>0.78500000000000003</v>
      </c>
      <c r="BA43" s="853">
        <v>0.65800000000000003</v>
      </c>
      <c r="BB43" s="853">
        <v>0.71</v>
      </c>
      <c r="BC43" s="853">
        <v>1.075</v>
      </c>
      <c r="BD43" s="776"/>
      <c r="BE43" s="808"/>
      <c r="BF43" s="776"/>
      <c r="BG43" s="851">
        <v>0.78500000000000003</v>
      </c>
      <c r="BH43" s="853">
        <v>0.65800000000000003</v>
      </c>
      <c r="BI43" s="853">
        <v>0.71</v>
      </c>
      <c r="BJ43" s="853">
        <v>1.075</v>
      </c>
      <c r="BK43" s="776"/>
      <c r="BL43" s="834"/>
      <c r="BM43" s="776">
        <v>0.97</v>
      </c>
      <c r="BN43" s="777">
        <v>0.78500000000000003</v>
      </c>
      <c r="BO43" s="779">
        <v>0.65800000000000003</v>
      </c>
      <c r="BP43" s="779">
        <v>0.71</v>
      </c>
      <c r="BQ43" s="779">
        <v>1.075</v>
      </c>
      <c r="BR43" s="776">
        <v>0.97</v>
      </c>
      <c r="BS43" s="842"/>
      <c r="BT43" s="776">
        <v>0.97</v>
      </c>
      <c r="BU43" s="777">
        <v>0.78500000000000003</v>
      </c>
      <c r="BV43" s="779">
        <v>0.65800000000000003</v>
      </c>
      <c r="BW43" s="779">
        <v>0.71</v>
      </c>
      <c r="BX43" s="779">
        <v>1.075</v>
      </c>
      <c r="BY43" s="776">
        <v>0.97</v>
      </c>
      <c r="BZ43" s="774"/>
      <c r="CA43" s="776">
        <v>0.97</v>
      </c>
      <c r="CB43" s="777">
        <v>0.78500000000000003</v>
      </c>
      <c r="CC43" s="779">
        <v>0.65800000000000003</v>
      </c>
      <c r="CD43" s="779">
        <v>0.71</v>
      </c>
      <c r="CE43" s="779">
        <v>1.075</v>
      </c>
      <c r="CF43" s="776">
        <v>0.97</v>
      </c>
      <c r="CG43" s="834"/>
      <c r="CH43" s="776">
        <v>0.97</v>
      </c>
      <c r="CI43" s="777">
        <v>0.78500000000000003</v>
      </c>
      <c r="CJ43" s="779">
        <v>0.65800000000000003</v>
      </c>
      <c r="CK43" s="779">
        <v>0.71</v>
      </c>
      <c r="CL43" s="779">
        <v>1.075</v>
      </c>
      <c r="CM43" s="776">
        <v>0.97</v>
      </c>
      <c r="CN43" s="834"/>
      <c r="CO43" s="776">
        <v>0.97</v>
      </c>
      <c r="CP43" s="777">
        <v>0.78500000000000003</v>
      </c>
      <c r="CQ43" s="779">
        <v>0.65800000000000003</v>
      </c>
      <c r="CR43" s="779">
        <v>0.71</v>
      </c>
      <c r="CS43" s="779">
        <v>1.075</v>
      </c>
      <c r="CT43" s="776">
        <v>0.97</v>
      </c>
      <c r="CU43" s="396"/>
      <c r="CV43" s="776">
        <v>0.97</v>
      </c>
      <c r="CW43" s="777">
        <v>0.78500000000000003</v>
      </c>
      <c r="CX43" s="779">
        <v>0.65800000000000003</v>
      </c>
      <c r="CY43" s="779">
        <v>0.71</v>
      </c>
      <c r="CZ43" s="779">
        <v>1.075</v>
      </c>
      <c r="DA43" s="776">
        <v>0.97</v>
      </c>
      <c r="DB43" s="396"/>
      <c r="DC43" s="411"/>
      <c r="DD43" s="411"/>
      <c r="DE43" s="411"/>
      <c r="DF43" s="411"/>
      <c r="DG43" s="411"/>
      <c r="DH43" s="411"/>
      <c r="DI43" s="411"/>
      <c r="DJ43" s="411"/>
      <c r="DK43" s="411"/>
      <c r="DL43" s="411"/>
      <c r="DM43" s="411"/>
      <c r="DN43" s="394"/>
      <c r="DO43" s="411"/>
      <c r="DP43" s="411"/>
      <c r="DQ43" s="411"/>
      <c r="DR43" s="411"/>
      <c r="DS43" s="411"/>
      <c r="DU43" s="411"/>
      <c r="DW43" s="411"/>
      <c r="DX43" s="411"/>
      <c r="DZ43" s="411"/>
      <c r="EB43" s="411"/>
      <c r="EC43" s="411"/>
      <c r="ED43" s="411"/>
      <c r="EE43" s="411"/>
      <c r="EF43" s="411"/>
      <c r="EG43" s="411"/>
      <c r="EH43" s="411"/>
      <c r="EI43" s="411"/>
      <c r="EJ43" s="411"/>
      <c r="EK43" s="411"/>
      <c r="EL43" s="411"/>
      <c r="EM43" s="394"/>
      <c r="EN43" s="417"/>
      <c r="EO43" s="417"/>
      <c r="EP43" s="417"/>
      <c r="EQ43" s="417"/>
      <c r="ER43" s="417"/>
      <c r="ES43" s="423"/>
      <c r="ET43" s="417"/>
      <c r="EU43" s="418"/>
      <c r="EV43" s="417"/>
      <c r="EW43" s="417"/>
      <c r="EX43" s="418"/>
      <c r="EY43" s="417"/>
      <c r="EZ43" s="418"/>
      <c r="FA43" s="417"/>
      <c r="FB43" s="417"/>
      <c r="FC43" s="417"/>
      <c r="FD43" s="417"/>
      <c r="FE43" s="417"/>
      <c r="FF43" s="417"/>
      <c r="FG43" s="417"/>
      <c r="FH43" s="417"/>
      <c r="FI43" s="417"/>
      <c r="FJ43" s="417"/>
      <c r="FK43" s="417"/>
      <c r="FL43" s="394"/>
      <c r="FM43" s="411"/>
      <c r="FN43" s="411"/>
      <c r="FO43" s="411"/>
      <c r="FP43" s="411"/>
      <c r="FQ43" s="411"/>
      <c r="FS43" s="411"/>
      <c r="FU43" s="411"/>
      <c r="FV43" s="411"/>
      <c r="FX43" s="411"/>
      <c r="FZ43" s="411"/>
      <c r="GA43" s="411"/>
      <c r="GB43" s="411"/>
      <c r="GC43" s="411"/>
      <c r="GD43" s="411"/>
      <c r="GE43" s="411"/>
      <c r="GF43" s="411"/>
      <c r="GG43" s="411"/>
      <c r="GH43" s="411"/>
      <c r="GI43" s="411"/>
      <c r="GJ43" s="411"/>
      <c r="GL43" s="411"/>
      <c r="GM43" s="411"/>
      <c r="GN43" s="411"/>
      <c r="GO43" s="411"/>
      <c r="GP43" s="411"/>
      <c r="GR43" s="411"/>
      <c r="GT43" s="411"/>
      <c r="GU43" s="411"/>
      <c r="GW43" s="411"/>
      <c r="GY43" s="416"/>
      <c r="GZ43" s="416"/>
      <c r="HA43" s="416"/>
      <c r="HB43" s="416"/>
      <c r="HC43" s="416"/>
      <c r="HD43" s="416"/>
      <c r="HE43" s="416"/>
      <c r="HF43" s="416"/>
      <c r="HG43" s="416"/>
      <c r="HH43" s="416"/>
      <c r="HI43" s="416"/>
      <c r="HK43" s="411"/>
      <c r="HL43" s="411"/>
      <c r="HM43" s="411"/>
      <c r="HN43" s="411"/>
      <c r="HO43" s="411"/>
      <c r="HQ43" s="411"/>
      <c r="HS43" s="411"/>
      <c r="HT43" s="411"/>
      <c r="HV43" s="411"/>
      <c r="HX43" s="416"/>
      <c r="HY43" s="416"/>
      <c r="HZ43" s="416"/>
      <c r="IA43" s="416"/>
      <c r="IB43" s="416"/>
      <c r="IC43" s="416"/>
      <c r="ID43" s="416"/>
      <c r="IE43" s="416"/>
      <c r="IF43" s="416"/>
      <c r="IG43" s="416"/>
      <c r="IH43" s="416"/>
      <c r="II43" s="394"/>
      <c r="IJ43" s="417"/>
      <c r="IK43" s="417"/>
      <c r="IL43" s="417"/>
      <c r="IM43" s="417"/>
      <c r="IN43" s="417"/>
      <c r="IO43" s="423"/>
      <c r="IP43" s="417"/>
      <c r="IQ43" s="418"/>
      <c r="IR43" s="417"/>
      <c r="IS43" s="417"/>
      <c r="IT43" s="418"/>
      <c r="IU43" s="417"/>
      <c r="IV43" s="418"/>
      <c r="IW43" s="417"/>
      <c r="IX43" s="417"/>
      <c r="IY43" s="417"/>
      <c r="IZ43" s="417"/>
      <c r="JA43" s="417"/>
      <c r="JB43" s="417"/>
      <c r="JC43" s="417"/>
      <c r="JD43" s="417"/>
      <c r="JE43" s="417"/>
      <c r="JF43" s="417"/>
      <c r="JG43" s="417"/>
    </row>
    <row r="44" spans="1:267" x14ac:dyDescent="0.3">
      <c r="A44" s="756" t="s">
        <v>956</v>
      </c>
      <c r="B44" s="757" t="s">
        <v>168</v>
      </c>
      <c r="C44" s="757" t="s">
        <v>693</v>
      </c>
      <c r="D44" s="757" t="s">
        <v>168</v>
      </c>
      <c r="E44" s="757" t="s">
        <v>353</v>
      </c>
      <c r="F44" s="757" t="s">
        <v>168</v>
      </c>
      <c r="G44" s="757">
        <v>5.94</v>
      </c>
      <c r="H44" s="757">
        <v>52</v>
      </c>
      <c r="I44" s="757">
        <v>308.89999999999998</v>
      </c>
      <c r="J44" s="757">
        <v>19</v>
      </c>
      <c r="K44" s="757">
        <v>14</v>
      </c>
      <c r="L44" s="757">
        <v>9</v>
      </c>
      <c r="M44" s="757">
        <v>271.2</v>
      </c>
      <c r="N44" s="757">
        <v>1.154286E-2</v>
      </c>
      <c r="O44" s="757">
        <v>11</v>
      </c>
      <c r="P44" s="757">
        <v>21</v>
      </c>
      <c r="Q44" s="757" t="s">
        <v>355</v>
      </c>
      <c r="S44" s="760">
        <v>430.678</v>
      </c>
      <c r="T44" s="760">
        <v>676.78</v>
      </c>
      <c r="U44" s="760">
        <v>496.76299999999998</v>
      </c>
      <c r="V44" s="760">
        <v>729.76499999999999</v>
      </c>
      <c r="W44" s="760">
        <v>510.76799999999997</v>
      </c>
      <c r="X44" s="409"/>
      <c r="Y44" s="775">
        <v>90.864999999999995</v>
      </c>
      <c r="Z44" s="776">
        <v>0.97</v>
      </c>
      <c r="AA44" s="777">
        <v>0.86799999999999999</v>
      </c>
      <c r="AB44" s="779">
        <v>0.65300000000000002</v>
      </c>
      <c r="AC44" s="779">
        <v>0.71599999999999997</v>
      </c>
      <c r="AD44" s="779">
        <v>1.075</v>
      </c>
      <c r="AE44" s="776">
        <v>0.97</v>
      </c>
      <c r="AF44" s="780">
        <v>23.03</v>
      </c>
      <c r="AG44" s="781">
        <v>54.35</v>
      </c>
      <c r="AH44" s="781">
        <v>29.61</v>
      </c>
      <c r="AI44" s="781">
        <v>34.54</v>
      </c>
      <c r="AJ44" s="781">
        <v>25.29</v>
      </c>
      <c r="AK44" s="781">
        <v>21.38</v>
      </c>
      <c r="AL44" s="781">
        <v>24.67</v>
      </c>
      <c r="AM44" s="781">
        <v>29.61</v>
      </c>
      <c r="AN44" s="781">
        <v>42.73</v>
      </c>
      <c r="AO44" s="781">
        <v>23.61</v>
      </c>
      <c r="AP44" s="781">
        <v>13.16</v>
      </c>
      <c r="AQ44" s="782">
        <v>119.312</v>
      </c>
      <c r="AR44" s="411"/>
      <c r="AS44" s="411"/>
      <c r="AT44" s="411"/>
      <c r="AU44" s="411"/>
      <c r="AV44" s="411"/>
      <c r="AW44" s="412"/>
      <c r="AX44" s="775">
        <v>90.864999999999995</v>
      </c>
      <c r="AY44" s="776"/>
      <c r="AZ44" s="851">
        <v>0.86799999999999999</v>
      </c>
      <c r="BA44" s="853">
        <v>0.65300000000000002</v>
      </c>
      <c r="BB44" s="853">
        <v>0.71599999999999997</v>
      </c>
      <c r="BC44" s="853">
        <v>1.075</v>
      </c>
      <c r="BD44" s="776"/>
      <c r="BE44" s="808"/>
      <c r="BF44" s="776"/>
      <c r="BG44" s="851">
        <v>0.86799999999999999</v>
      </c>
      <c r="BH44" s="853">
        <v>0.65300000000000002</v>
      </c>
      <c r="BI44" s="853">
        <v>0.71599999999999997</v>
      </c>
      <c r="BJ44" s="853">
        <v>1.075</v>
      </c>
      <c r="BK44" s="776"/>
      <c r="BL44" s="834"/>
      <c r="BM44" s="776">
        <v>0.97</v>
      </c>
      <c r="BN44" s="777">
        <v>0.86799999999999999</v>
      </c>
      <c r="BO44" s="779">
        <v>0.65300000000000002</v>
      </c>
      <c r="BP44" s="779">
        <v>0.71599999999999997</v>
      </c>
      <c r="BQ44" s="779">
        <v>1.075</v>
      </c>
      <c r="BR44" s="776">
        <v>0.97</v>
      </c>
      <c r="BS44" s="842"/>
      <c r="BT44" s="776">
        <v>0.97</v>
      </c>
      <c r="BU44" s="777">
        <v>0.86799999999999999</v>
      </c>
      <c r="BV44" s="779">
        <v>0.65300000000000002</v>
      </c>
      <c r="BW44" s="779">
        <v>0.71599999999999997</v>
      </c>
      <c r="BX44" s="779">
        <v>1.075</v>
      </c>
      <c r="BY44" s="776">
        <v>0.97</v>
      </c>
      <c r="BZ44" s="774"/>
      <c r="CA44" s="776">
        <v>0.97</v>
      </c>
      <c r="CB44" s="777">
        <v>0.86799999999999999</v>
      </c>
      <c r="CC44" s="779">
        <v>0.65300000000000002</v>
      </c>
      <c r="CD44" s="779">
        <v>0.71599999999999997</v>
      </c>
      <c r="CE44" s="779">
        <v>1.075</v>
      </c>
      <c r="CF44" s="776">
        <v>0.97</v>
      </c>
      <c r="CG44" s="834"/>
      <c r="CH44" s="776">
        <v>0.97</v>
      </c>
      <c r="CI44" s="777">
        <v>0.86799999999999999</v>
      </c>
      <c r="CJ44" s="779">
        <v>0.65300000000000002</v>
      </c>
      <c r="CK44" s="779">
        <v>0.71599999999999997</v>
      </c>
      <c r="CL44" s="779">
        <v>1.075</v>
      </c>
      <c r="CM44" s="776">
        <v>0.97</v>
      </c>
      <c r="CN44" s="834"/>
      <c r="CO44" s="776">
        <v>0.97</v>
      </c>
      <c r="CP44" s="777">
        <v>0.86799999999999999</v>
      </c>
      <c r="CQ44" s="779">
        <v>0.65300000000000002</v>
      </c>
      <c r="CR44" s="779">
        <v>0.71599999999999997</v>
      </c>
      <c r="CS44" s="779">
        <v>1.075</v>
      </c>
      <c r="CT44" s="776">
        <v>0.97</v>
      </c>
      <c r="CU44" s="418"/>
      <c r="CV44" s="776">
        <v>0.97</v>
      </c>
      <c r="CW44" s="777">
        <v>0.86799999999999999</v>
      </c>
      <c r="CX44" s="779">
        <v>0.65300000000000002</v>
      </c>
      <c r="CY44" s="779">
        <v>0.71599999999999997</v>
      </c>
      <c r="CZ44" s="779">
        <v>1.075</v>
      </c>
      <c r="DA44" s="776">
        <v>0.97</v>
      </c>
      <c r="DB44" s="418"/>
      <c r="DC44" s="417"/>
      <c r="DD44" s="417"/>
      <c r="DE44" s="417"/>
      <c r="DF44" s="417"/>
      <c r="DG44" s="417"/>
      <c r="DH44" s="417"/>
      <c r="DI44" s="417"/>
      <c r="DJ44" s="417"/>
      <c r="DK44" s="417"/>
      <c r="DL44" s="417"/>
      <c r="DM44" s="417"/>
      <c r="DN44" s="394"/>
      <c r="DO44" s="411"/>
      <c r="DP44" s="411"/>
      <c r="DQ44" s="411"/>
      <c r="DR44" s="411"/>
      <c r="DS44" s="411"/>
      <c r="DU44" s="411"/>
      <c r="DW44" s="411"/>
      <c r="DX44" s="411"/>
      <c r="DZ44" s="411"/>
      <c r="EB44" s="411"/>
      <c r="EC44" s="411"/>
      <c r="ED44" s="411"/>
      <c r="EE44" s="411"/>
      <c r="EF44" s="411"/>
      <c r="EG44" s="411"/>
      <c r="EH44" s="411"/>
      <c r="EI44" s="411"/>
      <c r="EJ44" s="411"/>
      <c r="EK44" s="411"/>
      <c r="EL44" s="411"/>
      <c r="EM44" s="394"/>
      <c r="EN44" s="411"/>
      <c r="EO44" s="411"/>
      <c r="EP44" s="411"/>
      <c r="EQ44" s="411"/>
      <c r="ER44" s="411"/>
      <c r="ES44" s="394"/>
      <c r="ET44" s="411"/>
      <c r="EU44" s="394"/>
      <c r="EV44" s="417"/>
      <c r="EW44" s="417"/>
      <c r="EX44" s="418"/>
      <c r="EY44" s="417"/>
      <c r="EZ44" s="418"/>
      <c r="FA44" s="417"/>
      <c r="FB44" s="417"/>
      <c r="FC44" s="417"/>
      <c r="FD44" s="417"/>
      <c r="FE44" s="417"/>
      <c r="FF44" s="417"/>
      <c r="FG44" s="417"/>
      <c r="FH44" s="417"/>
      <c r="FI44" s="417"/>
      <c r="FJ44" s="417"/>
      <c r="FK44" s="417"/>
      <c r="FL44" s="394"/>
      <c r="FM44" s="411"/>
      <c r="FN44" s="411"/>
      <c r="FO44" s="411"/>
      <c r="FP44" s="411"/>
      <c r="FQ44" s="411"/>
      <c r="FS44" s="411"/>
      <c r="FU44" s="411"/>
      <c r="FV44" s="411"/>
      <c r="FX44" s="411"/>
      <c r="FZ44" s="411"/>
      <c r="GA44" s="411"/>
      <c r="GB44" s="411"/>
      <c r="GC44" s="411"/>
      <c r="GD44" s="411"/>
      <c r="GE44" s="411"/>
      <c r="GF44" s="411"/>
      <c r="GG44" s="411"/>
      <c r="GH44" s="411"/>
      <c r="GI44" s="411"/>
      <c r="GJ44" s="411"/>
      <c r="GL44" s="411"/>
      <c r="GM44" s="411"/>
      <c r="GN44" s="411"/>
      <c r="GO44" s="411"/>
      <c r="GP44" s="411"/>
      <c r="GR44" s="411"/>
      <c r="GT44" s="411"/>
      <c r="GU44" s="411"/>
      <c r="GW44" s="411"/>
      <c r="GY44" s="411"/>
      <c r="GZ44" s="411"/>
      <c r="HA44" s="411"/>
      <c r="HB44" s="411"/>
      <c r="HC44" s="411"/>
      <c r="HD44" s="411"/>
      <c r="HE44" s="411"/>
      <c r="HF44" s="411"/>
      <c r="HG44" s="411"/>
      <c r="HH44" s="411"/>
      <c r="HI44" s="411"/>
      <c r="HK44" s="411"/>
      <c r="HL44" s="411"/>
      <c r="HM44" s="411"/>
      <c r="HN44" s="411"/>
      <c r="HO44" s="411"/>
      <c r="HQ44" s="411"/>
      <c r="HS44" s="411"/>
      <c r="HT44" s="411"/>
      <c r="HV44" s="411"/>
      <c r="HX44" s="411"/>
      <c r="HY44" s="411"/>
      <c r="HZ44" s="411"/>
      <c r="IA44" s="411"/>
      <c r="IB44" s="411"/>
      <c r="IC44" s="411"/>
      <c r="ID44" s="411"/>
      <c r="IE44" s="411"/>
      <c r="IF44" s="411"/>
      <c r="IG44" s="411"/>
      <c r="IH44" s="411"/>
      <c r="II44" s="394"/>
      <c r="IJ44" s="417"/>
      <c r="IK44" s="417"/>
      <c r="IL44" s="417"/>
      <c r="IM44" s="417"/>
      <c r="IN44" s="417"/>
      <c r="IO44" s="418"/>
      <c r="IP44" s="417"/>
      <c r="IQ44" s="418"/>
      <c r="IR44" s="417"/>
      <c r="IS44" s="417"/>
      <c r="IT44" s="418"/>
      <c r="IU44" s="417"/>
      <c r="IV44" s="418"/>
      <c r="IW44" s="417"/>
      <c r="IX44" s="417"/>
      <c r="IY44" s="417"/>
      <c r="IZ44" s="417"/>
      <c r="JA44" s="417"/>
      <c r="JB44" s="417"/>
      <c r="JC44" s="417"/>
      <c r="JD44" s="417"/>
      <c r="JE44" s="417"/>
      <c r="JF44" s="417"/>
      <c r="JG44" s="417"/>
    </row>
    <row r="45" spans="1:267" x14ac:dyDescent="0.3">
      <c r="A45" s="754" t="s">
        <v>957</v>
      </c>
      <c r="B45" s="757" t="s">
        <v>168</v>
      </c>
      <c r="C45" s="757" t="s">
        <v>693</v>
      </c>
      <c r="D45" s="757" t="s">
        <v>168</v>
      </c>
      <c r="E45" s="757" t="s">
        <v>353</v>
      </c>
      <c r="F45" s="757" t="s">
        <v>351</v>
      </c>
      <c r="G45" s="757">
        <v>3.8610000000000002</v>
      </c>
      <c r="H45" s="757">
        <v>79</v>
      </c>
      <c r="I45" s="757">
        <v>305</v>
      </c>
      <c r="J45" s="757">
        <v>9</v>
      </c>
      <c r="K45" s="757">
        <v>11</v>
      </c>
      <c r="L45" s="757">
        <v>8</v>
      </c>
      <c r="M45" s="757">
        <v>231.3</v>
      </c>
      <c r="N45" s="757">
        <v>9.4999999999999998E-3</v>
      </c>
      <c r="O45" s="757">
        <v>11</v>
      </c>
      <c r="P45" s="757">
        <v>19.5</v>
      </c>
      <c r="Q45" s="757" t="s">
        <v>351</v>
      </c>
      <c r="S45" s="760">
        <v>356</v>
      </c>
      <c r="T45" s="760">
        <v>732.68499999999995</v>
      </c>
      <c r="U45" s="760">
        <v>301.29199999999997</v>
      </c>
      <c r="V45" s="760">
        <v>784.49400000000003</v>
      </c>
      <c r="W45" s="760">
        <v>576.08399999999995</v>
      </c>
      <c r="X45" s="409"/>
      <c r="Y45" s="775">
        <v>155.5</v>
      </c>
      <c r="Z45" s="776">
        <v>0.99</v>
      </c>
      <c r="AA45" s="777">
        <v>0.89500000000000002</v>
      </c>
      <c r="AB45" s="779">
        <v>0.71299999999999997</v>
      </c>
      <c r="AC45" s="779">
        <v>0.71899999999999997</v>
      </c>
      <c r="AD45" s="779">
        <v>1.07</v>
      </c>
      <c r="AE45" s="776">
        <v>0.99</v>
      </c>
      <c r="AF45" s="794">
        <v>30.5</v>
      </c>
      <c r="AG45" s="763">
        <v>59.915999999999997</v>
      </c>
      <c r="AH45" s="763">
        <v>30.5</v>
      </c>
      <c r="AI45" s="763">
        <v>38.5</v>
      </c>
      <c r="AJ45" s="763">
        <v>32.32</v>
      </c>
      <c r="AK45" s="763">
        <v>21</v>
      </c>
      <c r="AL45" s="763">
        <v>20.8</v>
      </c>
      <c r="AM45" s="763">
        <v>30.907</v>
      </c>
      <c r="AN45" s="763">
        <v>50.353000000000002</v>
      </c>
      <c r="AO45" s="763">
        <v>31</v>
      </c>
      <c r="AP45" s="763">
        <v>18</v>
      </c>
      <c r="AQ45" s="782">
        <v>213.48</v>
      </c>
      <c r="AR45" s="411"/>
      <c r="AS45" s="417"/>
      <c r="AT45" s="417"/>
      <c r="AU45" s="417"/>
      <c r="AV45" s="417"/>
      <c r="AW45" s="394"/>
      <c r="AX45" s="775">
        <v>155.5</v>
      </c>
      <c r="AY45" s="776"/>
      <c r="AZ45" s="851">
        <v>0.89500000000000002</v>
      </c>
      <c r="BA45" s="853">
        <v>0.71299999999999997</v>
      </c>
      <c r="BB45" s="853">
        <v>0.71899999999999997</v>
      </c>
      <c r="BC45" s="853">
        <v>1.07</v>
      </c>
      <c r="BD45" s="776"/>
      <c r="BE45" s="830"/>
      <c r="BF45" s="776"/>
      <c r="BG45" s="851">
        <v>0.89500000000000002</v>
      </c>
      <c r="BH45" s="853">
        <v>0.71299999999999997</v>
      </c>
      <c r="BI45" s="853">
        <v>0.71899999999999997</v>
      </c>
      <c r="BJ45" s="853">
        <v>1.07</v>
      </c>
      <c r="BK45" s="776"/>
      <c r="BL45" s="836"/>
      <c r="BM45" s="776">
        <v>0.99</v>
      </c>
      <c r="BN45" s="777">
        <v>0.89500000000000002</v>
      </c>
      <c r="BO45" s="779">
        <v>0.71299999999999997</v>
      </c>
      <c r="BP45" s="779">
        <v>0.71899999999999997</v>
      </c>
      <c r="BQ45" s="779">
        <v>1.07</v>
      </c>
      <c r="BR45" s="776">
        <v>0.99</v>
      </c>
      <c r="BS45" s="842"/>
      <c r="BT45" s="776">
        <v>0.99</v>
      </c>
      <c r="BU45" s="777">
        <v>0.89500000000000002</v>
      </c>
      <c r="BV45" s="779">
        <v>0.71299999999999997</v>
      </c>
      <c r="BW45" s="779">
        <v>0.71899999999999997</v>
      </c>
      <c r="BX45" s="779">
        <v>1.07</v>
      </c>
      <c r="BY45" s="776">
        <v>0.99</v>
      </c>
      <c r="BZ45" s="774"/>
      <c r="CA45" s="776">
        <v>0.99</v>
      </c>
      <c r="CB45" s="777">
        <v>0.89500000000000002</v>
      </c>
      <c r="CC45" s="779">
        <v>0.71299999999999997</v>
      </c>
      <c r="CD45" s="779">
        <v>0.71899999999999997</v>
      </c>
      <c r="CE45" s="779">
        <v>1.07</v>
      </c>
      <c r="CF45" s="776">
        <v>0.99</v>
      </c>
      <c r="CG45" s="836"/>
      <c r="CH45" s="776">
        <v>0.99</v>
      </c>
      <c r="CI45" s="777">
        <v>0.89500000000000002</v>
      </c>
      <c r="CJ45" s="779">
        <v>0.71299999999999997</v>
      </c>
      <c r="CK45" s="779">
        <v>0.71899999999999997</v>
      </c>
      <c r="CL45" s="779">
        <v>1.07</v>
      </c>
      <c r="CM45" s="776">
        <v>0.99</v>
      </c>
      <c r="CN45" s="836"/>
      <c r="CO45" s="776">
        <v>0.99</v>
      </c>
      <c r="CP45" s="777">
        <v>0.89500000000000002</v>
      </c>
      <c r="CQ45" s="779">
        <v>0.71299999999999997</v>
      </c>
      <c r="CR45" s="779">
        <v>0.71899999999999997</v>
      </c>
      <c r="CS45" s="779">
        <v>1.07</v>
      </c>
      <c r="CT45" s="776">
        <v>0.99</v>
      </c>
      <c r="CU45" s="418"/>
      <c r="CV45" s="776">
        <v>0.99</v>
      </c>
      <c r="CW45" s="777">
        <v>0.89500000000000002</v>
      </c>
      <c r="CX45" s="779">
        <v>0.71299999999999997</v>
      </c>
      <c r="CY45" s="779">
        <v>0.71899999999999997</v>
      </c>
      <c r="CZ45" s="779">
        <v>1.07</v>
      </c>
      <c r="DA45" s="776">
        <v>0.99</v>
      </c>
      <c r="DB45" s="418"/>
      <c r="DC45" s="417"/>
      <c r="DD45" s="417"/>
      <c r="DE45" s="417"/>
      <c r="DF45" s="417"/>
      <c r="DG45" s="417"/>
      <c r="DH45" s="417"/>
      <c r="DI45" s="417"/>
      <c r="DJ45" s="417"/>
      <c r="DK45" s="417"/>
      <c r="DL45" s="417"/>
      <c r="DM45" s="417"/>
      <c r="DN45" s="394"/>
      <c r="DO45" s="421"/>
      <c r="DP45" s="421"/>
      <c r="DQ45" s="421"/>
      <c r="DR45" s="421"/>
      <c r="DS45" s="421"/>
      <c r="DU45" s="411"/>
      <c r="DW45" s="411"/>
      <c r="DX45" s="411"/>
      <c r="DZ45" s="411"/>
      <c r="EB45" s="411"/>
      <c r="EC45" s="411"/>
      <c r="ED45" s="411"/>
      <c r="EE45" s="411"/>
      <c r="EF45" s="411"/>
      <c r="EG45" s="411"/>
      <c r="EH45" s="411"/>
      <c r="EI45" s="411"/>
      <c r="EJ45" s="411"/>
      <c r="EK45" s="411"/>
      <c r="EL45" s="411"/>
      <c r="EM45" s="394"/>
      <c r="EN45" s="417"/>
      <c r="EO45" s="417"/>
      <c r="EP45" s="417"/>
      <c r="EQ45" s="417"/>
      <c r="ER45" s="417"/>
      <c r="ES45" s="418"/>
      <c r="ET45" s="417"/>
      <c r="EU45" s="418"/>
      <c r="EV45" s="417"/>
      <c r="EW45" s="417"/>
      <c r="EX45" s="418"/>
      <c r="EY45" s="417"/>
      <c r="EZ45" s="418"/>
      <c r="FA45" s="417"/>
      <c r="FB45" s="417"/>
      <c r="FC45" s="417"/>
      <c r="FD45" s="417"/>
      <c r="FE45" s="417"/>
      <c r="FF45" s="417"/>
      <c r="FG45" s="417"/>
      <c r="FH45" s="417"/>
      <c r="FI45" s="417"/>
      <c r="FJ45" s="417"/>
      <c r="FK45" s="417"/>
      <c r="FL45" s="394"/>
      <c r="FM45" s="421"/>
      <c r="FN45" s="421"/>
      <c r="FO45" s="421"/>
      <c r="FP45" s="421"/>
      <c r="FQ45" s="421"/>
      <c r="FR45" s="394"/>
      <c r="FS45" s="411"/>
      <c r="FT45" s="394"/>
      <c r="FU45" s="411"/>
      <c r="FV45" s="411"/>
      <c r="FW45" s="394"/>
      <c r="FX45" s="411"/>
      <c r="FY45" s="394"/>
      <c r="FZ45" s="411"/>
      <c r="GA45" s="411"/>
      <c r="GB45" s="411"/>
      <c r="GC45" s="411"/>
      <c r="GD45" s="411"/>
      <c r="GE45" s="411"/>
      <c r="GF45" s="411"/>
      <c r="GG45" s="411"/>
      <c r="GH45" s="411"/>
      <c r="GI45" s="411"/>
      <c r="GJ45" s="411"/>
      <c r="GK45" s="394"/>
      <c r="GL45" s="421"/>
      <c r="GM45" s="421"/>
      <c r="GN45" s="421"/>
      <c r="GO45" s="421"/>
      <c r="GP45" s="421"/>
      <c r="GQ45" s="394"/>
      <c r="GR45" s="411"/>
      <c r="GS45" s="394"/>
      <c r="GT45" s="411"/>
      <c r="GU45" s="411"/>
      <c r="GV45" s="394"/>
      <c r="GW45" s="411"/>
      <c r="GX45" s="394"/>
      <c r="GY45" s="411"/>
      <c r="GZ45" s="411"/>
      <c r="HA45" s="411"/>
      <c r="HB45" s="411"/>
      <c r="HC45" s="411"/>
      <c r="HD45" s="411"/>
      <c r="HE45" s="411"/>
      <c r="HF45" s="411"/>
      <c r="HG45" s="411"/>
      <c r="HH45" s="411"/>
      <c r="HI45" s="411"/>
      <c r="HJ45" s="394"/>
      <c r="HK45" s="421"/>
      <c r="HL45" s="421"/>
      <c r="HM45" s="421"/>
      <c r="HN45" s="421"/>
      <c r="HO45" s="421"/>
      <c r="HQ45" s="411"/>
      <c r="HS45" s="411"/>
      <c r="HT45" s="411"/>
      <c r="HV45" s="411"/>
      <c r="HX45" s="411"/>
      <c r="HY45" s="411"/>
      <c r="HZ45" s="411"/>
      <c r="IA45" s="411"/>
      <c r="IB45" s="411"/>
      <c r="IC45" s="411"/>
      <c r="ID45" s="411"/>
      <c r="IE45" s="411"/>
      <c r="IF45" s="411"/>
      <c r="IG45" s="411"/>
      <c r="IH45" s="411"/>
      <c r="II45" s="394"/>
      <c r="IJ45" s="411"/>
      <c r="IK45" s="411"/>
      <c r="IL45" s="411"/>
      <c r="IM45" s="411"/>
      <c r="IN45" s="411"/>
      <c r="IP45" s="411"/>
      <c r="IR45" s="411"/>
      <c r="IS45" s="411"/>
      <c r="IU45" s="411"/>
      <c r="IW45" s="411"/>
      <c r="IX45" s="411"/>
      <c r="IY45" s="411"/>
      <c r="IZ45" s="411"/>
      <c r="JA45" s="411"/>
      <c r="JB45" s="411"/>
      <c r="JC45" s="411"/>
      <c r="JD45" s="411"/>
      <c r="JE45" s="411"/>
      <c r="JF45" s="411"/>
      <c r="JG45" s="411"/>
    </row>
    <row r="46" spans="1:267" x14ac:dyDescent="0.3">
      <c r="A46" s="756" t="s">
        <v>958</v>
      </c>
      <c r="B46" s="810" t="s">
        <v>353</v>
      </c>
      <c r="C46" s="757" t="s">
        <v>693</v>
      </c>
      <c r="D46" s="810" t="s">
        <v>162</v>
      </c>
      <c r="E46" s="757" t="s">
        <v>168</v>
      </c>
      <c r="F46" s="757" t="s">
        <v>353</v>
      </c>
      <c r="G46" s="757">
        <v>4.6920000000000002</v>
      </c>
      <c r="H46" s="757">
        <v>66</v>
      </c>
      <c r="I46" s="810">
        <v>309.7</v>
      </c>
      <c r="J46" s="757">
        <v>9</v>
      </c>
      <c r="K46" s="757">
        <v>14</v>
      </c>
      <c r="L46" s="757">
        <v>11</v>
      </c>
      <c r="M46" s="757">
        <v>203.37</v>
      </c>
      <c r="N46" s="757">
        <v>1.6500000000000001E-2</v>
      </c>
      <c r="O46" s="811">
        <v>18</v>
      </c>
      <c r="P46" s="757">
        <v>15.5</v>
      </c>
      <c r="Q46" s="757" t="s">
        <v>355</v>
      </c>
      <c r="S46" s="765">
        <v>785.904</v>
      </c>
      <c r="T46" s="765">
        <v>391.31799999999998</v>
      </c>
      <c r="U46" s="765">
        <v>485.60199999999998</v>
      </c>
      <c r="V46" s="765">
        <v>489.553</v>
      </c>
      <c r="W46" s="765">
        <v>296.03699999999998</v>
      </c>
      <c r="X46" s="409"/>
      <c r="Y46" s="775">
        <v>176.83500000000001</v>
      </c>
      <c r="Z46" s="776">
        <v>0.98</v>
      </c>
      <c r="AA46" s="780">
        <v>0.84199999999999997</v>
      </c>
      <c r="AB46" s="783">
        <v>0.70799999999999996</v>
      </c>
      <c r="AC46" s="775">
        <v>0.70799999999999996</v>
      </c>
      <c r="AD46" s="795">
        <v>1.06</v>
      </c>
      <c r="AE46" s="776">
        <v>0.98</v>
      </c>
      <c r="AF46" s="780">
        <v>26.43</v>
      </c>
      <c r="AG46" s="781">
        <v>27.13</v>
      </c>
      <c r="AH46" s="781">
        <v>27.13</v>
      </c>
      <c r="AI46" s="781">
        <v>28.83</v>
      </c>
      <c r="AJ46" s="781">
        <v>50.87</v>
      </c>
      <c r="AK46" s="781">
        <v>23.74</v>
      </c>
      <c r="AL46" s="781">
        <v>23.74</v>
      </c>
      <c r="AM46" s="781">
        <v>25.44</v>
      </c>
      <c r="AN46" s="781">
        <v>37.31</v>
      </c>
      <c r="AO46" s="781">
        <v>55.96</v>
      </c>
      <c r="AP46" s="781">
        <v>20.350000000000001</v>
      </c>
      <c r="AQ46" s="782">
        <v>206.19800000000001</v>
      </c>
      <c r="AR46" s="411"/>
      <c r="AS46" s="411"/>
      <c r="AT46" s="411"/>
      <c r="AU46" s="411"/>
      <c r="AV46" s="411"/>
      <c r="AW46" s="412"/>
      <c r="AX46" s="775">
        <v>176.83500000000001</v>
      </c>
      <c r="AY46" s="776"/>
      <c r="AZ46" s="854">
        <v>0.84199999999999997</v>
      </c>
      <c r="BA46" s="855">
        <v>0.70799999999999996</v>
      </c>
      <c r="BB46" s="856">
        <v>0.70799999999999996</v>
      </c>
      <c r="BC46" s="860">
        <v>1.06</v>
      </c>
      <c r="BD46" s="776"/>
      <c r="BE46" s="808"/>
      <c r="BF46" s="776"/>
      <c r="BG46" s="854">
        <v>0.84199999999999997</v>
      </c>
      <c r="BH46" s="855">
        <v>0.70799999999999996</v>
      </c>
      <c r="BI46" s="856">
        <v>0.70799999999999996</v>
      </c>
      <c r="BJ46" s="860">
        <v>1.06</v>
      </c>
      <c r="BK46" s="776"/>
      <c r="BL46" s="834"/>
      <c r="BM46" s="776">
        <v>0.98</v>
      </c>
      <c r="BN46" s="780">
        <v>0.84199999999999997</v>
      </c>
      <c r="BO46" s="783">
        <v>0.70799999999999996</v>
      </c>
      <c r="BP46" s="775">
        <v>0.70799999999999996</v>
      </c>
      <c r="BQ46" s="795">
        <v>1.06</v>
      </c>
      <c r="BR46" s="776">
        <v>0.98</v>
      </c>
      <c r="BS46" s="843"/>
      <c r="BT46" s="776">
        <v>0.98</v>
      </c>
      <c r="BU46" s="780">
        <v>0.84199999999999997</v>
      </c>
      <c r="BV46" s="783">
        <v>0.70799999999999996</v>
      </c>
      <c r="BW46" s="775">
        <v>0.70799999999999996</v>
      </c>
      <c r="BX46" s="795">
        <v>1.06</v>
      </c>
      <c r="BY46" s="776">
        <v>0.98</v>
      </c>
      <c r="BZ46" s="774"/>
      <c r="CA46" s="776">
        <v>0.98</v>
      </c>
      <c r="CB46" s="780">
        <v>0.84199999999999997</v>
      </c>
      <c r="CC46" s="783">
        <v>0.70799999999999996</v>
      </c>
      <c r="CD46" s="775">
        <v>0.70799999999999996</v>
      </c>
      <c r="CE46" s="795">
        <v>1.06</v>
      </c>
      <c r="CF46" s="776">
        <v>0.98</v>
      </c>
      <c r="CG46" s="834"/>
      <c r="CH46" s="776">
        <v>0.98</v>
      </c>
      <c r="CI46" s="780">
        <v>0.84199999999999997</v>
      </c>
      <c r="CJ46" s="783">
        <v>0.70799999999999996</v>
      </c>
      <c r="CK46" s="775">
        <v>0.70799999999999996</v>
      </c>
      <c r="CL46" s="795">
        <v>1.06</v>
      </c>
      <c r="CM46" s="776">
        <v>0.98</v>
      </c>
      <c r="CN46" s="834"/>
      <c r="CO46" s="776">
        <v>0.98</v>
      </c>
      <c r="CP46" s="780">
        <v>0.84199999999999997</v>
      </c>
      <c r="CQ46" s="783">
        <v>0.70799999999999996</v>
      </c>
      <c r="CR46" s="775">
        <v>0.70799999999999996</v>
      </c>
      <c r="CS46" s="795">
        <v>1.06</v>
      </c>
      <c r="CT46" s="776">
        <v>0.98</v>
      </c>
      <c r="CU46" s="418"/>
      <c r="CV46" s="776">
        <v>0.98</v>
      </c>
      <c r="CW46" s="780">
        <v>0.84199999999999997</v>
      </c>
      <c r="CX46" s="783">
        <v>0.70799999999999996</v>
      </c>
      <c r="CY46" s="775">
        <v>0.70799999999999996</v>
      </c>
      <c r="CZ46" s="795">
        <v>1.06</v>
      </c>
      <c r="DA46" s="776">
        <v>0.98</v>
      </c>
      <c r="DB46" s="418"/>
      <c r="DC46" s="417"/>
      <c r="DD46" s="417"/>
      <c r="DE46" s="417"/>
      <c r="DF46" s="417"/>
      <c r="DG46" s="417"/>
      <c r="DH46" s="417"/>
      <c r="DI46" s="417"/>
      <c r="DJ46" s="417"/>
      <c r="DK46" s="417"/>
      <c r="DL46" s="417"/>
      <c r="DM46" s="417"/>
      <c r="DN46" s="394"/>
      <c r="DO46" s="411"/>
      <c r="DP46" s="411"/>
      <c r="DQ46" s="411"/>
      <c r="DR46" s="411"/>
      <c r="DS46" s="411"/>
      <c r="DU46" s="411"/>
      <c r="DW46" s="411"/>
      <c r="DX46" s="411"/>
      <c r="DZ46" s="411"/>
      <c r="EB46" s="411"/>
      <c r="EC46" s="411"/>
      <c r="ED46" s="411"/>
      <c r="EE46" s="411"/>
      <c r="EF46" s="411"/>
      <c r="EG46" s="411"/>
      <c r="EH46" s="411"/>
      <c r="EI46" s="411"/>
      <c r="EJ46" s="411"/>
      <c r="EK46" s="411"/>
      <c r="EL46" s="411"/>
      <c r="EM46" s="394"/>
      <c r="EN46" s="411"/>
      <c r="EO46" s="411"/>
      <c r="EP46" s="411"/>
      <c r="EQ46" s="411"/>
      <c r="ER46" s="411"/>
      <c r="ES46" s="394"/>
      <c r="ET46" s="411"/>
      <c r="EU46" s="394"/>
      <c r="EV46" s="411"/>
      <c r="EW46" s="411"/>
      <c r="EX46" s="394"/>
      <c r="EY46" s="411"/>
      <c r="EZ46" s="394"/>
      <c r="FA46" s="411"/>
      <c r="FB46" s="411"/>
      <c r="FC46" s="411"/>
      <c r="FD46" s="411"/>
      <c r="FE46" s="411"/>
      <c r="FF46" s="411"/>
      <c r="FG46" s="411"/>
      <c r="FH46" s="411"/>
      <c r="FI46" s="411"/>
      <c r="FJ46" s="411"/>
      <c r="FK46" s="411"/>
      <c r="FL46" s="394"/>
      <c r="FM46" s="411"/>
      <c r="FN46" s="411"/>
      <c r="FO46" s="411"/>
      <c r="FP46" s="411"/>
      <c r="FQ46" s="411"/>
      <c r="FS46" s="411"/>
      <c r="FU46" s="411"/>
      <c r="FV46" s="411"/>
      <c r="FX46" s="411"/>
      <c r="FZ46" s="411"/>
      <c r="GA46" s="411"/>
      <c r="GB46" s="411"/>
      <c r="GC46" s="411"/>
      <c r="GD46" s="411"/>
      <c r="GE46" s="411"/>
      <c r="GF46" s="411"/>
      <c r="GG46" s="411"/>
      <c r="GH46" s="411"/>
      <c r="GI46" s="411"/>
      <c r="GJ46" s="411"/>
      <c r="GL46" s="411"/>
      <c r="GM46" s="411"/>
      <c r="GN46" s="411"/>
      <c r="GO46" s="411"/>
      <c r="GP46" s="411"/>
      <c r="GR46" s="411"/>
      <c r="GT46" s="411"/>
      <c r="GU46" s="411"/>
      <c r="GW46" s="411"/>
      <c r="GY46" s="411"/>
      <c r="GZ46" s="411"/>
      <c r="HA46" s="411"/>
      <c r="HB46" s="411"/>
      <c r="HC46" s="411"/>
      <c r="HD46" s="411"/>
      <c r="HE46" s="411"/>
      <c r="HF46" s="411"/>
      <c r="HG46" s="411"/>
      <c r="HH46" s="411"/>
      <c r="HI46" s="411"/>
      <c r="HK46" s="411"/>
      <c r="HL46" s="411"/>
      <c r="HM46" s="411"/>
      <c r="HN46" s="411"/>
      <c r="HO46" s="411"/>
      <c r="HQ46" s="411"/>
      <c r="HS46" s="411"/>
      <c r="HT46" s="411"/>
      <c r="HV46" s="411"/>
      <c r="HX46" s="411"/>
      <c r="HY46" s="411"/>
      <c r="HZ46" s="411"/>
      <c r="IA46" s="411"/>
      <c r="IB46" s="411"/>
      <c r="IC46" s="411"/>
      <c r="ID46" s="411"/>
      <c r="IE46" s="411"/>
      <c r="IF46" s="411"/>
      <c r="IG46" s="411"/>
      <c r="IH46" s="411"/>
      <c r="II46" s="394"/>
      <c r="IJ46" s="417"/>
      <c r="IK46" s="417"/>
      <c r="IL46" s="417"/>
      <c r="IM46" s="417"/>
      <c r="IN46" s="417"/>
      <c r="IO46" s="418"/>
      <c r="IP46" s="417"/>
      <c r="IQ46" s="418"/>
      <c r="IR46" s="417"/>
      <c r="IS46" s="417"/>
      <c r="IT46" s="418"/>
      <c r="IU46" s="417"/>
      <c r="IV46" s="418"/>
      <c r="IW46" s="417"/>
      <c r="IX46" s="417"/>
      <c r="IY46" s="417"/>
      <c r="IZ46" s="417"/>
      <c r="JA46" s="417"/>
      <c r="JB46" s="417"/>
      <c r="JC46" s="417"/>
      <c r="JD46" s="417"/>
      <c r="JE46" s="417"/>
      <c r="JF46" s="417"/>
      <c r="JG46" s="417"/>
    </row>
    <row r="47" spans="1:267" x14ac:dyDescent="0.3">
      <c r="A47" s="752" t="s">
        <v>959</v>
      </c>
      <c r="B47" s="757" t="s">
        <v>168</v>
      </c>
      <c r="C47" s="757" t="s">
        <v>174</v>
      </c>
      <c r="D47" s="757" t="s">
        <v>168</v>
      </c>
      <c r="E47" s="757" t="s">
        <v>355</v>
      </c>
      <c r="F47" s="757" t="s">
        <v>168</v>
      </c>
      <c r="G47" s="757">
        <v>4.0830000000000002</v>
      </c>
      <c r="H47" s="757">
        <v>75</v>
      </c>
      <c r="I47" s="757">
        <v>306.2</v>
      </c>
      <c r="J47" s="757">
        <v>7</v>
      </c>
      <c r="K47" s="757">
        <v>14</v>
      </c>
      <c r="L47" s="757">
        <v>8</v>
      </c>
      <c r="M47" s="757">
        <v>220.09</v>
      </c>
      <c r="N47" s="757">
        <v>9.7000000000000003E-3</v>
      </c>
      <c r="O47" s="757">
        <v>14</v>
      </c>
      <c r="P47" s="757">
        <v>14</v>
      </c>
      <c r="Q47" s="757" t="s">
        <v>30</v>
      </c>
      <c r="S47" s="760">
        <v>732.48599999999999</v>
      </c>
      <c r="T47" s="760">
        <v>546.63499999999999</v>
      </c>
      <c r="U47" s="760">
        <v>377.18700000000001</v>
      </c>
      <c r="V47" s="760">
        <v>722.51599999999996</v>
      </c>
      <c r="W47" s="760">
        <v>532.01900000000001</v>
      </c>
      <c r="X47" s="409"/>
      <c r="Y47" s="775">
        <v>175.88800000000001</v>
      </c>
      <c r="Z47" s="776">
        <v>0.98</v>
      </c>
      <c r="AA47" s="777">
        <v>0.81499999999999995</v>
      </c>
      <c r="AB47" s="779">
        <v>0.71699999999999997</v>
      </c>
      <c r="AC47" s="779">
        <v>0.75700000000000001</v>
      </c>
      <c r="AD47" s="779">
        <v>1.093</v>
      </c>
      <c r="AE47" s="776">
        <v>0.98</v>
      </c>
      <c r="AF47" s="780">
        <v>30.7</v>
      </c>
      <c r="AG47" s="781">
        <v>45</v>
      </c>
      <c r="AH47" s="781">
        <v>37.950000000000003</v>
      </c>
      <c r="AI47" s="781">
        <v>45.86</v>
      </c>
      <c r="AJ47" s="781">
        <v>37.950000000000003</v>
      </c>
      <c r="AK47" s="781">
        <v>29.18</v>
      </c>
      <c r="AL47" s="781">
        <v>27.55</v>
      </c>
      <c r="AM47" s="781">
        <v>34.79</v>
      </c>
      <c r="AN47" s="781">
        <v>36.369999999999997</v>
      </c>
      <c r="AO47" s="781">
        <v>26.06</v>
      </c>
      <c r="AP47" s="781">
        <v>23.72</v>
      </c>
      <c r="AQ47" s="782">
        <v>214.22300000000001</v>
      </c>
      <c r="AR47" s="411"/>
      <c r="AS47" s="411"/>
      <c r="AT47" s="411"/>
      <c r="AU47" s="411"/>
      <c r="AV47" s="411"/>
      <c r="AW47" s="394"/>
      <c r="AX47" s="775">
        <v>175.88800000000001</v>
      </c>
      <c r="AY47" s="776"/>
      <c r="AZ47" s="851">
        <v>0.81499999999999995</v>
      </c>
      <c r="BA47" s="853">
        <v>0.71699999999999997</v>
      </c>
      <c r="BB47" s="853">
        <v>0.75700000000000001</v>
      </c>
      <c r="BC47" s="853">
        <v>1.093</v>
      </c>
      <c r="BD47" s="776"/>
      <c r="BE47" s="808"/>
      <c r="BF47" s="776"/>
      <c r="BG47" s="851">
        <v>0.81499999999999995</v>
      </c>
      <c r="BH47" s="853">
        <v>0.71699999999999997</v>
      </c>
      <c r="BI47" s="853">
        <v>0.75700000000000001</v>
      </c>
      <c r="BJ47" s="853">
        <v>1.093</v>
      </c>
      <c r="BK47" s="776"/>
      <c r="BL47" s="834"/>
      <c r="BM47" s="776">
        <v>0.98</v>
      </c>
      <c r="BN47" s="777">
        <v>0.81499999999999995</v>
      </c>
      <c r="BO47" s="779">
        <v>0.71699999999999997</v>
      </c>
      <c r="BP47" s="779">
        <v>0.75700000000000001</v>
      </c>
      <c r="BQ47" s="779">
        <v>1.093</v>
      </c>
      <c r="BR47" s="776">
        <v>0.98</v>
      </c>
      <c r="BS47" s="843"/>
      <c r="BT47" s="776">
        <v>0.98</v>
      </c>
      <c r="BU47" s="777">
        <v>0.81499999999999995</v>
      </c>
      <c r="BV47" s="779">
        <v>0.71699999999999997</v>
      </c>
      <c r="BW47" s="779">
        <v>0.75700000000000001</v>
      </c>
      <c r="BX47" s="779">
        <v>1.093</v>
      </c>
      <c r="BY47" s="776">
        <v>0.98</v>
      </c>
      <c r="BZ47" s="774"/>
      <c r="CA47" s="776">
        <v>0.98</v>
      </c>
      <c r="CB47" s="777">
        <v>0.81499999999999995</v>
      </c>
      <c r="CC47" s="779">
        <v>0.71699999999999997</v>
      </c>
      <c r="CD47" s="779">
        <v>0.75700000000000001</v>
      </c>
      <c r="CE47" s="779">
        <v>1.093</v>
      </c>
      <c r="CF47" s="776">
        <v>0.98</v>
      </c>
      <c r="CG47" s="834"/>
      <c r="CH47" s="776">
        <v>0.98</v>
      </c>
      <c r="CI47" s="777">
        <v>0.81499999999999995</v>
      </c>
      <c r="CJ47" s="779">
        <v>0.71699999999999997</v>
      </c>
      <c r="CK47" s="779">
        <v>0.75700000000000001</v>
      </c>
      <c r="CL47" s="779">
        <v>1.093</v>
      </c>
      <c r="CM47" s="776">
        <v>0.98</v>
      </c>
      <c r="CN47" s="834"/>
      <c r="CO47" s="776">
        <v>0.98</v>
      </c>
      <c r="CP47" s="777">
        <v>0.81499999999999995</v>
      </c>
      <c r="CQ47" s="779">
        <v>0.71699999999999997</v>
      </c>
      <c r="CR47" s="779">
        <v>0.75700000000000001</v>
      </c>
      <c r="CS47" s="779">
        <v>1.093</v>
      </c>
      <c r="CT47" s="776">
        <v>0.98</v>
      </c>
      <c r="CU47" s="418"/>
      <c r="CV47" s="776">
        <v>0.98</v>
      </c>
      <c r="CW47" s="777">
        <v>0.81499999999999995</v>
      </c>
      <c r="CX47" s="779">
        <v>0.71699999999999997</v>
      </c>
      <c r="CY47" s="779">
        <v>0.75700000000000001</v>
      </c>
      <c r="CZ47" s="779">
        <v>1.093</v>
      </c>
      <c r="DA47" s="776">
        <v>0.98</v>
      </c>
      <c r="DB47" s="418"/>
      <c r="DC47" s="417"/>
      <c r="DD47" s="417"/>
      <c r="DE47" s="417"/>
      <c r="DF47" s="417"/>
      <c r="DG47" s="417"/>
      <c r="DH47" s="417"/>
      <c r="DI47" s="417"/>
      <c r="DJ47" s="417"/>
      <c r="DK47" s="417"/>
      <c r="DL47" s="417"/>
      <c r="DM47" s="417"/>
      <c r="DN47" s="394"/>
      <c r="DO47" s="413"/>
      <c r="DP47" s="413"/>
      <c r="DQ47" s="413"/>
      <c r="DR47" s="413"/>
      <c r="DS47" s="413"/>
      <c r="DT47" s="414"/>
      <c r="DU47" s="413"/>
      <c r="DV47" s="414"/>
      <c r="DW47" s="413"/>
      <c r="DX47" s="413"/>
      <c r="DY47" s="414"/>
      <c r="DZ47" s="425"/>
      <c r="EA47" s="414"/>
      <c r="EB47" s="413"/>
      <c r="EC47" s="413"/>
      <c r="ED47" s="413"/>
      <c r="EE47" s="413"/>
      <c r="EF47" s="413"/>
      <c r="EG47" s="413"/>
      <c r="EH47" s="413"/>
      <c r="EI47" s="413"/>
      <c r="EJ47" s="413"/>
      <c r="EK47" s="413"/>
      <c r="EL47" s="413"/>
      <c r="EM47" s="394"/>
      <c r="EN47" s="411"/>
      <c r="EO47" s="411"/>
      <c r="EP47" s="411"/>
      <c r="EQ47" s="411"/>
      <c r="ER47" s="411"/>
      <c r="ES47" s="394"/>
      <c r="ET47" s="411"/>
      <c r="EU47" s="394"/>
      <c r="EV47" s="413"/>
      <c r="EW47" s="413"/>
      <c r="EX47" s="414"/>
      <c r="EY47" s="424"/>
      <c r="EZ47" s="414"/>
      <c r="FA47" s="413"/>
      <c r="FB47" s="413"/>
      <c r="FC47" s="413"/>
      <c r="FD47" s="413"/>
      <c r="FE47" s="413"/>
      <c r="FF47" s="413"/>
      <c r="FG47" s="413"/>
      <c r="FH47" s="413"/>
      <c r="FI47" s="413"/>
      <c r="FJ47" s="413"/>
      <c r="FK47" s="413"/>
      <c r="FL47" s="394"/>
      <c r="FM47" s="411"/>
      <c r="FN47" s="411"/>
      <c r="FO47" s="411"/>
      <c r="FP47" s="411"/>
      <c r="FQ47" s="411"/>
      <c r="FR47" s="394"/>
      <c r="FS47" s="411"/>
      <c r="FT47" s="394"/>
      <c r="FU47" s="411"/>
      <c r="FV47" s="411"/>
      <c r="FW47" s="394"/>
      <c r="FX47" s="411"/>
      <c r="FY47" s="394"/>
      <c r="FZ47" s="411"/>
      <c r="GA47" s="411"/>
      <c r="GB47" s="411"/>
      <c r="GC47" s="411"/>
      <c r="GD47" s="411"/>
      <c r="GE47" s="411"/>
      <c r="GF47" s="411"/>
      <c r="GG47" s="411"/>
      <c r="GH47" s="411"/>
      <c r="GI47" s="411"/>
      <c r="GJ47" s="411"/>
      <c r="GK47" s="394"/>
      <c r="GL47" s="411"/>
      <c r="GM47" s="411"/>
      <c r="GN47" s="411"/>
      <c r="GO47" s="411"/>
      <c r="GP47" s="411"/>
      <c r="GQ47" s="394"/>
      <c r="GR47" s="411"/>
      <c r="GS47" s="394"/>
      <c r="GT47" s="411"/>
      <c r="GU47" s="411"/>
      <c r="GV47" s="394"/>
      <c r="GW47" s="411"/>
      <c r="GX47" s="394"/>
      <c r="GY47" s="411"/>
      <c r="GZ47" s="411"/>
      <c r="HA47" s="411"/>
      <c r="HB47" s="411"/>
      <c r="HC47" s="411"/>
      <c r="HD47" s="411"/>
      <c r="HE47" s="411"/>
      <c r="HF47" s="411"/>
      <c r="HG47" s="411"/>
      <c r="HH47" s="411"/>
      <c r="HI47" s="411"/>
      <c r="HJ47" s="394"/>
      <c r="HK47" s="411"/>
      <c r="HL47" s="411"/>
      <c r="HM47" s="411"/>
      <c r="HN47" s="411"/>
      <c r="HO47" s="411"/>
      <c r="HP47" s="394"/>
      <c r="HQ47" s="411"/>
      <c r="HR47" s="394"/>
      <c r="HS47" s="411"/>
      <c r="HT47" s="411"/>
      <c r="HU47" s="394"/>
      <c r="HV47" s="411"/>
      <c r="HW47" s="394"/>
      <c r="HX47" s="411"/>
      <c r="HY47" s="411"/>
      <c r="HZ47" s="411"/>
      <c r="IA47" s="411"/>
      <c r="IB47" s="411"/>
      <c r="IC47" s="411"/>
      <c r="ID47" s="411"/>
      <c r="IE47" s="411"/>
      <c r="IF47" s="411"/>
      <c r="IG47" s="411"/>
      <c r="IH47" s="411"/>
      <c r="II47" s="394"/>
      <c r="IJ47" s="417"/>
      <c r="IK47" s="417"/>
      <c r="IL47" s="417"/>
      <c r="IM47" s="417"/>
      <c r="IN47" s="417"/>
      <c r="IO47" s="418"/>
      <c r="IP47" s="417"/>
      <c r="IQ47" s="418"/>
      <c r="IR47" s="417"/>
      <c r="IS47" s="417"/>
      <c r="IT47" s="418"/>
      <c r="IU47" s="417"/>
      <c r="IV47" s="418"/>
      <c r="IW47" s="417"/>
      <c r="IX47" s="417"/>
      <c r="IY47" s="417"/>
      <c r="IZ47" s="417"/>
      <c r="JA47" s="417"/>
      <c r="JB47" s="417"/>
      <c r="JC47" s="417"/>
      <c r="JD47" s="417"/>
      <c r="JE47" s="417"/>
      <c r="JF47" s="417"/>
      <c r="JG47" s="417"/>
    </row>
    <row r="48" spans="1:267" x14ac:dyDescent="0.3">
      <c r="A48" s="753" t="s">
        <v>960</v>
      </c>
      <c r="B48" s="757" t="s">
        <v>355</v>
      </c>
      <c r="C48" s="757" t="s">
        <v>905</v>
      </c>
      <c r="D48" s="757" t="s">
        <v>168</v>
      </c>
      <c r="E48" s="757" t="s">
        <v>351</v>
      </c>
      <c r="F48" s="757" t="s">
        <v>353</v>
      </c>
      <c r="G48" s="757">
        <v>4.7359999999999998</v>
      </c>
      <c r="H48" s="757">
        <v>67</v>
      </c>
      <c r="I48" s="757">
        <v>317.3</v>
      </c>
      <c r="J48" s="757">
        <v>18</v>
      </c>
      <c r="K48" s="757">
        <v>10</v>
      </c>
      <c r="L48" s="757">
        <v>6</v>
      </c>
      <c r="M48" s="757">
        <v>308.14999999999998</v>
      </c>
      <c r="N48" s="757">
        <v>7.43E-3</v>
      </c>
      <c r="O48" s="757">
        <v>8</v>
      </c>
      <c r="P48" s="757">
        <v>10</v>
      </c>
      <c r="Q48" s="757" t="s">
        <v>30</v>
      </c>
      <c r="S48" s="760">
        <v>121.5</v>
      </c>
      <c r="T48" s="760">
        <v>568</v>
      </c>
      <c r="U48" s="760">
        <v>204.29900000000001</v>
      </c>
      <c r="V48" s="760">
        <v>717.5</v>
      </c>
      <c r="W48" s="760">
        <v>289.7</v>
      </c>
      <c r="X48" s="407"/>
      <c r="Y48" s="775">
        <v>69.5</v>
      </c>
      <c r="Z48" s="776"/>
      <c r="AA48" s="781">
        <v>0.90700000000000003</v>
      </c>
      <c r="AB48" s="783">
        <v>0.77100000000000002</v>
      </c>
      <c r="AC48" s="775">
        <v>0.77100000000000002</v>
      </c>
      <c r="AD48" s="775">
        <v>1.081</v>
      </c>
      <c r="AE48" s="776"/>
      <c r="AF48" s="780">
        <v>27.56</v>
      </c>
      <c r="AG48" s="781">
        <v>112.08</v>
      </c>
      <c r="AH48" s="781">
        <v>16.54</v>
      </c>
      <c r="AI48" s="781">
        <v>18.37</v>
      </c>
      <c r="AJ48" s="781">
        <v>33.07</v>
      </c>
      <c r="AK48" s="781">
        <v>18.37</v>
      </c>
      <c r="AL48" s="781">
        <v>23.89</v>
      </c>
      <c r="AM48" s="781">
        <v>29.4</v>
      </c>
      <c r="AN48" s="781">
        <v>27.56</v>
      </c>
      <c r="AO48" s="781">
        <v>38.58</v>
      </c>
      <c r="AP48" s="781">
        <v>18.37</v>
      </c>
      <c r="AQ48" s="782">
        <v>141.785</v>
      </c>
      <c r="AR48" s="411"/>
      <c r="AS48" s="411"/>
      <c r="AT48" s="411"/>
      <c r="AU48" s="411"/>
      <c r="AV48" s="411"/>
      <c r="AX48" s="775">
        <v>69.5</v>
      </c>
      <c r="AY48" s="776"/>
      <c r="AZ48" s="861">
        <v>0.90700000000000003</v>
      </c>
      <c r="BA48" s="855">
        <v>0.77100000000000002</v>
      </c>
      <c r="BB48" s="856">
        <v>0.77100000000000002</v>
      </c>
      <c r="BC48" s="856">
        <v>1.081</v>
      </c>
      <c r="BD48" s="776"/>
      <c r="BE48" s="808"/>
      <c r="BF48" s="776"/>
      <c r="BG48" s="861">
        <v>0.90700000000000003</v>
      </c>
      <c r="BH48" s="855">
        <v>0.77100000000000002</v>
      </c>
      <c r="BI48" s="856">
        <v>0.77100000000000002</v>
      </c>
      <c r="BJ48" s="856">
        <v>1.081</v>
      </c>
      <c r="BK48" s="776"/>
      <c r="BL48" s="834"/>
      <c r="BM48" s="776"/>
      <c r="BN48" s="781">
        <v>0.90700000000000003</v>
      </c>
      <c r="BO48" s="783">
        <v>0.77100000000000002</v>
      </c>
      <c r="BP48" s="775">
        <v>0.77100000000000002</v>
      </c>
      <c r="BQ48" s="775">
        <v>1.081</v>
      </c>
      <c r="BR48" s="776"/>
      <c r="BS48" s="842"/>
      <c r="BT48" s="776"/>
      <c r="BU48" s="781">
        <v>0.90700000000000003</v>
      </c>
      <c r="BV48" s="783">
        <v>0.77100000000000002</v>
      </c>
      <c r="BW48" s="775">
        <v>0.77100000000000002</v>
      </c>
      <c r="BX48" s="775">
        <v>1.081</v>
      </c>
      <c r="BY48" s="776"/>
      <c r="BZ48" s="774"/>
      <c r="CA48" s="776"/>
      <c r="CB48" s="781">
        <v>0.90700000000000003</v>
      </c>
      <c r="CC48" s="783">
        <v>0.77100000000000002</v>
      </c>
      <c r="CD48" s="775">
        <v>0.77100000000000002</v>
      </c>
      <c r="CE48" s="775">
        <v>1.081</v>
      </c>
      <c r="CF48" s="776"/>
      <c r="CG48" s="834"/>
      <c r="CH48" s="776"/>
      <c r="CI48" s="781">
        <v>0.90700000000000003</v>
      </c>
      <c r="CJ48" s="783">
        <v>0.77100000000000002</v>
      </c>
      <c r="CK48" s="775">
        <v>0.77100000000000002</v>
      </c>
      <c r="CL48" s="775">
        <v>1.081</v>
      </c>
      <c r="CM48" s="776"/>
      <c r="CN48" s="834"/>
      <c r="CO48" s="776"/>
      <c r="CP48" s="781">
        <v>0.90700000000000003</v>
      </c>
      <c r="CQ48" s="783">
        <v>0.77100000000000002</v>
      </c>
      <c r="CR48" s="775">
        <v>0.77100000000000002</v>
      </c>
      <c r="CS48" s="775">
        <v>1.081</v>
      </c>
      <c r="CT48" s="776"/>
      <c r="CU48" s="423"/>
      <c r="CV48" s="776"/>
      <c r="CW48" s="781">
        <v>0.90700000000000003</v>
      </c>
      <c r="CX48" s="783">
        <v>0.77100000000000002</v>
      </c>
      <c r="CY48" s="775">
        <v>0.77100000000000002</v>
      </c>
      <c r="CZ48" s="775">
        <v>1.081</v>
      </c>
      <c r="DA48" s="776"/>
      <c r="DB48" s="418"/>
      <c r="DC48" s="417"/>
      <c r="DD48" s="417"/>
      <c r="DE48" s="417"/>
      <c r="DF48" s="417"/>
      <c r="DG48" s="417"/>
      <c r="DH48" s="417"/>
      <c r="DI48" s="417"/>
      <c r="DJ48" s="417"/>
      <c r="DK48" s="417"/>
      <c r="DL48" s="417"/>
      <c r="DM48" s="417"/>
      <c r="DN48" s="394"/>
      <c r="DO48" s="411"/>
      <c r="DP48" s="411"/>
      <c r="DQ48" s="411"/>
      <c r="DR48" s="411"/>
      <c r="DS48" s="411"/>
      <c r="DU48" s="411"/>
      <c r="DW48" s="411"/>
      <c r="DX48" s="411"/>
      <c r="DZ48" s="411"/>
      <c r="EB48" s="411"/>
      <c r="EC48" s="411"/>
      <c r="ED48" s="411"/>
      <c r="EE48" s="411"/>
      <c r="EF48" s="411"/>
      <c r="EG48" s="411"/>
      <c r="EH48" s="411"/>
      <c r="EI48" s="411"/>
      <c r="EJ48" s="411"/>
      <c r="EK48" s="411"/>
      <c r="EL48" s="411"/>
      <c r="EM48" s="394"/>
      <c r="EN48" s="411"/>
      <c r="EO48" s="411"/>
      <c r="EP48" s="411"/>
      <c r="EQ48" s="411"/>
      <c r="ER48" s="411"/>
      <c r="ES48" s="394"/>
      <c r="ET48" s="411"/>
      <c r="EU48" s="394"/>
      <c r="EV48" s="417"/>
      <c r="EW48" s="417"/>
      <c r="EX48" s="418"/>
      <c r="EY48" s="417"/>
      <c r="EZ48" s="418"/>
      <c r="FA48" s="417"/>
      <c r="FB48" s="417"/>
      <c r="FC48" s="417"/>
      <c r="FD48" s="417"/>
      <c r="FE48" s="417"/>
      <c r="FF48" s="417"/>
      <c r="FG48" s="417"/>
      <c r="FH48" s="417"/>
      <c r="FI48" s="417"/>
      <c r="FJ48" s="417"/>
      <c r="FK48" s="417"/>
      <c r="FL48" s="394"/>
      <c r="FM48" s="411"/>
      <c r="FN48" s="411"/>
      <c r="FO48" s="411"/>
      <c r="FP48" s="411"/>
      <c r="FQ48" s="411"/>
      <c r="FS48" s="411"/>
      <c r="FT48" s="394"/>
      <c r="FU48" s="411"/>
      <c r="FV48" s="411"/>
      <c r="FW48" s="394"/>
      <c r="FX48" s="411"/>
      <c r="FY48" s="394"/>
      <c r="FZ48" s="411"/>
      <c r="GA48" s="411"/>
      <c r="GB48" s="411"/>
      <c r="GC48" s="411"/>
      <c r="GD48" s="411"/>
      <c r="GE48" s="411"/>
      <c r="GF48" s="411"/>
      <c r="GG48" s="411"/>
      <c r="GH48" s="411"/>
      <c r="GI48" s="411"/>
      <c r="GJ48" s="411"/>
      <c r="GK48" s="394"/>
      <c r="GL48" s="411"/>
      <c r="GM48" s="411"/>
      <c r="GN48" s="411"/>
      <c r="GO48" s="411"/>
      <c r="GP48" s="411"/>
      <c r="GQ48" s="394"/>
      <c r="GR48" s="411"/>
      <c r="GS48" s="394"/>
      <c r="GT48" s="411"/>
      <c r="GU48" s="411"/>
      <c r="GV48" s="394"/>
      <c r="GW48" s="411"/>
      <c r="GX48" s="394"/>
      <c r="GY48" s="411"/>
      <c r="GZ48" s="411"/>
      <c r="HA48" s="411"/>
      <c r="HB48" s="411"/>
      <c r="HC48" s="411"/>
      <c r="HD48" s="411"/>
      <c r="HE48" s="411"/>
      <c r="HF48" s="411"/>
      <c r="HG48" s="411"/>
      <c r="HH48" s="411"/>
      <c r="HI48" s="411"/>
      <c r="HJ48" s="394"/>
      <c r="HK48" s="411"/>
      <c r="HL48" s="411"/>
      <c r="HM48" s="411"/>
      <c r="HN48" s="411"/>
      <c r="HO48" s="411"/>
      <c r="HP48" s="394"/>
      <c r="HQ48" s="411"/>
      <c r="HR48" s="394"/>
      <c r="HS48" s="411"/>
      <c r="HT48" s="411"/>
      <c r="HU48" s="394"/>
      <c r="HV48" s="411"/>
      <c r="HW48" s="394"/>
      <c r="HX48" s="411"/>
      <c r="HY48" s="411"/>
      <c r="HZ48" s="411"/>
      <c r="IA48" s="411"/>
      <c r="IB48" s="411"/>
      <c r="IC48" s="411"/>
      <c r="ID48" s="411"/>
      <c r="IE48" s="411"/>
      <c r="IF48" s="411"/>
      <c r="IG48" s="411"/>
      <c r="IH48" s="411"/>
      <c r="II48" s="394"/>
      <c r="IJ48" s="417"/>
      <c r="IK48" s="417"/>
      <c r="IL48" s="417"/>
      <c r="IM48" s="417"/>
      <c r="IN48" s="417"/>
      <c r="IO48" s="423"/>
      <c r="IP48" s="417"/>
      <c r="IQ48" s="418"/>
      <c r="IR48" s="417"/>
      <c r="IS48" s="417"/>
      <c r="IT48" s="418"/>
      <c r="IU48" s="417"/>
      <c r="IV48" s="418"/>
      <c r="IW48" s="417"/>
      <c r="IX48" s="417"/>
      <c r="IY48" s="417"/>
      <c r="IZ48" s="417"/>
      <c r="JA48" s="417"/>
      <c r="JB48" s="417"/>
      <c r="JC48" s="417"/>
      <c r="JD48" s="417"/>
      <c r="JE48" s="417"/>
      <c r="JF48" s="417"/>
      <c r="JG48" s="417"/>
    </row>
    <row r="49" spans="1:267" x14ac:dyDescent="0.3">
      <c r="A49" s="752" t="s">
        <v>961</v>
      </c>
      <c r="B49" s="757" t="s">
        <v>355</v>
      </c>
      <c r="C49" s="757" t="s">
        <v>30</v>
      </c>
      <c r="D49" s="757" t="s">
        <v>162</v>
      </c>
      <c r="E49" s="757" t="s">
        <v>351</v>
      </c>
      <c r="F49" s="757" t="s">
        <v>168</v>
      </c>
      <c r="G49" s="757">
        <v>5.4119999999999999</v>
      </c>
      <c r="H49" s="757">
        <v>57</v>
      </c>
      <c r="I49" s="757">
        <v>308.5</v>
      </c>
      <c r="J49" s="757">
        <v>16</v>
      </c>
      <c r="K49" s="757">
        <v>11</v>
      </c>
      <c r="L49" s="757">
        <v>9</v>
      </c>
      <c r="M49" s="757">
        <v>241.92</v>
      </c>
      <c r="N49" s="757">
        <v>1.2500000000000001E-2</v>
      </c>
      <c r="O49" s="757">
        <v>14</v>
      </c>
      <c r="P49" s="757">
        <v>25.5</v>
      </c>
      <c r="Q49" s="757" t="s">
        <v>351</v>
      </c>
      <c r="S49" s="764">
        <v>126.91200000000001</v>
      </c>
      <c r="T49" s="760">
        <v>406.44499999999999</v>
      </c>
      <c r="U49" s="760">
        <v>716.43499999999995</v>
      </c>
      <c r="V49" s="760">
        <v>609.56600000000003</v>
      </c>
      <c r="W49" s="760">
        <v>240.72800000000001</v>
      </c>
      <c r="X49" s="409"/>
      <c r="Y49" s="775">
        <v>-16.698</v>
      </c>
      <c r="Z49" s="776">
        <v>0.97</v>
      </c>
      <c r="AA49" s="777">
        <v>0.92100000000000004</v>
      </c>
      <c r="AB49" s="779">
        <v>0.70599999999999996</v>
      </c>
      <c r="AC49" s="779">
        <v>0.75</v>
      </c>
      <c r="AD49" s="779">
        <v>1.1299999999999999</v>
      </c>
      <c r="AE49" s="776">
        <v>0.97</v>
      </c>
      <c r="AF49" s="780">
        <v>30</v>
      </c>
      <c r="AG49" s="781">
        <v>60</v>
      </c>
      <c r="AH49" s="781">
        <v>35</v>
      </c>
      <c r="AI49" s="781">
        <v>28.24</v>
      </c>
      <c r="AJ49" s="781">
        <v>28.24</v>
      </c>
      <c r="AK49" s="781">
        <v>33.53</v>
      </c>
      <c r="AL49" s="781">
        <v>38.83</v>
      </c>
      <c r="AM49" s="781">
        <v>33.53</v>
      </c>
      <c r="AN49" s="781">
        <v>37.5</v>
      </c>
      <c r="AO49" s="781">
        <v>38</v>
      </c>
      <c r="AP49" s="781">
        <v>20</v>
      </c>
      <c r="AQ49" s="782">
        <v>148.328</v>
      </c>
      <c r="AR49" s="411"/>
      <c r="AS49" s="411"/>
      <c r="AT49" s="411"/>
      <c r="AU49" s="411"/>
      <c r="AV49" s="411"/>
      <c r="AW49" s="412"/>
      <c r="AX49" s="775">
        <v>-16.698</v>
      </c>
      <c r="AY49" s="776"/>
      <c r="AZ49" s="851">
        <v>0.92100000000000004</v>
      </c>
      <c r="BA49" s="853">
        <v>0.70599999999999996</v>
      </c>
      <c r="BB49" s="853">
        <v>0.75</v>
      </c>
      <c r="BC49" s="853">
        <v>1.1299999999999999</v>
      </c>
      <c r="BD49" s="776"/>
      <c r="BE49" s="808"/>
      <c r="BF49" s="776"/>
      <c r="BG49" s="851">
        <v>0.92100000000000004</v>
      </c>
      <c r="BH49" s="853">
        <v>0.70599999999999996</v>
      </c>
      <c r="BI49" s="853">
        <v>0.75</v>
      </c>
      <c r="BJ49" s="853">
        <v>1.1299999999999999</v>
      </c>
      <c r="BK49" s="776"/>
      <c r="BL49" s="834"/>
      <c r="BM49" s="776">
        <v>0.97</v>
      </c>
      <c r="BN49" s="777">
        <v>0.92100000000000004</v>
      </c>
      <c r="BO49" s="779">
        <v>0.70599999999999996</v>
      </c>
      <c r="BP49" s="779">
        <v>0.75</v>
      </c>
      <c r="BQ49" s="779">
        <v>1.1299999999999999</v>
      </c>
      <c r="BR49" s="776">
        <v>0.97</v>
      </c>
      <c r="BS49" s="842"/>
      <c r="BT49" s="776">
        <v>0.97</v>
      </c>
      <c r="BU49" s="777">
        <v>0.92100000000000004</v>
      </c>
      <c r="BV49" s="779">
        <v>0.70599999999999996</v>
      </c>
      <c r="BW49" s="779">
        <v>0.75</v>
      </c>
      <c r="BX49" s="779">
        <v>1.1299999999999999</v>
      </c>
      <c r="BY49" s="776">
        <v>0.97</v>
      </c>
      <c r="BZ49" s="774"/>
      <c r="CA49" s="776">
        <v>0.97</v>
      </c>
      <c r="CB49" s="777">
        <v>0.92100000000000004</v>
      </c>
      <c r="CC49" s="779">
        <v>0.70599999999999996</v>
      </c>
      <c r="CD49" s="779">
        <v>0.75</v>
      </c>
      <c r="CE49" s="779">
        <v>1.1299999999999999</v>
      </c>
      <c r="CF49" s="776">
        <v>0.97</v>
      </c>
      <c r="CG49" s="834"/>
      <c r="CH49" s="776">
        <v>0.97</v>
      </c>
      <c r="CI49" s="777">
        <v>0.92100000000000004</v>
      </c>
      <c r="CJ49" s="779">
        <v>0.70599999999999996</v>
      </c>
      <c r="CK49" s="779">
        <v>0.75</v>
      </c>
      <c r="CL49" s="779">
        <v>1.1299999999999999</v>
      </c>
      <c r="CM49" s="776">
        <v>0.97</v>
      </c>
      <c r="CN49" s="834"/>
      <c r="CO49" s="776">
        <v>0.97</v>
      </c>
      <c r="CP49" s="777">
        <v>0.92100000000000004</v>
      </c>
      <c r="CQ49" s="779">
        <v>0.70599999999999996</v>
      </c>
      <c r="CR49" s="779">
        <v>0.75</v>
      </c>
      <c r="CS49" s="779">
        <v>1.1299999999999999</v>
      </c>
      <c r="CT49" s="776">
        <v>0.97</v>
      </c>
      <c r="CU49" s="418"/>
      <c r="CV49" s="776">
        <v>0.97</v>
      </c>
      <c r="CW49" s="777">
        <v>0.92100000000000004</v>
      </c>
      <c r="CX49" s="779">
        <v>0.70599999999999996</v>
      </c>
      <c r="CY49" s="779">
        <v>0.75</v>
      </c>
      <c r="CZ49" s="779">
        <v>1.1299999999999999</v>
      </c>
      <c r="DA49" s="776">
        <v>0.97</v>
      </c>
      <c r="DB49" s="418"/>
      <c r="DC49" s="417"/>
      <c r="DD49" s="417"/>
      <c r="DE49" s="417"/>
      <c r="DF49" s="417"/>
      <c r="DG49" s="417"/>
      <c r="DH49" s="417"/>
      <c r="DI49" s="417"/>
      <c r="DJ49" s="417"/>
      <c r="DK49" s="417"/>
      <c r="DL49" s="417"/>
      <c r="DM49" s="417"/>
      <c r="DN49" s="394"/>
      <c r="DO49" s="411"/>
      <c r="DP49" s="411"/>
      <c r="DQ49" s="411"/>
      <c r="DR49" s="411"/>
      <c r="DS49" s="411"/>
      <c r="DU49" s="411"/>
      <c r="DW49" s="411"/>
      <c r="DX49" s="411"/>
      <c r="DZ49" s="411"/>
      <c r="EB49" s="411"/>
      <c r="EC49" s="411"/>
      <c r="ED49" s="411"/>
      <c r="EE49" s="411"/>
      <c r="EF49" s="411"/>
      <c r="EG49" s="411"/>
      <c r="EH49" s="411"/>
      <c r="EI49" s="411"/>
      <c r="EJ49" s="411"/>
      <c r="EK49" s="411"/>
      <c r="EL49" s="411"/>
      <c r="EM49" s="394"/>
      <c r="EN49" s="411"/>
      <c r="EO49" s="411"/>
      <c r="EP49" s="411"/>
      <c r="EQ49" s="411"/>
      <c r="ER49" s="411"/>
      <c r="ES49" s="394"/>
      <c r="ET49" s="411"/>
      <c r="EU49" s="394"/>
      <c r="EV49" s="417"/>
      <c r="EW49" s="417"/>
      <c r="EX49" s="418"/>
      <c r="EY49" s="417"/>
      <c r="EZ49" s="418"/>
      <c r="FA49" s="417"/>
      <c r="FB49" s="417"/>
      <c r="FC49" s="417"/>
      <c r="FD49" s="417"/>
      <c r="FE49" s="417"/>
      <c r="FF49" s="417"/>
      <c r="FG49" s="417"/>
      <c r="FH49" s="417"/>
      <c r="FI49" s="417"/>
      <c r="FJ49" s="417"/>
      <c r="FK49" s="417"/>
      <c r="FL49" s="394"/>
      <c r="FM49" s="411"/>
      <c r="FN49" s="411"/>
      <c r="FO49" s="411"/>
      <c r="FP49" s="411"/>
      <c r="FQ49" s="411"/>
      <c r="FS49" s="411"/>
      <c r="FU49" s="411"/>
      <c r="FV49" s="411"/>
      <c r="FX49" s="411"/>
      <c r="FZ49" s="411"/>
      <c r="GA49" s="411"/>
      <c r="GB49" s="411"/>
      <c r="GC49" s="411"/>
      <c r="GD49" s="411"/>
      <c r="GE49" s="411"/>
      <c r="GF49" s="411"/>
      <c r="GG49" s="411"/>
      <c r="GH49" s="411"/>
      <c r="GI49" s="411"/>
      <c r="GJ49" s="411"/>
      <c r="GL49" s="411"/>
      <c r="GM49" s="411"/>
      <c r="GN49" s="411"/>
      <c r="GO49" s="411"/>
      <c r="GP49" s="411"/>
      <c r="GR49" s="411"/>
      <c r="GT49" s="411"/>
      <c r="GU49" s="411"/>
      <c r="GW49" s="411"/>
      <c r="GY49" s="411"/>
      <c r="GZ49" s="411"/>
      <c r="HA49" s="411"/>
      <c r="HB49" s="411"/>
      <c r="HC49" s="411"/>
      <c r="HD49" s="411"/>
      <c r="HE49" s="411"/>
      <c r="HF49" s="411"/>
      <c r="HG49" s="411"/>
      <c r="HH49" s="411"/>
      <c r="HI49" s="411"/>
      <c r="HK49" s="411"/>
      <c r="HL49" s="411"/>
      <c r="HM49" s="411"/>
      <c r="HN49" s="411"/>
      <c r="HO49" s="411"/>
      <c r="HQ49" s="411"/>
      <c r="HS49" s="411"/>
      <c r="HT49" s="411"/>
      <c r="HV49" s="411"/>
      <c r="HX49" s="411"/>
      <c r="HY49" s="411"/>
      <c r="HZ49" s="411"/>
      <c r="IA49" s="411"/>
      <c r="IB49" s="411"/>
      <c r="IC49" s="411"/>
      <c r="ID49" s="411"/>
      <c r="IE49" s="411"/>
      <c r="IF49" s="411"/>
      <c r="IG49" s="411"/>
      <c r="IH49" s="411"/>
      <c r="II49" s="394"/>
      <c r="IJ49" s="417"/>
      <c r="IK49" s="417"/>
      <c r="IL49" s="417"/>
      <c r="IM49" s="417"/>
      <c r="IN49" s="417"/>
      <c r="IO49" s="418"/>
      <c r="IP49" s="417"/>
      <c r="IQ49" s="418"/>
      <c r="IR49" s="417"/>
      <c r="IS49" s="417"/>
      <c r="IT49" s="418"/>
      <c r="IU49" s="413"/>
      <c r="IV49" s="418"/>
      <c r="IW49" s="417"/>
      <c r="IX49" s="417"/>
      <c r="IY49" s="417"/>
      <c r="IZ49" s="417"/>
      <c r="JA49" s="417"/>
      <c r="JB49" s="417"/>
      <c r="JC49" s="417"/>
      <c r="JD49" s="417"/>
      <c r="JE49" s="417"/>
      <c r="JF49" s="417"/>
      <c r="JG49" s="417"/>
    </row>
    <row r="50" spans="1:267" ht="12.75" customHeight="1" x14ac:dyDescent="0.3">
      <c r="A50" s="752" t="s">
        <v>962</v>
      </c>
      <c r="B50" s="757" t="s">
        <v>168</v>
      </c>
      <c r="C50" s="757" t="s">
        <v>30</v>
      </c>
      <c r="D50" s="757" t="s">
        <v>168</v>
      </c>
      <c r="E50" s="757" t="s">
        <v>168</v>
      </c>
      <c r="F50" s="757" t="s">
        <v>168</v>
      </c>
      <c r="G50" s="757">
        <v>5.6440000000000001</v>
      </c>
      <c r="H50" s="757">
        <v>55</v>
      </c>
      <c r="I50" s="757">
        <v>310.39999999999998</v>
      </c>
      <c r="J50" s="757">
        <v>14</v>
      </c>
      <c r="K50" s="757">
        <v>11</v>
      </c>
      <c r="L50" s="757">
        <v>14</v>
      </c>
      <c r="M50" s="757">
        <v>220.14</v>
      </c>
      <c r="N50" s="757">
        <v>1.755E-2</v>
      </c>
      <c r="O50" s="757">
        <v>17</v>
      </c>
      <c r="P50" s="757">
        <v>24</v>
      </c>
      <c r="Q50" s="757" t="s">
        <v>351</v>
      </c>
      <c r="S50" s="760">
        <v>559.59699999999998</v>
      </c>
      <c r="T50" s="760">
        <v>589.67100000000005</v>
      </c>
      <c r="U50" s="760">
        <v>650.95899999999995</v>
      </c>
      <c r="V50" s="760">
        <v>744.096</v>
      </c>
      <c r="W50" s="760">
        <v>464.49</v>
      </c>
      <c r="X50" s="409"/>
      <c r="Y50" s="775">
        <v>15.711</v>
      </c>
      <c r="Z50" s="776">
        <v>0.98</v>
      </c>
      <c r="AA50" s="796">
        <v>0.85</v>
      </c>
      <c r="AB50" s="779">
        <v>0.59799999999999998</v>
      </c>
      <c r="AC50" s="779">
        <v>0.71599999999999997</v>
      </c>
      <c r="AD50" s="779">
        <v>1.07</v>
      </c>
      <c r="AE50" s="776">
        <v>0.98</v>
      </c>
      <c r="AF50" s="780">
        <v>27.29</v>
      </c>
      <c r="AG50" s="781">
        <v>48.2</v>
      </c>
      <c r="AH50" s="781">
        <v>34.119999999999997</v>
      </c>
      <c r="AI50" s="781">
        <v>27.29</v>
      </c>
      <c r="AJ50" s="781">
        <v>34.119999999999997</v>
      </c>
      <c r="AK50" s="781">
        <v>18.420000000000002</v>
      </c>
      <c r="AL50" s="781">
        <v>34.119999999999997</v>
      </c>
      <c r="AM50" s="781">
        <v>39.229999999999997</v>
      </c>
      <c r="AN50" s="781">
        <v>43.53</v>
      </c>
      <c r="AO50" s="781">
        <v>27.29</v>
      </c>
      <c r="AP50" s="781">
        <v>18.760000000000002</v>
      </c>
      <c r="AQ50" s="782">
        <v>157.233</v>
      </c>
      <c r="AR50" s="411"/>
      <c r="AS50" s="411"/>
      <c r="AT50" s="411"/>
      <c r="AU50" s="411"/>
      <c r="AV50" s="411"/>
      <c r="AW50" s="412"/>
      <c r="AX50" s="775">
        <v>15.711</v>
      </c>
      <c r="AY50" s="776"/>
      <c r="AZ50" s="862">
        <v>0.85</v>
      </c>
      <c r="BA50" s="853">
        <v>0.59799999999999998</v>
      </c>
      <c r="BB50" s="853">
        <v>0.71599999999999997</v>
      </c>
      <c r="BC50" s="853">
        <v>1.07</v>
      </c>
      <c r="BD50" s="776"/>
      <c r="BE50" s="808"/>
      <c r="BF50" s="776"/>
      <c r="BG50" s="862">
        <v>0.85</v>
      </c>
      <c r="BH50" s="853">
        <v>0.59799999999999998</v>
      </c>
      <c r="BI50" s="853">
        <v>0.71599999999999997</v>
      </c>
      <c r="BJ50" s="853">
        <v>1.07</v>
      </c>
      <c r="BK50" s="776"/>
      <c r="BL50" s="834"/>
      <c r="BM50" s="776">
        <v>0.98</v>
      </c>
      <c r="BN50" s="796">
        <v>0.85</v>
      </c>
      <c r="BO50" s="779">
        <v>0.59799999999999998</v>
      </c>
      <c r="BP50" s="779">
        <v>0.71599999999999997</v>
      </c>
      <c r="BQ50" s="779">
        <v>1.07</v>
      </c>
      <c r="BR50" s="776">
        <v>0.98</v>
      </c>
      <c r="BS50" s="842"/>
      <c r="BT50" s="776">
        <v>0.98</v>
      </c>
      <c r="BU50" s="796">
        <v>0.85</v>
      </c>
      <c r="BV50" s="779">
        <v>0.59799999999999998</v>
      </c>
      <c r="BW50" s="779">
        <v>0.71599999999999997</v>
      </c>
      <c r="BX50" s="779">
        <v>1.07</v>
      </c>
      <c r="BY50" s="776">
        <v>0.98</v>
      </c>
      <c r="BZ50" s="774"/>
      <c r="CA50" s="776">
        <v>0.98</v>
      </c>
      <c r="CB50" s="796">
        <v>0.85</v>
      </c>
      <c r="CC50" s="779">
        <v>0.59799999999999998</v>
      </c>
      <c r="CD50" s="779">
        <v>0.71599999999999997</v>
      </c>
      <c r="CE50" s="779">
        <v>1.07</v>
      </c>
      <c r="CF50" s="776">
        <v>0.98</v>
      </c>
      <c r="CG50" s="834"/>
      <c r="CH50" s="776">
        <v>0.98</v>
      </c>
      <c r="CI50" s="796">
        <v>0.85</v>
      </c>
      <c r="CJ50" s="779">
        <v>0.59799999999999998</v>
      </c>
      <c r="CK50" s="779">
        <v>0.71599999999999997</v>
      </c>
      <c r="CL50" s="779">
        <v>1.07</v>
      </c>
      <c r="CM50" s="776">
        <v>0.98</v>
      </c>
      <c r="CN50" s="834"/>
      <c r="CO50" s="776">
        <v>0.98</v>
      </c>
      <c r="CP50" s="796">
        <v>0.85</v>
      </c>
      <c r="CQ50" s="779">
        <v>0.59799999999999998</v>
      </c>
      <c r="CR50" s="779">
        <v>0.71599999999999997</v>
      </c>
      <c r="CS50" s="779">
        <v>1.07</v>
      </c>
      <c r="CT50" s="776">
        <v>0.98</v>
      </c>
      <c r="CU50" s="394"/>
      <c r="CV50" s="776">
        <v>0.98</v>
      </c>
      <c r="CW50" s="796">
        <v>0.85</v>
      </c>
      <c r="CX50" s="779">
        <v>0.59799999999999998</v>
      </c>
      <c r="CY50" s="779">
        <v>0.71599999999999997</v>
      </c>
      <c r="CZ50" s="779">
        <v>1.07</v>
      </c>
      <c r="DA50" s="776">
        <v>0.98</v>
      </c>
      <c r="DB50" s="394"/>
      <c r="DC50" s="411"/>
      <c r="DD50" s="411"/>
      <c r="DE50" s="411"/>
      <c r="DF50" s="411"/>
      <c r="DG50" s="411"/>
      <c r="DH50" s="411"/>
      <c r="DI50" s="411"/>
      <c r="DJ50" s="411"/>
      <c r="DK50" s="411"/>
      <c r="DL50" s="411"/>
      <c r="DM50" s="411"/>
      <c r="DN50" s="394"/>
      <c r="DO50" s="411"/>
      <c r="DP50" s="411"/>
      <c r="DQ50" s="411"/>
      <c r="DR50" s="411"/>
      <c r="DS50" s="411"/>
      <c r="DU50" s="411"/>
      <c r="DW50" s="411"/>
      <c r="DX50" s="411"/>
      <c r="DZ50" s="411"/>
      <c r="EB50" s="411"/>
      <c r="EC50" s="411"/>
      <c r="ED50" s="411"/>
      <c r="EE50" s="411"/>
      <c r="EF50" s="411"/>
      <c r="EG50" s="411"/>
      <c r="EH50" s="411"/>
      <c r="EI50" s="411"/>
      <c r="EJ50" s="411"/>
      <c r="EK50" s="411"/>
      <c r="EL50" s="411"/>
      <c r="EM50" s="394"/>
      <c r="EN50" s="411"/>
      <c r="EO50" s="411"/>
      <c r="EP50" s="411"/>
      <c r="EQ50" s="411"/>
      <c r="ER50" s="411"/>
      <c r="ES50" s="394"/>
      <c r="ET50" s="411"/>
      <c r="EU50" s="394"/>
      <c r="EV50" s="411"/>
      <c r="EW50" s="411"/>
      <c r="EX50" s="394"/>
      <c r="EY50" s="411"/>
      <c r="EZ50" s="394"/>
      <c r="FA50" s="411"/>
      <c r="FB50" s="411"/>
      <c r="FC50" s="411"/>
      <c r="FD50" s="411"/>
      <c r="FE50" s="411"/>
      <c r="FF50" s="411"/>
      <c r="FG50" s="411"/>
      <c r="FH50" s="411"/>
      <c r="FI50" s="411"/>
      <c r="FJ50" s="411"/>
      <c r="FK50" s="411"/>
      <c r="FL50" s="394"/>
      <c r="FM50" s="411"/>
      <c r="FN50" s="411"/>
      <c r="FO50" s="411"/>
      <c r="FP50" s="411"/>
      <c r="FQ50" s="411"/>
      <c r="FR50" s="394"/>
      <c r="FS50" s="411"/>
      <c r="FT50" s="394"/>
      <c r="FU50" s="411"/>
      <c r="FV50" s="411"/>
      <c r="FW50" s="394"/>
      <c r="FX50" s="411"/>
      <c r="FY50" s="394"/>
      <c r="FZ50" s="411"/>
      <c r="GA50" s="411"/>
      <c r="GB50" s="411"/>
      <c r="GC50" s="411"/>
      <c r="GD50" s="411"/>
      <c r="GE50" s="411"/>
      <c r="GF50" s="411"/>
      <c r="GG50" s="411"/>
      <c r="GH50" s="411"/>
      <c r="GI50" s="411"/>
      <c r="GJ50" s="411"/>
      <c r="GK50" s="394"/>
      <c r="GL50" s="411"/>
      <c r="GM50" s="411"/>
      <c r="GN50" s="411"/>
      <c r="GO50" s="411"/>
      <c r="GP50" s="411"/>
      <c r="GQ50" s="394"/>
      <c r="GR50" s="411"/>
      <c r="GS50" s="394"/>
      <c r="GT50" s="411"/>
      <c r="GU50" s="411"/>
      <c r="GV50" s="394"/>
      <c r="GW50" s="411"/>
      <c r="GX50" s="394"/>
      <c r="GY50" s="411"/>
      <c r="GZ50" s="411"/>
      <c r="HA50" s="411"/>
      <c r="HB50" s="411"/>
      <c r="HC50" s="411"/>
      <c r="HD50" s="411"/>
      <c r="HE50" s="411"/>
      <c r="HF50" s="411"/>
      <c r="HG50" s="411"/>
      <c r="HH50" s="411"/>
      <c r="HI50" s="411"/>
      <c r="HJ50" s="394"/>
      <c r="HK50" s="411"/>
      <c r="HL50" s="411"/>
      <c r="HM50" s="411"/>
      <c r="HN50" s="411"/>
      <c r="HO50" s="411"/>
      <c r="HP50" s="394"/>
      <c r="HQ50" s="411"/>
      <c r="HR50" s="394"/>
      <c r="HS50" s="411"/>
      <c r="HT50" s="411"/>
      <c r="HU50" s="394"/>
      <c r="HV50" s="411"/>
      <c r="HW50" s="394"/>
      <c r="HX50" s="411"/>
      <c r="HY50" s="411"/>
      <c r="HZ50" s="411"/>
      <c r="IA50" s="411"/>
      <c r="IB50" s="411"/>
      <c r="IC50" s="411"/>
      <c r="ID50" s="411"/>
      <c r="IE50" s="411"/>
      <c r="IF50" s="411"/>
      <c r="IG50" s="411"/>
      <c r="IH50" s="411"/>
      <c r="II50" s="394"/>
      <c r="IJ50" s="411"/>
      <c r="IK50" s="411"/>
      <c r="IL50" s="411"/>
      <c r="IM50" s="411"/>
      <c r="IN50" s="411"/>
      <c r="IP50" s="411"/>
      <c r="IR50" s="411"/>
      <c r="IS50" s="411"/>
      <c r="IU50" s="411"/>
      <c r="IW50" s="411"/>
      <c r="IX50" s="411"/>
      <c r="IY50" s="411"/>
      <c r="IZ50" s="411"/>
      <c r="JA50" s="411"/>
      <c r="JB50" s="411"/>
      <c r="JC50" s="411"/>
      <c r="JD50" s="411"/>
      <c r="JE50" s="411"/>
      <c r="JF50" s="411"/>
      <c r="JG50" s="411"/>
    </row>
    <row r="51" spans="1:267" ht="12.75" customHeight="1" x14ac:dyDescent="0.3">
      <c r="A51" s="752" t="s">
        <v>963</v>
      </c>
      <c r="B51" s="810" t="s">
        <v>353</v>
      </c>
      <c r="C51" s="757" t="s">
        <v>174</v>
      </c>
      <c r="D51" s="757" t="s">
        <v>168</v>
      </c>
      <c r="E51" s="757" t="s">
        <v>168</v>
      </c>
      <c r="F51" s="810" t="s">
        <v>168</v>
      </c>
      <c r="G51" s="757">
        <v>3.1859999999999999</v>
      </c>
      <c r="H51" s="757">
        <v>80</v>
      </c>
      <c r="I51" s="757">
        <v>254.9</v>
      </c>
      <c r="J51" s="757">
        <v>5</v>
      </c>
      <c r="K51" s="757">
        <v>10</v>
      </c>
      <c r="L51" s="810">
        <v>9</v>
      </c>
      <c r="M51" s="757">
        <v>201.82</v>
      </c>
      <c r="N51" s="757">
        <v>9.6203699999999996E-3</v>
      </c>
      <c r="O51" s="810">
        <v>16</v>
      </c>
      <c r="P51" s="757">
        <v>12</v>
      </c>
      <c r="Q51" s="757" t="s">
        <v>30</v>
      </c>
      <c r="S51" s="764">
        <v>919.81399999999996</v>
      </c>
      <c r="T51" s="760">
        <v>412.822</v>
      </c>
      <c r="U51" s="760">
        <v>501.11399999999998</v>
      </c>
      <c r="V51" s="760">
        <v>477.43599999999998</v>
      </c>
      <c r="W51" s="760">
        <v>522.47299999999996</v>
      </c>
      <c r="X51" s="407"/>
      <c r="Y51" s="775">
        <v>189.739</v>
      </c>
      <c r="Z51" s="776">
        <v>0.98</v>
      </c>
      <c r="AA51" s="777">
        <v>0.86599999999999999</v>
      </c>
      <c r="AB51" s="779">
        <v>0.755</v>
      </c>
      <c r="AC51" s="779">
        <v>0.625</v>
      </c>
      <c r="AD51" s="779">
        <v>0.99399999999999999</v>
      </c>
      <c r="AE51" s="776">
        <v>0.98</v>
      </c>
      <c r="AF51" s="780">
        <v>26.81</v>
      </c>
      <c r="AG51" s="781">
        <v>33.5</v>
      </c>
      <c r="AH51" s="781">
        <v>28.73</v>
      </c>
      <c r="AI51" s="781">
        <v>30.64</v>
      </c>
      <c r="AJ51" s="781">
        <v>26.81</v>
      </c>
      <c r="AK51" s="781">
        <v>21.07</v>
      </c>
      <c r="AL51" s="781">
        <v>24.9</v>
      </c>
      <c r="AM51" s="781">
        <v>37</v>
      </c>
      <c r="AN51" s="781">
        <v>32.56</v>
      </c>
      <c r="AO51" s="781">
        <v>32.56</v>
      </c>
      <c r="AP51" s="781">
        <v>23.48</v>
      </c>
      <c r="AQ51" s="782">
        <v>206.01599999999999</v>
      </c>
      <c r="AR51" s="411"/>
      <c r="AS51" s="411"/>
      <c r="AT51" s="411"/>
      <c r="AU51" s="411"/>
      <c r="AV51" s="411"/>
      <c r="AW51" s="394"/>
      <c r="AX51" s="775">
        <v>189.739</v>
      </c>
      <c r="AY51" s="776"/>
      <c r="AZ51" s="851">
        <v>0.86599999999999999</v>
      </c>
      <c r="BA51" s="853">
        <v>0.755</v>
      </c>
      <c r="BB51" s="853">
        <v>0.625</v>
      </c>
      <c r="BC51" s="853">
        <v>0.99399999999999999</v>
      </c>
      <c r="BD51" s="776"/>
      <c r="BE51" s="808"/>
      <c r="BF51" s="776"/>
      <c r="BG51" s="851">
        <v>0.86599999999999999</v>
      </c>
      <c r="BH51" s="853">
        <v>0.755</v>
      </c>
      <c r="BI51" s="853">
        <v>0.625</v>
      </c>
      <c r="BJ51" s="853">
        <v>0.99399999999999999</v>
      </c>
      <c r="BK51" s="776"/>
      <c r="BL51" s="834"/>
      <c r="BM51" s="776">
        <v>0.98</v>
      </c>
      <c r="BN51" s="777">
        <v>0.86599999999999999</v>
      </c>
      <c r="BO51" s="779">
        <v>0.755</v>
      </c>
      <c r="BP51" s="779">
        <v>0.625</v>
      </c>
      <c r="BQ51" s="779">
        <v>0.99399999999999999</v>
      </c>
      <c r="BR51" s="776">
        <v>0.98</v>
      </c>
      <c r="BS51" s="842"/>
      <c r="BT51" s="776">
        <v>0.98</v>
      </c>
      <c r="BU51" s="777">
        <v>0.86599999999999999</v>
      </c>
      <c r="BV51" s="779">
        <v>0.755</v>
      </c>
      <c r="BW51" s="779">
        <v>0.625</v>
      </c>
      <c r="BX51" s="779">
        <v>0.99399999999999999</v>
      </c>
      <c r="BY51" s="776">
        <v>0.98</v>
      </c>
      <c r="BZ51" s="774"/>
      <c r="CA51" s="776">
        <v>0.98</v>
      </c>
      <c r="CB51" s="777">
        <v>0.86599999999999999</v>
      </c>
      <c r="CC51" s="779">
        <v>0.755</v>
      </c>
      <c r="CD51" s="779">
        <v>0.625</v>
      </c>
      <c r="CE51" s="779">
        <v>0.99399999999999999</v>
      </c>
      <c r="CF51" s="776">
        <v>0.98</v>
      </c>
      <c r="CG51" s="834"/>
      <c r="CH51" s="776">
        <v>0.98</v>
      </c>
      <c r="CI51" s="777">
        <v>0.86599999999999999</v>
      </c>
      <c r="CJ51" s="779">
        <v>0.755</v>
      </c>
      <c r="CK51" s="779">
        <v>0.625</v>
      </c>
      <c r="CL51" s="779">
        <v>0.99399999999999999</v>
      </c>
      <c r="CM51" s="776">
        <v>0.98</v>
      </c>
      <c r="CN51" s="834"/>
      <c r="CO51" s="776">
        <v>0.98</v>
      </c>
      <c r="CP51" s="777">
        <v>0.86599999999999999</v>
      </c>
      <c r="CQ51" s="779">
        <v>0.755</v>
      </c>
      <c r="CR51" s="779">
        <v>0.625</v>
      </c>
      <c r="CS51" s="779">
        <v>0.99399999999999999</v>
      </c>
      <c r="CT51" s="776">
        <v>0.98</v>
      </c>
      <c r="CU51" s="422"/>
      <c r="CV51" s="776">
        <v>0.98</v>
      </c>
      <c r="CW51" s="777">
        <v>0.86599999999999999</v>
      </c>
      <c r="CX51" s="779">
        <v>0.755</v>
      </c>
      <c r="CY51" s="779">
        <v>0.625</v>
      </c>
      <c r="CZ51" s="779">
        <v>0.99399999999999999</v>
      </c>
      <c r="DA51" s="776">
        <v>0.98</v>
      </c>
      <c r="DB51" s="414"/>
      <c r="DC51" s="413"/>
      <c r="DD51" s="413"/>
      <c r="DE51" s="413"/>
      <c r="DF51" s="413"/>
      <c r="DG51" s="413"/>
      <c r="DH51" s="413"/>
      <c r="DI51" s="413"/>
      <c r="DJ51" s="413"/>
      <c r="DK51" s="413"/>
      <c r="DL51" s="413"/>
      <c r="DM51" s="413"/>
      <c r="DN51" s="394"/>
      <c r="DO51" s="411"/>
      <c r="DP51" s="411"/>
      <c r="DQ51" s="411"/>
      <c r="DR51" s="411"/>
      <c r="DS51" s="411"/>
      <c r="DU51" s="411"/>
      <c r="DW51" s="411"/>
      <c r="DX51" s="411"/>
      <c r="DZ51" s="421"/>
      <c r="EB51" s="411"/>
      <c r="EC51" s="411"/>
      <c r="ED51" s="411"/>
      <c r="EE51" s="411"/>
      <c r="EF51" s="411"/>
      <c r="EG51" s="411"/>
      <c r="EH51" s="411"/>
      <c r="EI51" s="411"/>
      <c r="EJ51" s="411"/>
      <c r="EK51" s="411"/>
      <c r="EL51" s="411"/>
      <c r="EM51" s="394"/>
      <c r="EN51" s="411"/>
      <c r="EO51" s="411"/>
      <c r="EP51" s="411"/>
      <c r="EQ51" s="411"/>
      <c r="ER51" s="411"/>
      <c r="ES51" s="394"/>
      <c r="ET51" s="411"/>
      <c r="EU51" s="412"/>
      <c r="EV51" s="411"/>
      <c r="EW51" s="411"/>
      <c r="EX51" s="412"/>
      <c r="EY51" s="411"/>
      <c r="EZ51" s="412"/>
      <c r="FA51" s="411"/>
      <c r="FB51" s="411"/>
      <c r="FC51" s="411"/>
      <c r="FD51" s="411"/>
      <c r="FE51" s="411"/>
      <c r="FF51" s="411"/>
      <c r="FG51" s="411"/>
      <c r="FH51" s="411"/>
      <c r="FI51" s="411"/>
      <c r="FJ51" s="411"/>
      <c r="FK51" s="411"/>
      <c r="FL51" s="394"/>
      <c r="FM51" s="411"/>
      <c r="FN51" s="411"/>
      <c r="FO51" s="411"/>
      <c r="FP51" s="411"/>
      <c r="FQ51" s="411"/>
      <c r="FS51" s="411"/>
      <c r="FT51" s="396"/>
      <c r="FU51" s="411"/>
      <c r="FV51" s="411"/>
      <c r="FW51" s="396"/>
      <c r="FX51" s="421"/>
      <c r="FY51" s="396"/>
      <c r="FZ51" s="411"/>
      <c r="GA51" s="411"/>
      <c r="GB51" s="411"/>
      <c r="GC51" s="411"/>
      <c r="GD51" s="411"/>
      <c r="GE51" s="411"/>
      <c r="GF51" s="411"/>
      <c r="GG51" s="411"/>
      <c r="GH51" s="411"/>
      <c r="GI51" s="411"/>
      <c r="GJ51" s="411"/>
      <c r="GL51" s="411"/>
      <c r="GM51" s="411"/>
      <c r="GN51" s="411"/>
      <c r="GO51" s="411"/>
      <c r="GP51" s="411"/>
      <c r="GR51" s="411"/>
      <c r="GT51" s="411"/>
      <c r="GU51" s="411"/>
      <c r="GW51" s="421"/>
      <c r="GY51" s="416"/>
      <c r="GZ51" s="416"/>
      <c r="HA51" s="416"/>
      <c r="HB51" s="416"/>
      <c r="HC51" s="416"/>
      <c r="HD51" s="416"/>
      <c r="HE51" s="416"/>
      <c r="HF51" s="416"/>
      <c r="HG51" s="416"/>
      <c r="HH51" s="416"/>
      <c r="HI51" s="416"/>
      <c r="HK51" s="411"/>
      <c r="HL51" s="411"/>
      <c r="HM51" s="411"/>
      <c r="HN51" s="411"/>
      <c r="HO51" s="411"/>
      <c r="HQ51" s="411"/>
      <c r="HS51" s="411"/>
      <c r="HT51" s="411"/>
      <c r="HV51" s="421"/>
      <c r="HX51" s="416"/>
      <c r="HY51" s="416"/>
      <c r="HZ51" s="416"/>
      <c r="IA51" s="416"/>
      <c r="IB51" s="416"/>
      <c r="IC51" s="416"/>
      <c r="ID51" s="416"/>
      <c r="IE51" s="416"/>
      <c r="IF51" s="416"/>
      <c r="IG51" s="416"/>
      <c r="IH51" s="416"/>
      <c r="II51" s="394"/>
      <c r="IJ51" s="411"/>
      <c r="IK51" s="411"/>
      <c r="IL51" s="411"/>
      <c r="IM51" s="411"/>
      <c r="IN51" s="411"/>
      <c r="IP51" s="411"/>
      <c r="IR51" s="411"/>
      <c r="IS51" s="411"/>
      <c r="IU51" s="411"/>
      <c r="IW51" s="411"/>
      <c r="IX51" s="411"/>
      <c r="IY51" s="411"/>
      <c r="IZ51" s="411"/>
      <c r="JA51" s="411"/>
      <c r="JB51" s="411"/>
      <c r="JC51" s="411"/>
      <c r="JD51" s="411"/>
      <c r="JE51" s="411"/>
      <c r="JF51" s="411"/>
      <c r="JG51" s="411"/>
    </row>
    <row r="52" spans="1:267" x14ac:dyDescent="0.3">
      <c r="A52" s="754" t="s">
        <v>964</v>
      </c>
      <c r="B52" s="757" t="s">
        <v>168</v>
      </c>
      <c r="C52" s="757" t="s">
        <v>30</v>
      </c>
      <c r="D52" s="757" t="s">
        <v>162</v>
      </c>
      <c r="E52" s="757" t="s">
        <v>351</v>
      </c>
      <c r="F52" s="757" t="s">
        <v>168</v>
      </c>
      <c r="G52" s="757">
        <v>5.45</v>
      </c>
      <c r="H52" s="757">
        <v>56</v>
      </c>
      <c r="I52" s="757">
        <v>305.2</v>
      </c>
      <c r="J52" s="757">
        <v>9</v>
      </c>
      <c r="K52" s="757">
        <v>16</v>
      </c>
      <c r="L52" s="757">
        <v>15</v>
      </c>
      <c r="M52" s="757">
        <v>221.9</v>
      </c>
      <c r="N52" s="757">
        <v>9.7000000000000003E-3</v>
      </c>
      <c r="O52" s="757">
        <v>10</v>
      </c>
      <c r="P52" s="757">
        <v>24</v>
      </c>
      <c r="Q52" s="757" t="s">
        <v>353</v>
      </c>
      <c r="S52" s="760">
        <v>419.76499999999999</v>
      </c>
      <c r="T52" s="760">
        <v>530.18799999999999</v>
      </c>
      <c r="U52" s="760">
        <v>641.23</v>
      </c>
      <c r="V52" s="760">
        <v>354.161</v>
      </c>
      <c r="W52" s="760">
        <v>116.376</v>
      </c>
      <c r="X52" s="409"/>
      <c r="Y52" s="780">
        <v>97.582999999999998</v>
      </c>
      <c r="Z52" s="776">
        <v>0.98</v>
      </c>
      <c r="AA52" s="777">
        <v>0.91</v>
      </c>
      <c r="AB52" s="779">
        <v>0.67500000000000004</v>
      </c>
      <c r="AC52" s="779">
        <v>0.80700000000000005</v>
      </c>
      <c r="AD52" s="779">
        <v>1.07</v>
      </c>
      <c r="AE52" s="776">
        <v>0.98</v>
      </c>
      <c r="AF52" s="780">
        <v>21.78</v>
      </c>
      <c r="AG52" s="781">
        <v>61</v>
      </c>
      <c r="AH52" s="781">
        <v>36.85</v>
      </c>
      <c r="AI52" s="781">
        <v>42.63</v>
      </c>
      <c r="AJ52" s="781">
        <v>36.85</v>
      </c>
      <c r="AK52" s="781">
        <v>30.15</v>
      </c>
      <c r="AL52" s="781">
        <v>28.48</v>
      </c>
      <c r="AM52" s="781">
        <v>41.88</v>
      </c>
      <c r="AN52" s="781">
        <v>47.74</v>
      </c>
      <c r="AO52" s="781">
        <v>52.86</v>
      </c>
      <c r="AP52" s="781">
        <v>20.46</v>
      </c>
      <c r="AQ52" s="782">
        <v>157.392</v>
      </c>
      <c r="AR52" s="411"/>
      <c r="AS52" s="411"/>
      <c r="AT52" s="411"/>
      <c r="AU52" s="411"/>
      <c r="AV52" s="411"/>
      <c r="AX52" s="780">
        <v>97.582999999999998</v>
      </c>
      <c r="AY52" s="776"/>
      <c r="AZ52" s="851">
        <v>0.91</v>
      </c>
      <c r="BA52" s="853">
        <v>0.67500000000000004</v>
      </c>
      <c r="BB52" s="853">
        <v>0.80700000000000005</v>
      </c>
      <c r="BC52" s="853">
        <v>1.07</v>
      </c>
      <c r="BD52" s="776"/>
      <c r="BE52" s="808"/>
      <c r="BF52" s="776"/>
      <c r="BG52" s="851">
        <v>0.91</v>
      </c>
      <c r="BH52" s="853">
        <v>0.67500000000000004</v>
      </c>
      <c r="BI52" s="853">
        <v>0.80700000000000005</v>
      </c>
      <c r="BJ52" s="853">
        <v>1.07</v>
      </c>
      <c r="BK52" s="776"/>
      <c r="BL52" s="834"/>
      <c r="BM52" s="776">
        <v>0.98</v>
      </c>
      <c r="BN52" s="777">
        <v>0.91</v>
      </c>
      <c r="BO52" s="779">
        <v>0.67500000000000004</v>
      </c>
      <c r="BP52" s="779">
        <v>0.80700000000000005</v>
      </c>
      <c r="BQ52" s="779">
        <v>1.07</v>
      </c>
      <c r="BR52" s="776">
        <v>0.98</v>
      </c>
      <c r="BS52" s="842"/>
      <c r="BT52" s="776">
        <v>0.98</v>
      </c>
      <c r="BU52" s="777">
        <v>0.91</v>
      </c>
      <c r="BV52" s="779">
        <v>0.67500000000000004</v>
      </c>
      <c r="BW52" s="779">
        <v>0.80700000000000005</v>
      </c>
      <c r="BX52" s="779">
        <v>1.07</v>
      </c>
      <c r="BY52" s="776">
        <v>0.98</v>
      </c>
      <c r="BZ52" s="774"/>
      <c r="CA52" s="776">
        <v>0.98</v>
      </c>
      <c r="CB52" s="777">
        <v>0.91</v>
      </c>
      <c r="CC52" s="779">
        <v>0.67500000000000004</v>
      </c>
      <c r="CD52" s="779">
        <v>0.80700000000000005</v>
      </c>
      <c r="CE52" s="779">
        <v>1.07</v>
      </c>
      <c r="CF52" s="776">
        <v>0.98</v>
      </c>
      <c r="CG52" s="834"/>
      <c r="CH52" s="776">
        <v>0.98</v>
      </c>
      <c r="CI52" s="777">
        <v>0.91</v>
      </c>
      <c r="CJ52" s="779">
        <v>0.67500000000000004</v>
      </c>
      <c r="CK52" s="779">
        <v>0.80700000000000005</v>
      </c>
      <c r="CL52" s="779">
        <v>1.07</v>
      </c>
      <c r="CM52" s="776">
        <v>0.98</v>
      </c>
      <c r="CN52" s="834"/>
      <c r="CO52" s="776">
        <v>0.98</v>
      </c>
      <c r="CP52" s="777">
        <v>0.91</v>
      </c>
      <c r="CQ52" s="779">
        <v>0.67500000000000004</v>
      </c>
      <c r="CR52" s="779">
        <v>0.80700000000000005</v>
      </c>
      <c r="CS52" s="779">
        <v>1.07</v>
      </c>
      <c r="CT52" s="776">
        <v>0.98</v>
      </c>
      <c r="CU52" s="423"/>
      <c r="CV52" s="776">
        <v>0.98</v>
      </c>
      <c r="CW52" s="777">
        <v>0.91</v>
      </c>
      <c r="CX52" s="779">
        <v>0.67500000000000004</v>
      </c>
      <c r="CY52" s="779">
        <v>0.80700000000000005</v>
      </c>
      <c r="CZ52" s="779">
        <v>1.07</v>
      </c>
      <c r="DA52" s="776">
        <v>0.98</v>
      </c>
      <c r="DB52" s="418"/>
      <c r="DC52" s="417"/>
      <c r="DD52" s="417"/>
      <c r="DE52" s="417"/>
      <c r="DF52" s="417"/>
      <c r="DG52" s="417"/>
      <c r="DH52" s="417"/>
      <c r="DI52" s="417"/>
      <c r="DJ52" s="417"/>
      <c r="DK52" s="417"/>
      <c r="DL52" s="417"/>
      <c r="DM52" s="417"/>
      <c r="DN52" s="394"/>
      <c r="DO52" s="411"/>
      <c r="DP52" s="411"/>
      <c r="DQ52" s="411"/>
      <c r="DR52" s="411"/>
      <c r="DS52" s="411"/>
      <c r="DU52" s="411"/>
      <c r="DW52" s="411"/>
      <c r="DX52" s="411"/>
      <c r="DZ52" s="411"/>
      <c r="EB52" s="411"/>
      <c r="EC52" s="411"/>
      <c r="ED52" s="411"/>
      <c r="EE52" s="411"/>
      <c r="EF52" s="411"/>
      <c r="EG52" s="411"/>
      <c r="EH52" s="411"/>
      <c r="EI52" s="411"/>
      <c r="EJ52" s="411"/>
      <c r="EK52" s="411"/>
      <c r="EL52" s="411"/>
      <c r="EM52" s="394"/>
      <c r="EN52" s="411"/>
      <c r="EO52" s="411"/>
      <c r="EP52" s="411"/>
      <c r="EQ52" s="411"/>
      <c r="ER52" s="411"/>
      <c r="ES52" s="412"/>
      <c r="ET52" s="411"/>
      <c r="EU52" s="394"/>
      <c r="EV52" s="417"/>
      <c r="EW52" s="417"/>
      <c r="EX52" s="418"/>
      <c r="EY52" s="417"/>
      <c r="EZ52" s="418"/>
      <c r="FA52" s="417"/>
      <c r="FB52" s="417"/>
      <c r="FC52" s="417"/>
      <c r="FD52" s="417"/>
      <c r="FE52" s="417"/>
      <c r="FF52" s="417"/>
      <c r="FG52" s="417"/>
      <c r="FH52" s="417"/>
      <c r="FI52" s="417"/>
      <c r="FJ52" s="417"/>
      <c r="FK52" s="417"/>
      <c r="FL52" s="394"/>
      <c r="FM52" s="411"/>
      <c r="FN52" s="411"/>
      <c r="FO52" s="411"/>
      <c r="FP52" s="411"/>
      <c r="FQ52" s="411"/>
      <c r="FR52" s="396"/>
      <c r="FS52" s="411"/>
      <c r="FU52" s="411"/>
      <c r="FV52" s="411"/>
      <c r="FX52" s="411"/>
      <c r="FZ52" s="411"/>
      <c r="GA52" s="411"/>
      <c r="GB52" s="411"/>
      <c r="GC52" s="411"/>
      <c r="GD52" s="411"/>
      <c r="GE52" s="411"/>
      <c r="GF52" s="411"/>
      <c r="GG52" s="411"/>
      <c r="GH52" s="411"/>
      <c r="GI52" s="411"/>
      <c r="GJ52" s="411"/>
      <c r="GK52" s="394"/>
      <c r="GL52" s="411"/>
      <c r="GM52" s="411"/>
      <c r="GN52" s="411"/>
      <c r="GO52" s="411"/>
      <c r="GP52" s="411"/>
      <c r="GQ52" s="394"/>
      <c r="GR52" s="411"/>
      <c r="GS52" s="394"/>
      <c r="GT52" s="411"/>
      <c r="GU52" s="411"/>
      <c r="GV52" s="394"/>
      <c r="GW52" s="411"/>
      <c r="GX52" s="394"/>
      <c r="GY52" s="411"/>
      <c r="GZ52" s="411"/>
      <c r="HA52" s="411"/>
      <c r="HB52" s="411"/>
      <c r="HC52" s="411"/>
      <c r="HD52" s="411"/>
      <c r="HE52" s="411"/>
      <c r="HF52" s="411"/>
      <c r="HG52" s="411"/>
      <c r="HH52" s="411"/>
      <c r="HI52" s="411"/>
      <c r="HJ52" s="394"/>
      <c r="HK52" s="411"/>
      <c r="HL52" s="411"/>
      <c r="HM52" s="411"/>
      <c r="HN52" s="411"/>
      <c r="HO52" s="411"/>
      <c r="HQ52" s="411"/>
      <c r="HS52" s="411"/>
      <c r="HT52" s="411"/>
      <c r="HV52" s="411"/>
      <c r="HX52" s="411"/>
      <c r="HY52" s="411"/>
      <c r="HZ52" s="411"/>
      <c r="IA52" s="411"/>
      <c r="IB52" s="411"/>
      <c r="IC52" s="411"/>
      <c r="ID52" s="411"/>
      <c r="IE52" s="411"/>
      <c r="IF52" s="411"/>
      <c r="IG52" s="411"/>
      <c r="IH52" s="411"/>
      <c r="II52" s="394"/>
      <c r="IJ52" s="417"/>
      <c r="IK52" s="417"/>
      <c r="IL52" s="417"/>
      <c r="IM52" s="417"/>
      <c r="IN52" s="417"/>
      <c r="IO52" s="423"/>
      <c r="IP52" s="417"/>
      <c r="IQ52" s="418"/>
      <c r="IR52" s="417"/>
      <c r="IS52" s="417"/>
      <c r="IT52" s="418"/>
      <c r="IU52" s="417"/>
      <c r="IV52" s="418"/>
      <c r="IW52" s="417"/>
      <c r="IX52" s="417"/>
      <c r="IY52" s="417"/>
      <c r="IZ52" s="417"/>
      <c r="JA52" s="417"/>
      <c r="JB52" s="417"/>
      <c r="JC52" s="417"/>
      <c r="JD52" s="417"/>
      <c r="JE52" s="417"/>
      <c r="JF52" s="417"/>
      <c r="JG52" s="417"/>
    </row>
    <row r="53" spans="1:267" x14ac:dyDescent="0.3">
      <c r="A53" s="752" t="s">
        <v>965</v>
      </c>
      <c r="B53" s="757" t="s">
        <v>355</v>
      </c>
      <c r="C53" s="757" t="s">
        <v>30</v>
      </c>
      <c r="D53" s="757" t="s">
        <v>168</v>
      </c>
      <c r="E53" s="757" t="s">
        <v>353</v>
      </c>
      <c r="F53" s="757" t="s">
        <v>355</v>
      </c>
      <c r="G53" s="757">
        <v>5.1379999999999999</v>
      </c>
      <c r="H53" s="757">
        <v>60</v>
      </c>
      <c r="I53" s="757">
        <v>308.3</v>
      </c>
      <c r="J53" s="757">
        <v>11</v>
      </c>
      <c r="K53" s="757">
        <v>11</v>
      </c>
      <c r="L53" s="757">
        <v>16</v>
      </c>
      <c r="M53" s="757">
        <v>227.7</v>
      </c>
      <c r="N53" s="757">
        <v>1.0699999999999999E-2</v>
      </c>
      <c r="O53" s="757">
        <v>14</v>
      </c>
      <c r="P53" s="757">
        <v>22.5</v>
      </c>
      <c r="Q53" s="757" t="s">
        <v>30</v>
      </c>
      <c r="S53" s="760">
        <v>284.20699999999999</v>
      </c>
      <c r="T53" s="760">
        <v>702.79100000000005</v>
      </c>
      <c r="U53" s="760">
        <v>589.94000000000005</v>
      </c>
      <c r="V53" s="760">
        <v>823.11</v>
      </c>
      <c r="W53" s="760">
        <v>414.589</v>
      </c>
      <c r="X53" s="407"/>
      <c r="Y53" s="780">
        <v>23.32</v>
      </c>
      <c r="Z53" s="776">
        <v>0.99</v>
      </c>
      <c r="AA53" s="777">
        <v>0.873</v>
      </c>
      <c r="AB53" s="779">
        <v>0.65900000000000003</v>
      </c>
      <c r="AC53" s="791">
        <v>0.76500000000000001</v>
      </c>
      <c r="AD53" s="779">
        <v>1.139</v>
      </c>
      <c r="AE53" s="776">
        <v>0.99</v>
      </c>
      <c r="AF53" s="780">
        <v>27.48</v>
      </c>
      <c r="AG53" s="781">
        <v>59.5</v>
      </c>
      <c r="AH53" s="781">
        <v>24.05</v>
      </c>
      <c r="AI53" s="781">
        <v>29.2</v>
      </c>
      <c r="AJ53" s="781">
        <v>30.92</v>
      </c>
      <c r="AK53" s="781">
        <v>17.18</v>
      </c>
      <c r="AL53" s="781">
        <v>16.79</v>
      </c>
      <c r="AM53" s="781">
        <v>41.22</v>
      </c>
      <c r="AN53" s="781">
        <v>29.2</v>
      </c>
      <c r="AO53" s="781">
        <v>24.05</v>
      </c>
      <c r="AP53" s="781">
        <v>13.43</v>
      </c>
      <c r="AQ53" s="782">
        <v>164.08099999999999</v>
      </c>
      <c r="AR53" s="411"/>
      <c r="AS53" s="411"/>
      <c r="AT53" s="411"/>
      <c r="AU53" s="411"/>
      <c r="AV53" s="411"/>
      <c r="AX53" s="780">
        <v>23.32</v>
      </c>
      <c r="AY53" s="776"/>
      <c r="AZ53" s="851">
        <v>0.873</v>
      </c>
      <c r="BA53" s="853">
        <v>0.65900000000000003</v>
      </c>
      <c r="BB53" s="859">
        <v>0.76500000000000001</v>
      </c>
      <c r="BC53" s="853">
        <v>1.139</v>
      </c>
      <c r="BD53" s="776"/>
      <c r="BE53" s="808"/>
      <c r="BF53" s="776"/>
      <c r="BG53" s="851">
        <v>0.873</v>
      </c>
      <c r="BH53" s="853">
        <v>0.65900000000000003</v>
      </c>
      <c r="BI53" s="859">
        <v>0.76500000000000001</v>
      </c>
      <c r="BJ53" s="853">
        <v>1.139</v>
      </c>
      <c r="BK53" s="776"/>
      <c r="BL53" s="834"/>
      <c r="BM53" s="776">
        <v>0.99</v>
      </c>
      <c r="BN53" s="777">
        <v>0.873</v>
      </c>
      <c r="BO53" s="779">
        <v>0.65900000000000003</v>
      </c>
      <c r="BP53" s="791">
        <v>0.76500000000000001</v>
      </c>
      <c r="BQ53" s="779">
        <v>1.139</v>
      </c>
      <c r="BR53" s="776">
        <v>0.99</v>
      </c>
      <c r="BS53" s="842"/>
      <c r="BT53" s="776">
        <v>0.99</v>
      </c>
      <c r="BU53" s="777">
        <v>0.873</v>
      </c>
      <c r="BV53" s="779">
        <v>0.65900000000000003</v>
      </c>
      <c r="BW53" s="791">
        <v>0.76500000000000001</v>
      </c>
      <c r="BX53" s="779">
        <v>1.139</v>
      </c>
      <c r="BY53" s="776">
        <v>0.99</v>
      </c>
      <c r="BZ53" s="774"/>
      <c r="CA53" s="776">
        <v>0.99</v>
      </c>
      <c r="CB53" s="777">
        <v>0.873</v>
      </c>
      <c r="CC53" s="779">
        <v>0.65900000000000003</v>
      </c>
      <c r="CD53" s="791">
        <v>0.76500000000000001</v>
      </c>
      <c r="CE53" s="779">
        <v>1.139</v>
      </c>
      <c r="CF53" s="776">
        <v>0.99</v>
      </c>
      <c r="CG53" s="834"/>
      <c r="CH53" s="776">
        <v>0.99</v>
      </c>
      <c r="CI53" s="777">
        <v>0.873</v>
      </c>
      <c r="CJ53" s="779">
        <v>0.65900000000000003</v>
      </c>
      <c r="CK53" s="791">
        <v>0.76500000000000001</v>
      </c>
      <c r="CL53" s="779">
        <v>1.139</v>
      </c>
      <c r="CM53" s="776">
        <v>0.99</v>
      </c>
      <c r="CN53" s="834"/>
      <c r="CO53" s="776">
        <v>0.99</v>
      </c>
      <c r="CP53" s="777">
        <v>0.873</v>
      </c>
      <c r="CQ53" s="779">
        <v>0.65900000000000003</v>
      </c>
      <c r="CR53" s="791">
        <v>0.76500000000000001</v>
      </c>
      <c r="CS53" s="779">
        <v>1.139</v>
      </c>
      <c r="CT53" s="776">
        <v>0.99</v>
      </c>
      <c r="CV53" s="776">
        <v>0.99</v>
      </c>
      <c r="CW53" s="777">
        <v>0.873</v>
      </c>
      <c r="CX53" s="779">
        <v>0.65900000000000003</v>
      </c>
      <c r="CY53" s="791">
        <v>0.76500000000000001</v>
      </c>
      <c r="CZ53" s="779">
        <v>1.139</v>
      </c>
      <c r="DA53" s="776">
        <v>0.99</v>
      </c>
      <c r="DB53" s="396"/>
      <c r="DC53" s="411"/>
      <c r="DD53" s="411"/>
      <c r="DE53" s="411"/>
      <c r="DF53" s="411"/>
      <c r="DG53" s="411"/>
      <c r="DH53" s="411"/>
      <c r="DI53" s="411"/>
      <c r="DJ53" s="411"/>
      <c r="DK53" s="411"/>
      <c r="DL53" s="411"/>
      <c r="DM53" s="411"/>
      <c r="DN53" s="394"/>
      <c r="DO53" s="411"/>
      <c r="DP53" s="411"/>
      <c r="DQ53" s="411"/>
      <c r="DR53" s="411"/>
      <c r="DS53" s="411"/>
      <c r="DU53" s="411"/>
      <c r="DW53" s="411"/>
      <c r="DX53" s="411"/>
      <c r="DZ53" s="411"/>
      <c r="EB53" s="411"/>
      <c r="EC53" s="411"/>
      <c r="ED53" s="411"/>
      <c r="EE53" s="411"/>
      <c r="EF53" s="411"/>
      <c r="EG53" s="411"/>
      <c r="EH53" s="411"/>
      <c r="EI53" s="411"/>
      <c r="EJ53" s="411"/>
      <c r="EK53" s="411"/>
      <c r="EL53" s="411"/>
      <c r="EM53" s="394"/>
      <c r="EN53" s="411"/>
      <c r="EO53" s="411"/>
      <c r="EP53" s="411"/>
      <c r="EQ53" s="411"/>
      <c r="ER53" s="411"/>
      <c r="ES53" s="412"/>
      <c r="ET53" s="411"/>
      <c r="EU53" s="394"/>
      <c r="EV53" s="411"/>
      <c r="EW53" s="411"/>
      <c r="EX53" s="394"/>
      <c r="EY53" s="411"/>
      <c r="EZ53" s="394"/>
      <c r="FA53" s="411"/>
      <c r="FB53" s="411"/>
      <c r="FC53" s="411"/>
      <c r="FD53" s="411"/>
      <c r="FE53" s="411"/>
      <c r="FF53" s="411"/>
      <c r="FG53" s="411"/>
      <c r="FH53" s="411"/>
      <c r="FI53" s="411"/>
      <c r="FJ53" s="411"/>
      <c r="FK53" s="411"/>
      <c r="FL53" s="394"/>
      <c r="FM53" s="411"/>
      <c r="FN53" s="411"/>
      <c r="FO53" s="411"/>
      <c r="FP53" s="411"/>
      <c r="FQ53" s="411"/>
      <c r="FR53" s="396"/>
      <c r="FS53" s="411"/>
      <c r="FU53" s="411"/>
      <c r="FV53" s="411"/>
      <c r="FX53" s="411"/>
      <c r="FZ53" s="411"/>
      <c r="GA53" s="411"/>
      <c r="GB53" s="411"/>
      <c r="GC53" s="411"/>
      <c r="GD53" s="411"/>
      <c r="GE53" s="411"/>
      <c r="GF53" s="411"/>
      <c r="GG53" s="411"/>
      <c r="GH53" s="411"/>
      <c r="GI53" s="411"/>
      <c r="GJ53" s="411"/>
      <c r="GK53" s="394"/>
      <c r="GL53" s="411"/>
      <c r="GM53" s="411"/>
      <c r="GN53" s="411"/>
      <c r="GO53" s="411"/>
      <c r="GP53" s="411"/>
      <c r="GR53" s="411"/>
      <c r="GS53" s="396"/>
      <c r="GT53" s="411"/>
      <c r="GU53" s="411"/>
      <c r="GV53" s="396"/>
      <c r="GW53" s="411"/>
      <c r="GX53" s="396"/>
      <c r="GY53" s="411"/>
      <c r="GZ53" s="411"/>
      <c r="HA53" s="411"/>
      <c r="HB53" s="411"/>
      <c r="HC53" s="411"/>
      <c r="HD53" s="411"/>
      <c r="HE53" s="411"/>
      <c r="HF53" s="411"/>
      <c r="HG53" s="411"/>
      <c r="HH53" s="411"/>
      <c r="HI53" s="411"/>
      <c r="HJ53" s="394"/>
      <c r="HK53" s="411"/>
      <c r="HL53" s="411"/>
      <c r="HM53" s="411"/>
      <c r="HN53" s="411"/>
      <c r="HO53" s="411"/>
      <c r="HP53" s="394"/>
      <c r="HQ53" s="411"/>
      <c r="HR53" s="394"/>
      <c r="HS53" s="411"/>
      <c r="HT53" s="411"/>
      <c r="HU53" s="394"/>
      <c r="HV53" s="411"/>
      <c r="HW53" s="394"/>
      <c r="HX53" s="411"/>
      <c r="HY53" s="411"/>
      <c r="HZ53" s="411"/>
      <c r="IA53" s="411"/>
      <c r="IB53" s="411"/>
      <c r="IC53" s="411"/>
      <c r="ID53" s="411"/>
      <c r="IE53" s="411"/>
      <c r="IF53" s="411"/>
      <c r="IG53" s="411"/>
      <c r="IH53" s="411"/>
      <c r="II53" s="394"/>
      <c r="IJ53" s="411"/>
      <c r="IK53" s="411"/>
      <c r="IL53" s="411"/>
      <c r="IM53" s="411"/>
      <c r="IN53" s="411"/>
      <c r="IP53" s="411"/>
      <c r="IR53" s="411"/>
      <c r="IS53" s="411"/>
      <c r="IU53" s="411"/>
      <c r="IW53" s="411"/>
      <c r="IX53" s="411"/>
      <c r="IY53" s="411"/>
      <c r="IZ53" s="411"/>
      <c r="JA53" s="411"/>
      <c r="JB53" s="411"/>
      <c r="JC53" s="411"/>
      <c r="JD53" s="411"/>
      <c r="JE53" s="411"/>
      <c r="JF53" s="411"/>
      <c r="JG53" s="411"/>
    </row>
    <row r="54" spans="1:267" ht="12.75" customHeight="1" x14ac:dyDescent="0.3">
      <c r="A54" s="752" t="s">
        <v>966</v>
      </c>
      <c r="B54" s="810" t="s">
        <v>353</v>
      </c>
      <c r="C54" s="757" t="s">
        <v>174</v>
      </c>
      <c r="D54" s="757" t="s">
        <v>174</v>
      </c>
      <c r="E54" s="757" t="s">
        <v>168</v>
      </c>
      <c r="F54" s="757" t="s">
        <v>353</v>
      </c>
      <c r="G54" s="757">
        <v>5.0670000000000002</v>
      </c>
      <c r="H54" s="757">
        <v>61</v>
      </c>
      <c r="I54" s="810">
        <v>309.10000000000002</v>
      </c>
      <c r="J54" s="757">
        <v>7</v>
      </c>
      <c r="K54" s="757">
        <v>11</v>
      </c>
      <c r="L54" s="757">
        <v>17</v>
      </c>
      <c r="M54" s="757">
        <v>218.72</v>
      </c>
      <c r="N54" s="757">
        <v>2.2499999999999999E-2</v>
      </c>
      <c r="O54" s="757">
        <v>23</v>
      </c>
      <c r="P54" s="757">
        <v>17</v>
      </c>
      <c r="Q54" s="757" t="s">
        <v>355</v>
      </c>
      <c r="S54" s="764">
        <v>840.06399999999996</v>
      </c>
      <c r="T54" s="760">
        <v>438.483</v>
      </c>
      <c r="U54" s="760">
        <v>578.755</v>
      </c>
      <c r="V54" s="760">
        <v>598.90200000000004</v>
      </c>
      <c r="W54" s="760">
        <v>802.99</v>
      </c>
      <c r="X54" s="409"/>
      <c r="Y54" s="775">
        <v>202.61099999999999</v>
      </c>
      <c r="Z54" s="776">
        <v>0.99</v>
      </c>
      <c r="AA54" s="777">
        <v>0.85099999999999998</v>
      </c>
      <c r="AB54" s="779">
        <v>0.55100000000000005</v>
      </c>
      <c r="AC54" s="779">
        <v>0.77900000000000003</v>
      </c>
      <c r="AD54" s="779">
        <v>1.075</v>
      </c>
      <c r="AE54" s="776">
        <v>0.98</v>
      </c>
      <c r="AF54" s="780">
        <v>31.37</v>
      </c>
      <c r="AG54" s="781">
        <v>24</v>
      </c>
      <c r="AH54" s="781">
        <v>37.9</v>
      </c>
      <c r="AI54" s="781">
        <v>32</v>
      </c>
      <c r="AJ54" s="781">
        <v>36.270000000000003</v>
      </c>
      <c r="AK54" s="781">
        <v>24.48</v>
      </c>
      <c r="AL54" s="781">
        <v>30.37</v>
      </c>
      <c r="AM54" s="781">
        <v>31</v>
      </c>
      <c r="AN54" s="781">
        <v>47</v>
      </c>
      <c r="AO54" s="781">
        <v>28.7</v>
      </c>
      <c r="AP54" s="781">
        <v>27.74</v>
      </c>
      <c r="AQ54" s="782">
        <v>175.52</v>
      </c>
      <c r="AR54" s="411"/>
      <c r="AS54" s="411"/>
      <c r="AT54" s="411"/>
      <c r="AU54" s="411"/>
      <c r="AV54" s="411"/>
      <c r="AW54" s="394"/>
      <c r="AX54" s="775">
        <v>202.61099999999999</v>
      </c>
      <c r="AY54" s="776"/>
      <c r="AZ54" s="851">
        <v>0.85099999999999998</v>
      </c>
      <c r="BA54" s="853">
        <v>0.55100000000000005</v>
      </c>
      <c r="BB54" s="853">
        <v>0.77900000000000003</v>
      </c>
      <c r="BC54" s="853">
        <v>1.075</v>
      </c>
      <c r="BD54" s="776"/>
      <c r="BE54" s="808"/>
      <c r="BF54" s="776"/>
      <c r="BG54" s="851">
        <v>0.85099999999999998</v>
      </c>
      <c r="BH54" s="853">
        <v>0.55100000000000005</v>
      </c>
      <c r="BI54" s="853">
        <v>0.77900000000000003</v>
      </c>
      <c r="BJ54" s="853">
        <v>1.075</v>
      </c>
      <c r="BK54" s="776"/>
      <c r="BL54" s="834"/>
      <c r="BM54" s="776">
        <v>0.99</v>
      </c>
      <c r="BN54" s="777">
        <v>0.85099999999999998</v>
      </c>
      <c r="BO54" s="779">
        <v>0.55100000000000005</v>
      </c>
      <c r="BP54" s="779">
        <v>0.77900000000000003</v>
      </c>
      <c r="BQ54" s="779">
        <v>1.075</v>
      </c>
      <c r="BR54" s="776">
        <v>0.98</v>
      </c>
      <c r="BS54" s="842"/>
      <c r="BT54" s="776">
        <v>0.99</v>
      </c>
      <c r="BU54" s="777">
        <v>0.85099999999999998</v>
      </c>
      <c r="BV54" s="779">
        <v>0.55100000000000005</v>
      </c>
      <c r="BW54" s="779">
        <v>0.77900000000000003</v>
      </c>
      <c r="BX54" s="779">
        <v>1.075</v>
      </c>
      <c r="BY54" s="776">
        <v>0.98</v>
      </c>
      <c r="BZ54" s="774"/>
      <c r="CA54" s="776">
        <v>0.99</v>
      </c>
      <c r="CB54" s="777">
        <v>0.85099999999999998</v>
      </c>
      <c r="CC54" s="779">
        <v>0.55100000000000005</v>
      </c>
      <c r="CD54" s="779">
        <v>0.77900000000000003</v>
      </c>
      <c r="CE54" s="779">
        <v>1.075</v>
      </c>
      <c r="CF54" s="776">
        <v>0.98</v>
      </c>
      <c r="CG54" s="834"/>
      <c r="CH54" s="776">
        <v>0.99</v>
      </c>
      <c r="CI54" s="777">
        <v>0.85099999999999998</v>
      </c>
      <c r="CJ54" s="779">
        <v>0.55100000000000005</v>
      </c>
      <c r="CK54" s="779">
        <v>0.77900000000000003</v>
      </c>
      <c r="CL54" s="779">
        <v>1.075</v>
      </c>
      <c r="CM54" s="776">
        <v>0.98</v>
      </c>
      <c r="CN54" s="834"/>
      <c r="CO54" s="776">
        <v>0.99</v>
      </c>
      <c r="CP54" s="777">
        <v>0.85099999999999998</v>
      </c>
      <c r="CQ54" s="779">
        <v>0.55100000000000005</v>
      </c>
      <c r="CR54" s="779">
        <v>0.77900000000000003</v>
      </c>
      <c r="CS54" s="779">
        <v>1.075</v>
      </c>
      <c r="CT54" s="776">
        <v>0.98</v>
      </c>
      <c r="CU54" s="394"/>
      <c r="CV54" s="776">
        <v>0.99</v>
      </c>
      <c r="CW54" s="777">
        <v>0.85099999999999998</v>
      </c>
      <c r="CX54" s="779">
        <v>0.55100000000000005</v>
      </c>
      <c r="CY54" s="779">
        <v>0.77900000000000003</v>
      </c>
      <c r="CZ54" s="779">
        <v>1.075</v>
      </c>
      <c r="DA54" s="776">
        <v>0.98</v>
      </c>
      <c r="DB54" s="394"/>
      <c r="DC54" s="411"/>
      <c r="DD54" s="411"/>
      <c r="DE54" s="411"/>
      <c r="DF54" s="411"/>
      <c r="DG54" s="411"/>
      <c r="DH54" s="411"/>
      <c r="DI54" s="411"/>
      <c r="DJ54" s="411"/>
      <c r="DK54" s="411"/>
      <c r="DL54" s="411"/>
      <c r="DM54" s="411"/>
      <c r="DN54" s="394"/>
      <c r="DO54" s="411"/>
      <c r="DP54" s="411"/>
      <c r="DQ54" s="411"/>
      <c r="DR54" s="411"/>
      <c r="DS54" s="411"/>
      <c r="DU54" s="411"/>
      <c r="DW54" s="411"/>
      <c r="DX54" s="411"/>
      <c r="DZ54" s="411"/>
      <c r="EB54" s="411"/>
      <c r="EC54" s="411"/>
      <c r="ED54" s="411"/>
      <c r="EE54" s="411"/>
      <c r="EF54" s="411"/>
      <c r="EG54" s="411"/>
      <c r="EH54" s="411"/>
      <c r="EI54" s="411"/>
      <c r="EJ54" s="411"/>
      <c r="EK54" s="411"/>
      <c r="EL54" s="411"/>
      <c r="EM54" s="394"/>
      <c r="EN54" s="411"/>
      <c r="EO54" s="411"/>
      <c r="EP54" s="411"/>
      <c r="EQ54" s="411"/>
      <c r="ER54" s="411"/>
      <c r="ES54" s="394"/>
      <c r="ET54" s="411"/>
      <c r="EU54" s="394"/>
      <c r="EV54" s="411"/>
      <c r="EW54" s="411"/>
      <c r="EX54" s="394"/>
      <c r="EY54" s="411"/>
      <c r="EZ54" s="394"/>
      <c r="FA54" s="411"/>
      <c r="FB54" s="411"/>
      <c r="FC54" s="411"/>
      <c r="FD54" s="411"/>
      <c r="FE54" s="411"/>
      <c r="FF54" s="411"/>
      <c r="FG54" s="411"/>
      <c r="FH54" s="411"/>
      <c r="FI54" s="411"/>
      <c r="FJ54" s="411"/>
      <c r="FK54" s="411"/>
      <c r="FL54" s="394"/>
      <c r="FM54" s="411"/>
      <c r="FN54" s="411"/>
      <c r="FO54" s="411"/>
      <c r="FP54" s="411"/>
      <c r="FQ54" s="411"/>
      <c r="FS54" s="411"/>
      <c r="FU54" s="411"/>
      <c r="FV54" s="411"/>
      <c r="FX54" s="411"/>
      <c r="FZ54" s="411"/>
      <c r="GA54" s="411"/>
      <c r="GB54" s="411"/>
      <c r="GC54" s="411"/>
      <c r="GD54" s="411"/>
      <c r="GE54" s="411"/>
      <c r="GF54" s="411"/>
      <c r="GG54" s="411"/>
      <c r="GH54" s="411"/>
      <c r="GI54" s="411"/>
      <c r="GJ54" s="411"/>
      <c r="GL54" s="411"/>
      <c r="GM54" s="411"/>
      <c r="GN54" s="411"/>
      <c r="GO54" s="411"/>
      <c r="GP54" s="411"/>
      <c r="GR54" s="411"/>
      <c r="GT54" s="411"/>
      <c r="GU54" s="411"/>
      <c r="GW54" s="411"/>
      <c r="GY54" s="411"/>
      <c r="GZ54" s="411"/>
      <c r="HA54" s="411"/>
      <c r="HB54" s="411"/>
      <c r="HC54" s="411"/>
      <c r="HD54" s="411"/>
      <c r="HE54" s="411"/>
      <c r="HF54" s="411"/>
      <c r="HG54" s="411"/>
      <c r="HH54" s="411"/>
      <c r="HI54" s="411"/>
      <c r="HK54" s="411"/>
      <c r="HL54" s="411"/>
      <c r="HM54" s="411"/>
      <c r="HN54" s="411"/>
      <c r="HO54" s="411"/>
      <c r="HQ54" s="411"/>
      <c r="HS54" s="411"/>
      <c r="HT54" s="411"/>
      <c r="HV54" s="411"/>
      <c r="HX54" s="411"/>
      <c r="HY54" s="411"/>
      <c r="HZ54" s="411"/>
      <c r="IA54" s="411"/>
      <c r="IB54" s="411"/>
      <c r="IC54" s="411"/>
      <c r="ID54" s="411"/>
      <c r="IE54" s="411"/>
      <c r="IF54" s="411"/>
      <c r="IG54" s="411"/>
      <c r="IH54" s="411"/>
      <c r="II54" s="394"/>
      <c r="IJ54" s="411"/>
      <c r="IK54" s="411"/>
      <c r="IL54" s="411"/>
      <c r="IM54" s="411"/>
      <c r="IN54" s="411"/>
      <c r="IP54" s="411"/>
      <c r="IR54" s="411"/>
      <c r="IS54" s="411"/>
      <c r="IU54" s="411"/>
      <c r="IW54" s="411"/>
      <c r="IX54" s="411"/>
      <c r="IY54" s="411"/>
      <c r="IZ54" s="411"/>
      <c r="JA54" s="411"/>
      <c r="JB54" s="411"/>
      <c r="JC54" s="411"/>
      <c r="JD54" s="411"/>
      <c r="JE54" s="411"/>
      <c r="JF54" s="411"/>
      <c r="JG54" s="411"/>
    </row>
    <row r="55" spans="1:267" ht="12.75" customHeight="1" x14ac:dyDescent="0.3">
      <c r="A55" s="754" t="s">
        <v>967</v>
      </c>
      <c r="B55" s="757" t="s">
        <v>168</v>
      </c>
      <c r="C55" s="757" t="s">
        <v>174</v>
      </c>
      <c r="D55" s="757" t="s">
        <v>168</v>
      </c>
      <c r="E55" s="757" t="s">
        <v>353</v>
      </c>
      <c r="F55" s="757" t="s">
        <v>353</v>
      </c>
      <c r="G55" s="757">
        <v>5.923</v>
      </c>
      <c r="H55" s="757">
        <v>53</v>
      </c>
      <c r="I55" s="757">
        <v>313.89999999999998</v>
      </c>
      <c r="J55" s="757">
        <v>17</v>
      </c>
      <c r="K55" s="757">
        <v>10</v>
      </c>
      <c r="L55" s="757">
        <v>15</v>
      </c>
      <c r="M55" s="757">
        <v>224.32</v>
      </c>
      <c r="N55" s="757">
        <v>1.6222219999999999E-2</v>
      </c>
      <c r="O55" s="757">
        <v>14</v>
      </c>
      <c r="P55" s="757">
        <v>19.5</v>
      </c>
      <c r="Q55" s="757" t="s">
        <v>353</v>
      </c>
      <c r="S55" s="765">
        <v>735.82299999999998</v>
      </c>
      <c r="T55" s="765">
        <v>436.80099999999999</v>
      </c>
      <c r="U55" s="765">
        <v>611.42499999999995</v>
      </c>
      <c r="V55" s="765">
        <v>487.947</v>
      </c>
      <c r="W55" s="765">
        <v>432.01</v>
      </c>
      <c r="X55" s="409"/>
      <c r="Y55" s="780">
        <v>185.869</v>
      </c>
      <c r="Z55" s="776">
        <v>0.98</v>
      </c>
      <c r="AA55" s="777">
        <v>0.89500000000000002</v>
      </c>
      <c r="AB55" s="779">
        <v>0.75</v>
      </c>
      <c r="AC55" s="779">
        <v>0.745</v>
      </c>
      <c r="AD55" s="779">
        <v>1.07</v>
      </c>
      <c r="AE55" s="776">
        <v>0.98</v>
      </c>
      <c r="AF55" s="780">
        <v>20.693000000000001</v>
      </c>
      <c r="AG55" s="781">
        <v>45</v>
      </c>
      <c r="AH55" s="781">
        <v>24.388000000000002</v>
      </c>
      <c r="AI55" s="781">
        <v>27.87</v>
      </c>
      <c r="AJ55" s="781">
        <v>36.311999999999998</v>
      </c>
      <c r="AK55" s="781">
        <v>20</v>
      </c>
      <c r="AL55" s="781">
        <v>15.488</v>
      </c>
      <c r="AM55" s="781">
        <v>44.706000000000003</v>
      </c>
      <c r="AN55" s="781">
        <v>30.062999999999999</v>
      </c>
      <c r="AO55" s="781">
        <v>38.595999999999997</v>
      </c>
      <c r="AP55" s="781">
        <v>16.5</v>
      </c>
      <c r="AQ55" s="782">
        <v>151.286</v>
      </c>
      <c r="AR55" s="411"/>
      <c r="AS55" s="411"/>
      <c r="AT55" s="411"/>
      <c r="AU55" s="411"/>
      <c r="AV55" s="411"/>
      <c r="AW55" s="412"/>
      <c r="AX55" s="780">
        <v>185.869</v>
      </c>
      <c r="AY55" s="776"/>
      <c r="AZ55" s="851">
        <v>0.89500000000000002</v>
      </c>
      <c r="BA55" s="853">
        <v>0.75</v>
      </c>
      <c r="BB55" s="853">
        <v>0.745</v>
      </c>
      <c r="BC55" s="853">
        <v>1.07</v>
      </c>
      <c r="BD55" s="776"/>
      <c r="BE55" s="808"/>
      <c r="BF55" s="776"/>
      <c r="BG55" s="851">
        <v>0.89500000000000002</v>
      </c>
      <c r="BH55" s="853">
        <v>0.75</v>
      </c>
      <c r="BI55" s="853">
        <v>0.745</v>
      </c>
      <c r="BJ55" s="853">
        <v>1.07</v>
      </c>
      <c r="BK55" s="776"/>
      <c r="BL55" s="834"/>
      <c r="BM55" s="776">
        <v>0.98</v>
      </c>
      <c r="BN55" s="777">
        <v>0.89500000000000002</v>
      </c>
      <c r="BO55" s="779">
        <v>0.75</v>
      </c>
      <c r="BP55" s="779">
        <v>0.745</v>
      </c>
      <c r="BQ55" s="779">
        <v>1.07</v>
      </c>
      <c r="BR55" s="776">
        <v>0.98</v>
      </c>
      <c r="BS55" s="842"/>
      <c r="BT55" s="776">
        <v>0.98</v>
      </c>
      <c r="BU55" s="777">
        <v>0.89500000000000002</v>
      </c>
      <c r="BV55" s="779">
        <v>0.75</v>
      </c>
      <c r="BW55" s="779">
        <v>0.745</v>
      </c>
      <c r="BX55" s="779">
        <v>1.07</v>
      </c>
      <c r="BY55" s="776">
        <v>0.98</v>
      </c>
      <c r="BZ55" s="774"/>
      <c r="CA55" s="776">
        <v>0.98</v>
      </c>
      <c r="CB55" s="777">
        <v>0.89500000000000002</v>
      </c>
      <c r="CC55" s="779">
        <v>0.75</v>
      </c>
      <c r="CD55" s="779">
        <v>0.745</v>
      </c>
      <c r="CE55" s="779">
        <v>1.07</v>
      </c>
      <c r="CF55" s="776">
        <v>0.98</v>
      </c>
      <c r="CG55" s="834"/>
      <c r="CH55" s="776">
        <v>0.98</v>
      </c>
      <c r="CI55" s="777">
        <v>0.89500000000000002</v>
      </c>
      <c r="CJ55" s="779">
        <v>0.75</v>
      </c>
      <c r="CK55" s="779">
        <v>0.745</v>
      </c>
      <c r="CL55" s="779">
        <v>1.07</v>
      </c>
      <c r="CM55" s="776">
        <v>0.98</v>
      </c>
      <c r="CN55" s="834"/>
      <c r="CO55" s="776">
        <v>0.98</v>
      </c>
      <c r="CP55" s="777">
        <v>0.89500000000000002</v>
      </c>
      <c r="CQ55" s="779">
        <v>0.75</v>
      </c>
      <c r="CR55" s="779">
        <v>0.745</v>
      </c>
      <c r="CS55" s="779">
        <v>1.07</v>
      </c>
      <c r="CT55" s="776">
        <v>0.98</v>
      </c>
      <c r="CU55" s="396"/>
      <c r="CV55" s="776">
        <v>0.98</v>
      </c>
      <c r="CW55" s="777">
        <v>0.89500000000000002</v>
      </c>
      <c r="CX55" s="779">
        <v>0.75</v>
      </c>
      <c r="CY55" s="779">
        <v>0.745</v>
      </c>
      <c r="CZ55" s="779">
        <v>1.07</v>
      </c>
      <c r="DA55" s="776">
        <v>0.98</v>
      </c>
      <c r="DB55" s="396"/>
      <c r="DC55" s="411"/>
      <c r="DD55" s="411"/>
      <c r="DE55" s="411"/>
      <c r="DF55" s="411"/>
      <c r="DG55" s="411"/>
      <c r="DH55" s="411"/>
      <c r="DI55" s="411"/>
      <c r="DJ55" s="411"/>
      <c r="DK55" s="411"/>
      <c r="DL55" s="411"/>
      <c r="DM55" s="411"/>
      <c r="DN55" s="394"/>
      <c r="DO55" s="411"/>
      <c r="DP55" s="411"/>
      <c r="DQ55" s="411"/>
      <c r="DR55" s="411"/>
      <c r="DS55" s="411"/>
      <c r="DU55" s="411"/>
      <c r="DW55" s="411"/>
      <c r="DX55" s="411"/>
      <c r="DZ55" s="411"/>
      <c r="EB55" s="411"/>
      <c r="EC55" s="411"/>
      <c r="ED55" s="411"/>
      <c r="EE55" s="411"/>
      <c r="EF55" s="411"/>
      <c r="EG55" s="411"/>
      <c r="EH55" s="411"/>
      <c r="EI55" s="411"/>
      <c r="EJ55" s="411"/>
      <c r="EK55" s="411"/>
      <c r="EL55" s="411"/>
      <c r="EM55" s="394"/>
      <c r="EN55" s="411"/>
      <c r="EO55" s="411"/>
      <c r="EP55" s="411"/>
      <c r="EQ55" s="411"/>
      <c r="ER55" s="411"/>
      <c r="ES55" s="412"/>
      <c r="ET55" s="411"/>
      <c r="EU55" s="412"/>
      <c r="EV55" s="411"/>
      <c r="EW55" s="411"/>
      <c r="EX55" s="396"/>
      <c r="EY55" s="411"/>
      <c r="EZ55" s="396"/>
      <c r="FA55" s="411"/>
      <c r="FB55" s="411"/>
      <c r="FC55" s="411"/>
      <c r="FD55" s="411"/>
      <c r="FE55" s="411"/>
      <c r="FF55" s="411"/>
      <c r="FG55" s="411"/>
      <c r="FH55" s="411"/>
      <c r="FI55" s="411"/>
      <c r="FJ55" s="411"/>
      <c r="FK55" s="411"/>
      <c r="FL55" s="394"/>
      <c r="FM55" s="411"/>
      <c r="FN55" s="411"/>
      <c r="FO55" s="411"/>
      <c r="FP55" s="411"/>
      <c r="FQ55" s="411"/>
      <c r="FR55" s="396"/>
      <c r="FS55" s="411"/>
      <c r="FT55" s="396"/>
      <c r="FU55" s="411"/>
      <c r="FV55" s="411"/>
      <c r="FW55" s="396"/>
      <c r="FX55" s="411"/>
      <c r="FY55" s="396"/>
      <c r="FZ55" s="411"/>
      <c r="GA55" s="411"/>
      <c r="GB55" s="411"/>
      <c r="GC55" s="411"/>
      <c r="GD55" s="411"/>
      <c r="GE55" s="411"/>
      <c r="GF55" s="411"/>
      <c r="GG55" s="411"/>
      <c r="GH55" s="411"/>
      <c r="GI55" s="411"/>
      <c r="GJ55" s="411"/>
      <c r="GL55" s="411"/>
      <c r="GM55" s="411"/>
      <c r="GN55" s="411"/>
      <c r="GO55" s="411"/>
      <c r="GP55" s="411"/>
      <c r="GR55" s="411"/>
      <c r="GT55" s="411"/>
      <c r="GU55" s="411"/>
      <c r="GW55" s="411"/>
      <c r="GY55" s="411"/>
      <c r="GZ55" s="411"/>
      <c r="HA55" s="411"/>
      <c r="HB55" s="411"/>
      <c r="HC55" s="411"/>
      <c r="HD55" s="411"/>
      <c r="HE55" s="411"/>
      <c r="HF55" s="411"/>
      <c r="HG55" s="411"/>
      <c r="HH55" s="411"/>
      <c r="HI55" s="411"/>
      <c r="HK55" s="411"/>
      <c r="HL55" s="411"/>
      <c r="HM55" s="411"/>
      <c r="HN55" s="411"/>
      <c r="HO55" s="411"/>
      <c r="HQ55" s="411"/>
      <c r="HS55" s="411"/>
      <c r="HT55" s="411"/>
      <c r="HV55" s="411"/>
      <c r="HX55" s="411"/>
      <c r="HY55" s="411"/>
      <c r="HZ55" s="411"/>
      <c r="IA55" s="411"/>
      <c r="IB55" s="411"/>
      <c r="IC55" s="411"/>
      <c r="ID55" s="411"/>
      <c r="IE55" s="411"/>
      <c r="IF55" s="411"/>
      <c r="IG55" s="411"/>
      <c r="IH55" s="411"/>
      <c r="II55" s="394"/>
      <c r="IJ55" s="411"/>
      <c r="IK55" s="411"/>
      <c r="IL55" s="411"/>
      <c r="IM55" s="411"/>
      <c r="IN55" s="411"/>
      <c r="IP55" s="411"/>
      <c r="IR55" s="411"/>
      <c r="IS55" s="411"/>
      <c r="IU55" s="411"/>
      <c r="IW55" s="411"/>
      <c r="IX55" s="411"/>
      <c r="IY55" s="411"/>
      <c r="IZ55" s="411"/>
      <c r="JA55" s="411"/>
      <c r="JB55" s="411"/>
      <c r="JC55" s="411"/>
      <c r="JD55" s="411"/>
      <c r="JE55" s="411"/>
      <c r="JF55" s="411"/>
      <c r="JG55" s="411"/>
    </row>
    <row r="56" spans="1:267" x14ac:dyDescent="0.3">
      <c r="A56" s="754" t="s">
        <v>968</v>
      </c>
      <c r="B56" s="757" t="s">
        <v>168</v>
      </c>
      <c r="C56" s="757" t="s">
        <v>174</v>
      </c>
      <c r="D56" s="757" t="s">
        <v>168</v>
      </c>
      <c r="E56" s="757" t="s">
        <v>355</v>
      </c>
      <c r="F56" s="757" t="s">
        <v>353</v>
      </c>
      <c r="G56" s="757">
        <v>5.851</v>
      </c>
      <c r="H56" s="757">
        <v>53</v>
      </c>
      <c r="I56" s="757">
        <v>310.10000000000002</v>
      </c>
      <c r="J56" s="757">
        <v>8</v>
      </c>
      <c r="K56" s="757">
        <v>15</v>
      </c>
      <c r="L56" s="757">
        <v>18</v>
      </c>
      <c r="M56" s="757">
        <v>209.09</v>
      </c>
      <c r="N56" s="757">
        <v>2.213E-2</v>
      </c>
      <c r="O56" s="757">
        <v>19</v>
      </c>
      <c r="P56" s="757">
        <v>23</v>
      </c>
      <c r="Q56" s="757" t="s">
        <v>30</v>
      </c>
      <c r="S56" s="760">
        <v>669.86</v>
      </c>
      <c r="T56" s="760">
        <v>590.44000000000005</v>
      </c>
      <c r="U56" s="760">
        <v>588.15599999999995</v>
      </c>
      <c r="V56" s="760">
        <v>696.40800000000002</v>
      </c>
      <c r="W56" s="760">
        <v>458.04</v>
      </c>
      <c r="X56" s="407"/>
      <c r="Y56" s="780">
        <v>130.98400000000001</v>
      </c>
      <c r="Z56" s="776"/>
      <c r="AA56" s="780">
        <v>0.82699999999999996</v>
      </c>
      <c r="AB56" s="783">
        <v>0.71199999999999997</v>
      </c>
      <c r="AC56" s="775">
        <v>0.71199999999999997</v>
      </c>
      <c r="AD56" s="795">
        <v>1.0860000000000001</v>
      </c>
      <c r="AE56" s="776">
        <v>0.97</v>
      </c>
      <c r="AF56" s="780">
        <v>20.98</v>
      </c>
      <c r="AG56" s="781">
        <v>52</v>
      </c>
      <c r="AH56" s="781">
        <v>28.6</v>
      </c>
      <c r="AI56" s="781">
        <v>27.07</v>
      </c>
      <c r="AJ56" s="781">
        <v>24.79</v>
      </c>
      <c r="AK56" s="781">
        <v>15.26</v>
      </c>
      <c r="AL56" s="781">
        <v>19.34</v>
      </c>
      <c r="AM56" s="781">
        <v>32.869999999999997</v>
      </c>
      <c r="AN56" s="781">
        <v>45.77</v>
      </c>
      <c r="AO56" s="781">
        <v>21.27</v>
      </c>
      <c r="AP56" s="781">
        <v>15.26</v>
      </c>
      <c r="AQ56" s="782">
        <v>161.87</v>
      </c>
      <c r="AR56" s="411"/>
      <c r="AS56" s="411"/>
      <c r="AT56" s="411"/>
      <c r="AU56" s="411"/>
      <c r="AV56" s="411"/>
      <c r="AW56" s="394"/>
      <c r="AX56" s="780">
        <v>130.98400000000001</v>
      </c>
      <c r="AY56" s="776"/>
      <c r="AZ56" s="854">
        <v>0.82699999999999996</v>
      </c>
      <c r="BA56" s="855">
        <v>0.71199999999999997</v>
      </c>
      <c r="BB56" s="856">
        <v>0.71199999999999997</v>
      </c>
      <c r="BC56" s="860">
        <v>1.0860000000000001</v>
      </c>
      <c r="BD56" s="776"/>
      <c r="BE56" s="808"/>
      <c r="BF56" s="776"/>
      <c r="BG56" s="854">
        <v>0.82699999999999996</v>
      </c>
      <c r="BH56" s="855">
        <v>0.71199999999999997</v>
      </c>
      <c r="BI56" s="856">
        <v>0.71199999999999997</v>
      </c>
      <c r="BJ56" s="860">
        <v>1.0860000000000001</v>
      </c>
      <c r="BK56" s="776"/>
      <c r="BL56" s="834"/>
      <c r="BM56" s="776"/>
      <c r="BN56" s="780">
        <v>0.82699999999999996</v>
      </c>
      <c r="BO56" s="783">
        <v>0.71199999999999997</v>
      </c>
      <c r="BP56" s="775">
        <v>0.71199999999999997</v>
      </c>
      <c r="BQ56" s="795">
        <v>1.0860000000000001</v>
      </c>
      <c r="BR56" s="776">
        <v>0.97</v>
      </c>
      <c r="BS56" s="842"/>
      <c r="BT56" s="776"/>
      <c r="BU56" s="780">
        <v>0.82699999999999996</v>
      </c>
      <c r="BV56" s="783">
        <v>0.71199999999999997</v>
      </c>
      <c r="BW56" s="775">
        <v>0.71199999999999997</v>
      </c>
      <c r="BX56" s="795">
        <v>1.0860000000000001</v>
      </c>
      <c r="BY56" s="776">
        <v>0.97</v>
      </c>
      <c r="BZ56" s="774"/>
      <c r="CA56" s="776"/>
      <c r="CB56" s="780">
        <v>0.82699999999999996</v>
      </c>
      <c r="CC56" s="783">
        <v>0.71199999999999997</v>
      </c>
      <c r="CD56" s="775">
        <v>0.71199999999999997</v>
      </c>
      <c r="CE56" s="795">
        <v>1.0860000000000001</v>
      </c>
      <c r="CF56" s="776">
        <v>0.97</v>
      </c>
      <c r="CG56" s="834"/>
      <c r="CH56" s="776"/>
      <c r="CI56" s="780">
        <v>0.82699999999999996</v>
      </c>
      <c r="CJ56" s="783">
        <v>0.71199999999999997</v>
      </c>
      <c r="CK56" s="775">
        <v>0.71199999999999997</v>
      </c>
      <c r="CL56" s="795">
        <v>1.0860000000000001</v>
      </c>
      <c r="CM56" s="776">
        <v>0.97</v>
      </c>
      <c r="CN56" s="834"/>
      <c r="CO56" s="776"/>
      <c r="CP56" s="780">
        <v>0.82699999999999996</v>
      </c>
      <c r="CQ56" s="783">
        <v>0.71199999999999997</v>
      </c>
      <c r="CR56" s="775">
        <v>0.71199999999999997</v>
      </c>
      <c r="CS56" s="795">
        <v>1.0860000000000001</v>
      </c>
      <c r="CT56" s="776">
        <v>0.97</v>
      </c>
      <c r="CU56" s="418"/>
      <c r="CV56" s="776"/>
      <c r="CW56" s="780">
        <v>0.82699999999999996</v>
      </c>
      <c r="CX56" s="783">
        <v>0.71199999999999997</v>
      </c>
      <c r="CY56" s="775">
        <v>0.71199999999999997</v>
      </c>
      <c r="CZ56" s="795">
        <v>1.0860000000000001</v>
      </c>
      <c r="DA56" s="776">
        <v>0.97</v>
      </c>
      <c r="DB56" s="418"/>
      <c r="DC56" s="417"/>
      <c r="DD56" s="417"/>
      <c r="DE56" s="417"/>
      <c r="DF56" s="417"/>
      <c r="DG56" s="417"/>
      <c r="DH56" s="417"/>
      <c r="DI56" s="417"/>
      <c r="DJ56" s="417"/>
      <c r="DK56" s="417"/>
      <c r="DL56" s="417"/>
      <c r="DM56" s="417"/>
      <c r="DN56" s="394"/>
      <c r="DO56" s="411"/>
      <c r="DP56" s="411"/>
      <c r="DQ56" s="411"/>
      <c r="DR56" s="411"/>
      <c r="DS56" s="411"/>
      <c r="DU56" s="411"/>
      <c r="DW56" s="411"/>
      <c r="DX56" s="411"/>
      <c r="DZ56" s="411"/>
      <c r="EB56" s="411"/>
      <c r="EC56" s="411"/>
      <c r="ED56" s="411"/>
      <c r="EE56" s="411"/>
      <c r="EF56" s="411"/>
      <c r="EG56" s="411"/>
      <c r="EH56" s="411"/>
      <c r="EI56" s="411"/>
      <c r="EJ56" s="411"/>
      <c r="EK56" s="411"/>
      <c r="EL56" s="411"/>
      <c r="EM56" s="394"/>
      <c r="EN56" s="411"/>
      <c r="EO56" s="411"/>
      <c r="EP56" s="411"/>
      <c r="EQ56" s="411"/>
      <c r="ER56" s="411"/>
      <c r="ES56" s="394"/>
      <c r="ET56" s="411"/>
      <c r="EU56" s="412"/>
      <c r="EV56" s="417"/>
      <c r="EW56" s="417"/>
      <c r="EX56" s="418"/>
      <c r="EY56" s="417"/>
      <c r="EZ56" s="418"/>
      <c r="FA56" s="417"/>
      <c r="FB56" s="417"/>
      <c r="FC56" s="417"/>
      <c r="FD56" s="417"/>
      <c r="FE56" s="417"/>
      <c r="FF56" s="417"/>
      <c r="FG56" s="417"/>
      <c r="FH56" s="417"/>
      <c r="FI56" s="417"/>
      <c r="FJ56" s="417"/>
      <c r="FK56" s="417"/>
      <c r="FL56" s="394"/>
      <c r="FM56" s="411"/>
      <c r="FN56" s="411"/>
      <c r="FO56" s="411"/>
      <c r="FP56" s="411"/>
      <c r="FQ56" s="411"/>
      <c r="FS56" s="411"/>
      <c r="FT56" s="396"/>
      <c r="FU56" s="411"/>
      <c r="FV56" s="411"/>
      <c r="FW56" s="396"/>
      <c r="FX56" s="411"/>
      <c r="FY56" s="396"/>
      <c r="FZ56" s="411"/>
      <c r="GA56" s="411"/>
      <c r="GB56" s="411"/>
      <c r="GC56" s="411"/>
      <c r="GD56" s="411"/>
      <c r="GE56" s="411"/>
      <c r="GF56" s="411"/>
      <c r="GG56" s="411"/>
      <c r="GH56" s="411"/>
      <c r="GI56" s="411"/>
      <c r="GJ56" s="411"/>
      <c r="GL56" s="411"/>
      <c r="GM56" s="411"/>
      <c r="GN56" s="411"/>
      <c r="GO56" s="411"/>
      <c r="GP56" s="411"/>
      <c r="GR56" s="411"/>
      <c r="GT56" s="411"/>
      <c r="GU56" s="411"/>
      <c r="GW56" s="411"/>
      <c r="GY56" s="411"/>
      <c r="GZ56" s="411"/>
      <c r="HA56" s="411"/>
      <c r="HB56" s="411"/>
      <c r="HC56" s="411"/>
      <c r="HD56" s="411"/>
      <c r="HE56" s="411"/>
      <c r="HF56" s="411"/>
      <c r="HG56" s="411"/>
      <c r="HH56" s="411"/>
      <c r="HI56" s="411"/>
      <c r="HK56" s="411"/>
      <c r="HL56" s="411"/>
      <c r="HM56" s="411"/>
      <c r="HN56" s="411"/>
      <c r="HO56" s="411"/>
      <c r="HQ56" s="411"/>
      <c r="HS56" s="411"/>
      <c r="HT56" s="411"/>
      <c r="HV56" s="411"/>
      <c r="HX56" s="411"/>
      <c r="HY56" s="411"/>
      <c r="HZ56" s="411"/>
      <c r="IA56" s="411"/>
      <c r="IB56" s="411"/>
      <c r="IC56" s="411"/>
      <c r="ID56" s="411"/>
      <c r="IE56" s="411"/>
      <c r="IF56" s="411"/>
      <c r="IG56" s="411"/>
      <c r="IH56" s="411"/>
      <c r="II56" s="394"/>
      <c r="IJ56" s="417"/>
      <c r="IK56" s="417"/>
      <c r="IL56" s="417"/>
      <c r="IM56" s="417"/>
      <c r="IN56" s="417"/>
      <c r="IO56" s="418"/>
      <c r="IP56" s="417"/>
      <c r="IQ56" s="418"/>
      <c r="IR56" s="417"/>
      <c r="IS56" s="417"/>
      <c r="IT56" s="418"/>
      <c r="IU56" s="417"/>
      <c r="IV56" s="418"/>
      <c r="IW56" s="417"/>
      <c r="IX56" s="417"/>
      <c r="IY56" s="417"/>
      <c r="IZ56" s="417"/>
      <c r="JA56" s="417"/>
      <c r="JB56" s="417"/>
      <c r="JC56" s="417"/>
      <c r="JD56" s="417"/>
      <c r="JE56" s="417"/>
      <c r="JF56" s="417"/>
      <c r="JG56" s="417"/>
    </row>
    <row r="57" spans="1:267" ht="12.75" customHeight="1" x14ac:dyDescent="0.3">
      <c r="A57" s="753" t="s">
        <v>844</v>
      </c>
      <c r="B57" s="757" t="s">
        <v>168</v>
      </c>
      <c r="C57" s="757" t="s">
        <v>30</v>
      </c>
      <c r="D57" s="757" t="s">
        <v>168</v>
      </c>
      <c r="E57" s="757" t="s">
        <v>353</v>
      </c>
      <c r="F57" s="757" t="s">
        <v>168</v>
      </c>
      <c r="G57" s="757">
        <v>6.968</v>
      </c>
      <c r="H57" s="757">
        <v>44</v>
      </c>
      <c r="I57" s="757">
        <v>306.60000000000002</v>
      </c>
      <c r="J57" s="757">
        <v>18</v>
      </c>
      <c r="K57" s="757">
        <v>16</v>
      </c>
      <c r="L57" s="757">
        <v>13</v>
      </c>
      <c r="M57" s="757">
        <v>241.1</v>
      </c>
      <c r="N57" s="757">
        <v>3.3000000000000002E-2</v>
      </c>
      <c r="O57" s="757">
        <v>22</v>
      </c>
      <c r="P57" s="757">
        <v>13.5</v>
      </c>
      <c r="Q57" s="757" t="s">
        <v>30</v>
      </c>
      <c r="S57" s="760">
        <v>592.28800000000001</v>
      </c>
      <c r="T57" s="760">
        <v>714.29399999999998</v>
      </c>
      <c r="U57" s="760">
        <v>446.685</v>
      </c>
      <c r="V57" s="760">
        <v>609.35799999999995</v>
      </c>
      <c r="W57" s="760">
        <v>370.50099999999998</v>
      </c>
      <c r="X57" s="409"/>
      <c r="Y57" s="797">
        <v>50.109000000000002</v>
      </c>
      <c r="Z57" s="776"/>
      <c r="AA57" s="780">
        <v>0.875</v>
      </c>
      <c r="AB57" s="783">
        <v>0.51500000000000001</v>
      </c>
      <c r="AC57" s="775">
        <v>0.51500000000000001</v>
      </c>
      <c r="AD57" s="795">
        <v>1.08</v>
      </c>
      <c r="AE57" s="776"/>
      <c r="AF57" s="780">
        <v>28.34</v>
      </c>
      <c r="AG57" s="781">
        <v>51</v>
      </c>
      <c r="AH57" s="781">
        <v>28.34</v>
      </c>
      <c r="AI57" s="781">
        <v>31.85</v>
      </c>
      <c r="AJ57" s="781">
        <v>33.340000000000003</v>
      </c>
      <c r="AK57" s="781">
        <v>20.010000000000002</v>
      </c>
      <c r="AL57" s="781">
        <v>16.670000000000002</v>
      </c>
      <c r="AM57" s="781">
        <v>40.01</v>
      </c>
      <c r="AN57" s="781">
        <v>45.02</v>
      </c>
      <c r="AO57" s="781">
        <v>50.29</v>
      </c>
      <c r="AP57" s="781">
        <v>15.01</v>
      </c>
      <c r="AQ57" s="782">
        <v>112.887</v>
      </c>
      <c r="AR57" s="411"/>
      <c r="AS57" s="411"/>
      <c r="AT57" s="411"/>
      <c r="AU57" s="411"/>
      <c r="AV57" s="411"/>
      <c r="AW57" s="412"/>
      <c r="AX57" s="797">
        <v>50.109000000000002</v>
      </c>
      <c r="AY57" s="776"/>
      <c r="AZ57" s="854">
        <v>0.875</v>
      </c>
      <c r="BA57" s="855">
        <v>0.51500000000000001</v>
      </c>
      <c r="BB57" s="856">
        <v>0.51500000000000001</v>
      </c>
      <c r="BC57" s="860">
        <v>1.08</v>
      </c>
      <c r="BD57" s="776"/>
      <c r="BE57" s="808"/>
      <c r="BF57" s="776"/>
      <c r="BG57" s="854">
        <v>0.875</v>
      </c>
      <c r="BH57" s="855">
        <v>0.51500000000000001</v>
      </c>
      <c r="BI57" s="856">
        <v>0.51500000000000001</v>
      </c>
      <c r="BJ57" s="860">
        <v>1.08</v>
      </c>
      <c r="BK57" s="776"/>
      <c r="BL57" s="834"/>
      <c r="BM57" s="776"/>
      <c r="BN57" s="780">
        <v>0.875</v>
      </c>
      <c r="BO57" s="783">
        <v>0.51500000000000001</v>
      </c>
      <c r="BP57" s="775">
        <v>0.51500000000000001</v>
      </c>
      <c r="BQ57" s="795">
        <v>1.08</v>
      </c>
      <c r="BR57" s="776"/>
      <c r="BS57" s="842"/>
      <c r="BT57" s="776"/>
      <c r="BU57" s="780">
        <v>0.875</v>
      </c>
      <c r="BV57" s="783">
        <v>0.51500000000000001</v>
      </c>
      <c r="BW57" s="775">
        <v>0.51500000000000001</v>
      </c>
      <c r="BX57" s="795">
        <v>1.08</v>
      </c>
      <c r="BY57" s="776"/>
      <c r="BZ57" s="774"/>
      <c r="CA57" s="776"/>
      <c r="CB57" s="780">
        <v>0.875</v>
      </c>
      <c r="CC57" s="783">
        <v>0.51500000000000001</v>
      </c>
      <c r="CD57" s="775">
        <v>0.51500000000000001</v>
      </c>
      <c r="CE57" s="795">
        <v>1.08</v>
      </c>
      <c r="CF57" s="776"/>
      <c r="CG57" s="834"/>
      <c r="CH57" s="776"/>
      <c r="CI57" s="780">
        <v>0.875</v>
      </c>
      <c r="CJ57" s="783">
        <v>0.51500000000000001</v>
      </c>
      <c r="CK57" s="775">
        <v>0.51500000000000001</v>
      </c>
      <c r="CL57" s="795">
        <v>1.08</v>
      </c>
      <c r="CM57" s="776"/>
      <c r="CN57" s="834"/>
      <c r="CO57" s="776"/>
      <c r="CP57" s="780">
        <v>0.875</v>
      </c>
      <c r="CQ57" s="783">
        <v>0.51500000000000001</v>
      </c>
      <c r="CR57" s="775">
        <v>0.51500000000000001</v>
      </c>
      <c r="CS57" s="795">
        <v>1.08</v>
      </c>
      <c r="CT57" s="776"/>
      <c r="CV57" s="776"/>
      <c r="CW57" s="780">
        <v>0.875</v>
      </c>
      <c r="CX57" s="783">
        <v>0.51500000000000001</v>
      </c>
      <c r="CY57" s="775">
        <v>0.51500000000000001</v>
      </c>
      <c r="CZ57" s="795">
        <v>1.08</v>
      </c>
      <c r="DA57" s="776"/>
      <c r="DB57" s="396"/>
      <c r="DC57" s="411"/>
      <c r="DD57" s="411"/>
      <c r="DE57" s="411"/>
      <c r="DF57" s="411"/>
      <c r="DG57" s="411"/>
      <c r="DH57" s="411"/>
      <c r="DI57" s="411"/>
      <c r="DJ57" s="411"/>
      <c r="DK57" s="411"/>
      <c r="DL57" s="411"/>
      <c r="DM57" s="411"/>
      <c r="DN57" s="394"/>
      <c r="DO57" s="411"/>
      <c r="DP57" s="411"/>
      <c r="DQ57" s="411"/>
      <c r="DR57" s="411"/>
      <c r="DS57" s="411"/>
      <c r="DU57" s="411"/>
      <c r="DW57" s="411"/>
      <c r="DX57" s="411"/>
      <c r="DZ57" s="411"/>
      <c r="EB57" s="411"/>
      <c r="EC57" s="411"/>
      <c r="ED57" s="411"/>
      <c r="EE57" s="411"/>
      <c r="EF57" s="411"/>
      <c r="EG57" s="411"/>
      <c r="EH57" s="421"/>
      <c r="EI57" s="421"/>
      <c r="EJ57" s="421"/>
      <c r="EK57" s="421"/>
      <c r="EL57" s="421"/>
      <c r="EM57" s="394"/>
      <c r="EN57" s="411"/>
      <c r="EO57" s="411"/>
      <c r="EP57" s="411"/>
      <c r="EQ57" s="411"/>
      <c r="ER57" s="411"/>
      <c r="ES57" s="394"/>
      <c r="ET57" s="411"/>
      <c r="EU57" s="394"/>
      <c r="EV57" s="411"/>
      <c r="EW57" s="411"/>
      <c r="EX57" s="396"/>
      <c r="EY57" s="411"/>
      <c r="EZ57" s="396"/>
      <c r="FA57" s="411"/>
      <c r="FB57" s="411"/>
      <c r="FC57" s="411"/>
      <c r="FD57" s="411"/>
      <c r="FE57" s="411"/>
      <c r="FF57" s="411"/>
      <c r="FG57" s="411"/>
      <c r="FH57" s="411"/>
      <c r="FI57" s="411"/>
      <c r="FJ57" s="411"/>
      <c r="FK57" s="411"/>
      <c r="FL57" s="394"/>
      <c r="FM57" s="411"/>
      <c r="FN57" s="411"/>
      <c r="FO57" s="411"/>
      <c r="FP57" s="411"/>
      <c r="FQ57" s="411"/>
      <c r="FR57" s="394"/>
      <c r="FS57" s="411"/>
      <c r="FT57" s="394"/>
      <c r="FU57" s="411"/>
      <c r="FV57" s="411"/>
      <c r="FW57" s="394"/>
      <c r="FX57" s="411"/>
      <c r="FY57" s="394"/>
      <c r="FZ57" s="411"/>
      <c r="GA57" s="411"/>
      <c r="GB57" s="411"/>
      <c r="GC57" s="411"/>
      <c r="GD57" s="411"/>
      <c r="GE57" s="411"/>
      <c r="GF57" s="411"/>
      <c r="GG57" s="411"/>
      <c r="GH57" s="411"/>
      <c r="GI57" s="411"/>
      <c r="GJ57" s="411"/>
      <c r="GK57" s="394"/>
      <c r="GL57" s="411"/>
      <c r="GM57" s="411"/>
      <c r="GN57" s="411"/>
      <c r="GO57" s="411"/>
      <c r="GP57" s="411"/>
      <c r="GQ57" s="394"/>
      <c r="GR57" s="411"/>
      <c r="GS57" s="394"/>
      <c r="GT57" s="411"/>
      <c r="GU57" s="411"/>
      <c r="GV57" s="394"/>
      <c r="GW57" s="411"/>
      <c r="GX57" s="394"/>
      <c r="GY57" s="411"/>
      <c r="GZ57" s="411"/>
      <c r="HA57" s="411"/>
      <c r="HB57" s="411"/>
      <c r="HC57" s="411"/>
      <c r="HD57" s="411"/>
      <c r="HE57" s="411"/>
      <c r="HF57" s="411"/>
      <c r="HG57" s="411"/>
      <c r="HH57" s="411"/>
      <c r="HI57" s="411"/>
      <c r="HJ57" s="394"/>
      <c r="HK57" s="411"/>
      <c r="HL57" s="411"/>
      <c r="HM57" s="411"/>
      <c r="HN57" s="411"/>
      <c r="HO57" s="411"/>
      <c r="HP57" s="394"/>
      <c r="HQ57" s="411"/>
      <c r="HR57" s="394"/>
      <c r="HS57" s="411"/>
      <c r="HT57" s="411"/>
      <c r="HU57" s="394"/>
      <c r="HV57" s="411"/>
      <c r="HW57" s="394"/>
      <c r="HX57" s="411"/>
      <c r="HY57" s="411"/>
      <c r="HZ57" s="411"/>
      <c r="IA57" s="411"/>
      <c r="IB57" s="411"/>
      <c r="IC57" s="411"/>
      <c r="ID57" s="411"/>
      <c r="IE57" s="411"/>
      <c r="IF57" s="411"/>
      <c r="IG57" s="411"/>
      <c r="IH57" s="411"/>
      <c r="II57" s="394"/>
      <c r="IJ57" s="411"/>
      <c r="IK57" s="411"/>
      <c r="IL57" s="411"/>
      <c r="IM57" s="411"/>
      <c r="IN57" s="411"/>
      <c r="IP57" s="411"/>
      <c r="IR57" s="411"/>
      <c r="IS57" s="411"/>
      <c r="IU57" s="411"/>
      <c r="IW57" s="411"/>
      <c r="IX57" s="411"/>
      <c r="IY57" s="411"/>
      <c r="IZ57" s="411"/>
      <c r="JA57" s="411"/>
      <c r="JB57" s="411"/>
      <c r="JC57" s="411"/>
      <c r="JD57" s="411"/>
      <c r="JE57" s="411"/>
      <c r="JF57" s="411"/>
      <c r="JG57" s="411"/>
    </row>
    <row r="58" spans="1:267" x14ac:dyDescent="0.3">
      <c r="A58" s="754" t="s">
        <v>969</v>
      </c>
      <c r="B58" s="757" t="s">
        <v>168</v>
      </c>
      <c r="C58" s="757" t="s">
        <v>174</v>
      </c>
      <c r="D58" s="757" t="s">
        <v>168</v>
      </c>
      <c r="E58" s="757" t="s">
        <v>168</v>
      </c>
      <c r="F58" s="757" t="s">
        <v>168</v>
      </c>
      <c r="G58" s="757">
        <v>5.86</v>
      </c>
      <c r="H58" s="757">
        <v>53</v>
      </c>
      <c r="I58" s="757">
        <v>310.60000000000002</v>
      </c>
      <c r="J58" s="757">
        <v>11</v>
      </c>
      <c r="K58" s="757">
        <v>18</v>
      </c>
      <c r="L58" s="757">
        <v>13</v>
      </c>
      <c r="M58" s="757">
        <v>236.36</v>
      </c>
      <c r="N58" s="757">
        <v>1.4370000000000001E-2</v>
      </c>
      <c r="O58" s="757">
        <v>14</v>
      </c>
      <c r="P58" s="757">
        <v>15</v>
      </c>
      <c r="Q58" s="757" t="s">
        <v>351</v>
      </c>
      <c r="S58" s="764">
        <v>423.5</v>
      </c>
      <c r="T58" s="760">
        <v>640.255</v>
      </c>
      <c r="U58" s="760">
        <v>516.67100000000005</v>
      </c>
      <c r="V58" s="760">
        <v>549.697</v>
      </c>
      <c r="W58" s="760">
        <v>530.67700000000002</v>
      </c>
      <c r="X58" s="409"/>
      <c r="Y58" s="775">
        <v>86</v>
      </c>
      <c r="Z58" s="776">
        <v>0.97</v>
      </c>
      <c r="AA58" s="777">
        <v>0.86</v>
      </c>
      <c r="AB58" s="779">
        <v>0.60799999999999998</v>
      </c>
      <c r="AC58" s="779">
        <v>0.73299999999999998</v>
      </c>
      <c r="AD58" s="779">
        <v>1.165</v>
      </c>
      <c r="AE58" s="776">
        <v>0.97</v>
      </c>
      <c r="AF58" s="780">
        <v>19.12</v>
      </c>
      <c r="AG58" s="781">
        <v>35</v>
      </c>
      <c r="AH58" s="781">
        <v>22.58</v>
      </c>
      <c r="AI58" s="781">
        <v>31.27</v>
      </c>
      <c r="AJ58" s="781">
        <v>24.32</v>
      </c>
      <c r="AK58" s="781">
        <v>16.3</v>
      </c>
      <c r="AL58" s="781">
        <v>15.88</v>
      </c>
      <c r="AM58" s="781">
        <v>41.12</v>
      </c>
      <c r="AN58" s="781">
        <v>31.27</v>
      </c>
      <c r="AO58" s="781">
        <v>34.74</v>
      </c>
      <c r="AP58" s="781">
        <v>14.9</v>
      </c>
      <c r="AQ58" s="782">
        <v>141.124</v>
      </c>
      <c r="AR58" s="411"/>
      <c r="AS58" s="411"/>
      <c r="AT58" s="411"/>
      <c r="AU58" s="411"/>
      <c r="AV58" s="411"/>
      <c r="AW58" s="396"/>
      <c r="AX58" s="775">
        <v>86</v>
      </c>
      <c r="AY58" s="776"/>
      <c r="AZ58" s="851">
        <v>0.86</v>
      </c>
      <c r="BA58" s="853">
        <v>0.60799999999999998</v>
      </c>
      <c r="BB58" s="853">
        <v>0.73299999999999998</v>
      </c>
      <c r="BC58" s="853">
        <v>1.1220000000000001</v>
      </c>
      <c r="BD58" s="776"/>
      <c r="BE58" s="808"/>
      <c r="BF58" s="776"/>
      <c r="BG58" s="851">
        <v>0.86</v>
      </c>
      <c r="BH58" s="853">
        <v>0.60799999999999998</v>
      </c>
      <c r="BI58" s="853">
        <v>0.73299999999999998</v>
      </c>
      <c r="BJ58" s="853">
        <v>1.1220000000000001</v>
      </c>
      <c r="BK58" s="776"/>
      <c r="BL58" s="834"/>
      <c r="BM58" s="776">
        <v>0.97</v>
      </c>
      <c r="BN58" s="777">
        <v>0.86</v>
      </c>
      <c r="BO58" s="779">
        <v>0.60799999999999998</v>
      </c>
      <c r="BP58" s="779">
        <v>0.73299999999999998</v>
      </c>
      <c r="BQ58" s="779">
        <v>1.1220000000000001</v>
      </c>
      <c r="BR58" s="776">
        <v>0.97</v>
      </c>
      <c r="BS58" s="842"/>
      <c r="BT58" s="776">
        <v>0.97</v>
      </c>
      <c r="BU58" s="777">
        <v>0.86</v>
      </c>
      <c r="BV58" s="779">
        <v>0.60799999999999998</v>
      </c>
      <c r="BW58" s="779">
        <v>0.73299999999999998</v>
      </c>
      <c r="BX58" s="779">
        <v>1.1220000000000001</v>
      </c>
      <c r="BY58" s="776">
        <v>0.97</v>
      </c>
      <c r="BZ58" s="774"/>
      <c r="CA58" s="776">
        <v>0.97</v>
      </c>
      <c r="CB58" s="777">
        <v>0.86</v>
      </c>
      <c r="CC58" s="779">
        <v>0.60799999999999998</v>
      </c>
      <c r="CD58" s="779">
        <v>0.73299999999999998</v>
      </c>
      <c r="CE58" s="779">
        <v>1.1220000000000001</v>
      </c>
      <c r="CF58" s="776">
        <v>0.97</v>
      </c>
      <c r="CG58" s="834"/>
      <c r="CH58" s="776">
        <v>0.97</v>
      </c>
      <c r="CI58" s="777">
        <v>0.86</v>
      </c>
      <c r="CJ58" s="779">
        <v>0.60799999999999998</v>
      </c>
      <c r="CK58" s="779">
        <v>0.73299999999999998</v>
      </c>
      <c r="CL58" s="779">
        <v>1.1220000000000001</v>
      </c>
      <c r="CM58" s="776">
        <v>0.97</v>
      </c>
      <c r="CN58" s="834"/>
      <c r="CO58" s="776">
        <v>0.97</v>
      </c>
      <c r="CP58" s="777">
        <v>0.86</v>
      </c>
      <c r="CQ58" s="779">
        <v>0.60799999999999998</v>
      </c>
      <c r="CR58" s="779">
        <v>0.73299999999999998</v>
      </c>
      <c r="CS58" s="779">
        <v>1.1220000000000001</v>
      </c>
      <c r="CT58" s="776">
        <v>0.97</v>
      </c>
      <c r="CU58" s="418"/>
      <c r="CV58" s="776">
        <v>0.97</v>
      </c>
      <c r="CW58" s="777">
        <v>0.86</v>
      </c>
      <c r="CX58" s="779">
        <v>0.60799999999999998</v>
      </c>
      <c r="CY58" s="779">
        <v>0.73299999999999998</v>
      </c>
      <c r="CZ58" s="779">
        <v>1.1220000000000001</v>
      </c>
      <c r="DA58" s="776">
        <v>0.97</v>
      </c>
      <c r="DB58" s="418"/>
      <c r="DC58" s="417"/>
      <c r="DD58" s="417"/>
      <c r="DE58" s="417"/>
      <c r="DF58" s="417"/>
      <c r="DG58" s="417"/>
      <c r="DH58" s="417"/>
      <c r="DI58" s="417"/>
      <c r="DJ58" s="417"/>
      <c r="DK58" s="417"/>
      <c r="DL58" s="417"/>
      <c r="DM58" s="417"/>
      <c r="DN58" s="394"/>
      <c r="DO58" s="411"/>
      <c r="DP58" s="411"/>
      <c r="DQ58" s="411"/>
      <c r="DR58" s="411"/>
      <c r="DS58" s="411"/>
      <c r="DU58" s="411"/>
      <c r="DW58" s="411"/>
      <c r="DX58" s="411"/>
      <c r="DZ58" s="411"/>
      <c r="EB58" s="411"/>
      <c r="EC58" s="411"/>
      <c r="ED58" s="411"/>
      <c r="EE58" s="411"/>
      <c r="EF58" s="411"/>
      <c r="EG58" s="411"/>
      <c r="EH58" s="411"/>
      <c r="EI58" s="411"/>
      <c r="EJ58" s="411"/>
      <c r="EK58" s="411"/>
      <c r="EL58" s="411"/>
      <c r="EM58" s="394"/>
      <c r="EN58" s="417"/>
      <c r="EO58" s="417"/>
      <c r="EP58" s="417"/>
      <c r="EQ58" s="417"/>
      <c r="ER58" s="417"/>
      <c r="ES58" s="418"/>
      <c r="ET58" s="417"/>
      <c r="EU58" s="418"/>
      <c r="EV58" s="417"/>
      <c r="EW58" s="417"/>
      <c r="EX58" s="418"/>
      <c r="EY58" s="417"/>
      <c r="EZ58" s="418"/>
      <c r="FA58" s="417"/>
      <c r="FB58" s="417"/>
      <c r="FC58" s="417"/>
      <c r="FD58" s="417"/>
      <c r="FE58" s="417"/>
      <c r="FF58" s="417"/>
      <c r="FG58" s="417"/>
      <c r="FH58" s="417"/>
      <c r="FI58" s="417"/>
      <c r="FJ58" s="417"/>
      <c r="FK58" s="417"/>
      <c r="FL58" s="394"/>
      <c r="FM58" s="411"/>
      <c r="FN58" s="411"/>
      <c r="FO58" s="411"/>
      <c r="FP58" s="411"/>
      <c r="FQ58" s="411"/>
      <c r="FR58" s="396"/>
      <c r="FS58" s="411"/>
      <c r="FT58" s="396"/>
      <c r="FU58" s="411"/>
      <c r="FV58" s="411"/>
      <c r="FW58" s="396"/>
      <c r="FX58" s="411"/>
      <c r="FY58" s="396"/>
      <c r="FZ58" s="411"/>
      <c r="GA58" s="411"/>
      <c r="GB58" s="411"/>
      <c r="GC58" s="411"/>
      <c r="GD58" s="411"/>
      <c r="GE58" s="411"/>
      <c r="GF58" s="411"/>
      <c r="GG58" s="411"/>
      <c r="GH58" s="411"/>
      <c r="GI58" s="411"/>
      <c r="GJ58" s="411"/>
      <c r="GK58" s="394"/>
      <c r="GL58" s="411"/>
      <c r="GM58" s="411"/>
      <c r="GN58" s="411"/>
      <c r="GO58" s="411"/>
      <c r="GP58" s="411"/>
      <c r="GQ58" s="394"/>
      <c r="GR58" s="411"/>
      <c r="GS58" s="394"/>
      <c r="GT58" s="411"/>
      <c r="GU58" s="411"/>
      <c r="GV58" s="394"/>
      <c r="GW58" s="411"/>
      <c r="GX58" s="394"/>
      <c r="GY58" s="411"/>
      <c r="GZ58" s="411"/>
      <c r="HA58" s="411"/>
      <c r="HB58" s="411"/>
      <c r="HC58" s="411"/>
      <c r="HD58" s="411"/>
      <c r="HE58" s="411"/>
      <c r="HF58" s="411"/>
      <c r="HG58" s="411"/>
      <c r="HH58" s="411"/>
      <c r="HI58" s="411"/>
      <c r="HJ58" s="394"/>
      <c r="HK58" s="411"/>
      <c r="HL58" s="411"/>
      <c r="HM58" s="411"/>
      <c r="HN58" s="411"/>
      <c r="HO58" s="411"/>
      <c r="HQ58" s="411"/>
      <c r="HS58" s="411"/>
      <c r="HT58" s="411"/>
      <c r="HV58" s="411"/>
      <c r="HX58" s="411"/>
      <c r="HY58" s="411"/>
      <c r="HZ58" s="411"/>
      <c r="IA58" s="411"/>
      <c r="IB58" s="411"/>
      <c r="IC58" s="411"/>
      <c r="ID58" s="411"/>
      <c r="IE58" s="411"/>
      <c r="IF58" s="411"/>
      <c r="IG58" s="411"/>
      <c r="IH58" s="411"/>
      <c r="II58" s="394"/>
      <c r="IJ58" s="417"/>
      <c r="IK58" s="417"/>
      <c r="IL58" s="417"/>
      <c r="IM58" s="417"/>
      <c r="IN58" s="417"/>
      <c r="IO58" s="418"/>
      <c r="IP58" s="417"/>
      <c r="IQ58" s="418"/>
      <c r="IR58" s="417"/>
      <c r="IS58" s="417"/>
      <c r="IT58" s="418"/>
      <c r="IU58" s="417"/>
      <c r="IV58" s="418"/>
      <c r="IW58" s="417"/>
      <c r="IX58" s="417"/>
      <c r="IY58" s="417"/>
      <c r="IZ58" s="417"/>
      <c r="JA58" s="417"/>
      <c r="JB58" s="417"/>
      <c r="JC58" s="417"/>
      <c r="JD58" s="417"/>
      <c r="JE58" s="417"/>
      <c r="JF58" s="417"/>
      <c r="JG58" s="417"/>
    </row>
    <row r="59" spans="1:267" ht="12.75" customHeight="1" x14ac:dyDescent="0.3">
      <c r="A59" s="752" t="s">
        <v>970</v>
      </c>
      <c r="B59" s="810" t="s">
        <v>353</v>
      </c>
      <c r="C59" s="757" t="s">
        <v>174</v>
      </c>
      <c r="D59" s="757" t="s">
        <v>168</v>
      </c>
      <c r="E59" s="757" t="s">
        <v>168</v>
      </c>
      <c r="F59" s="810" t="s">
        <v>168</v>
      </c>
      <c r="G59" s="810">
        <v>5.44</v>
      </c>
      <c r="H59" s="810">
        <v>57</v>
      </c>
      <c r="I59" s="810">
        <v>310.10000000000002</v>
      </c>
      <c r="J59" s="811">
        <v>11</v>
      </c>
      <c r="K59" s="757">
        <v>12</v>
      </c>
      <c r="L59" s="757">
        <v>16</v>
      </c>
      <c r="M59" s="757">
        <v>217.26</v>
      </c>
      <c r="N59" s="757">
        <v>2.5999999999999999E-2</v>
      </c>
      <c r="O59" s="757">
        <v>25</v>
      </c>
      <c r="P59" s="757">
        <v>14.5</v>
      </c>
      <c r="Q59" s="757" t="s">
        <v>355</v>
      </c>
      <c r="S59" s="765">
        <v>836.89599999999996</v>
      </c>
      <c r="T59" s="765">
        <v>447.45299999999997</v>
      </c>
      <c r="U59" s="765">
        <v>657.30399999999997</v>
      </c>
      <c r="V59" s="765">
        <v>654.30899999999997</v>
      </c>
      <c r="W59" s="765">
        <v>335.98899999999998</v>
      </c>
      <c r="X59" s="409"/>
      <c r="Y59" s="775">
        <v>230.357</v>
      </c>
      <c r="Z59" s="776">
        <v>0.98</v>
      </c>
      <c r="AA59" s="777">
        <v>0.83699999999999997</v>
      </c>
      <c r="AB59" s="779">
        <v>0.53</v>
      </c>
      <c r="AC59" s="779">
        <v>0.69499999999999995</v>
      </c>
      <c r="AD59" s="779">
        <v>0.98</v>
      </c>
      <c r="AE59" s="776">
        <v>0.98</v>
      </c>
      <c r="AF59" s="780">
        <v>26.216000000000001</v>
      </c>
      <c r="AG59" s="781">
        <v>27.907</v>
      </c>
      <c r="AH59" s="781">
        <v>46.095999999999997</v>
      </c>
      <c r="AI59" s="781">
        <v>46.088999999999999</v>
      </c>
      <c r="AJ59" s="781">
        <v>21.378</v>
      </c>
      <c r="AK59" s="781">
        <v>31.286000000000001</v>
      </c>
      <c r="AL59" s="781">
        <v>16.632000000000001</v>
      </c>
      <c r="AM59" s="781">
        <v>26.273</v>
      </c>
      <c r="AN59" s="781">
        <v>31.262</v>
      </c>
      <c r="AO59" s="781">
        <v>36.023000000000003</v>
      </c>
      <c r="AP59" s="781">
        <v>21.393999999999998</v>
      </c>
      <c r="AQ59" s="782">
        <v>164.52199999999999</v>
      </c>
      <c r="AR59" s="411"/>
      <c r="AS59" s="411"/>
      <c r="AT59" s="411"/>
      <c r="AU59" s="411"/>
      <c r="AV59" s="411"/>
      <c r="AW59" s="396"/>
      <c r="AX59" s="775">
        <v>230.357</v>
      </c>
      <c r="AY59" s="776"/>
      <c r="AZ59" s="851">
        <v>0.83699999999999997</v>
      </c>
      <c r="BA59" s="853">
        <v>0.53</v>
      </c>
      <c r="BB59" s="853">
        <v>0.69499999999999995</v>
      </c>
      <c r="BC59" s="853">
        <v>0.98</v>
      </c>
      <c r="BD59" s="776"/>
      <c r="BE59" s="808"/>
      <c r="BF59" s="776"/>
      <c r="BG59" s="851">
        <v>0.83699999999999997</v>
      </c>
      <c r="BH59" s="853">
        <v>0.53</v>
      </c>
      <c r="BI59" s="853">
        <v>0.69499999999999995</v>
      </c>
      <c r="BJ59" s="853">
        <v>0.98</v>
      </c>
      <c r="BK59" s="776"/>
      <c r="BL59" s="834"/>
      <c r="BM59" s="776">
        <v>0.98</v>
      </c>
      <c r="BN59" s="777">
        <v>0.83699999999999997</v>
      </c>
      <c r="BO59" s="779">
        <v>0.53</v>
      </c>
      <c r="BP59" s="779">
        <v>0.69499999999999995</v>
      </c>
      <c r="BQ59" s="779">
        <v>0.98</v>
      </c>
      <c r="BR59" s="776">
        <v>0.98</v>
      </c>
      <c r="BS59" s="842"/>
      <c r="BT59" s="776">
        <v>0.98</v>
      </c>
      <c r="BU59" s="777">
        <v>0.83699999999999997</v>
      </c>
      <c r="BV59" s="779">
        <v>0.53</v>
      </c>
      <c r="BW59" s="779">
        <v>0.69499999999999995</v>
      </c>
      <c r="BX59" s="779">
        <v>0.98</v>
      </c>
      <c r="BY59" s="776">
        <v>0.98</v>
      </c>
      <c r="BZ59" s="774"/>
      <c r="CA59" s="776">
        <v>0.98</v>
      </c>
      <c r="CB59" s="777">
        <v>0.83699999999999997</v>
      </c>
      <c r="CC59" s="779">
        <v>0.53</v>
      </c>
      <c r="CD59" s="779">
        <v>0.69499999999999995</v>
      </c>
      <c r="CE59" s="779">
        <v>0.98</v>
      </c>
      <c r="CF59" s="776">
        <v>0.98</v>
      </c>
      <c r="CG59" s="834"/>
      <c r="CH59" s="776">
        <v>0.98</v>
      </c>
      <c r="CI59" s="777">
        <v>0.83699999999999997</v>
      </c>
      <c r="CJ59" s="779">
        <v>0.53</v>
      </c>
      <c r="CK59" s="779">
        <v>0.69499999999999995</v>
      </c>
      <c r="CL59" s="779">
        <v>0.98</v>
      </c>
      <c r="CM59" s="776">
        <v>0.98</v>
      </c>
      <c r="CN59" s="834"/>
      <c r="CO59" s="776">
        <v>0.98</v>
      </c>
      <c r="CP59" s="777">
        <v>0.83699999999999997</v>
      </c>
      <c r="CQ59" s="779">
        <v>0.53</v>
      </c>
      <c r="CR59" s="779">
        <v>0.69499999999999995</v>
      </c>
      <c r="CS59" s="779">
        <v>0.98</v>
      </c>
      <c r="CT59" s="776">
        <v>0.98</v>
      </c>
      <c r="CU59" s="396"/>
      <c r="CV59" s="776">
        <v>0.98</v>
      </c>
      <c r="CW59" s="777">
        <v>0.83699999999999997</v>
      </c>
      <c r="CX59" s="779">
        <v>0.53</v>
      </c>
      <c r="CY59" s="779">
        <v>0.69499999999999995</v>
      </c>
      <c r="CZ59" s="779">
        <v>0.98</v>
      </c>
      <c r="DA59" s="776">
        <v>0.98</v>
      </c>
      <c r="DB59" s="396"/>
      <c r="DC59" s="411"/>
      <c r="DD59" s="411"/>
      <c r="DE59" s="411"/>
      <c r="DF59" s="411"/>
      <c r="DG59" s="411"/>
      <c r="DH59" s="411"/>
      <c r="DI59" s="411"/>
      <c r="DJ59" s="411"/>
      <c r="DK59" s="411"/>
      <c r="DL59" s="411"/>
      <c r="DM59" s="411"/>
      <c r="DN59" s="394"/>
      <c r="DO59" s="411"/>
      <c r="DP59" s="411"/>
      <c r="DQ59" s="411"/>
      <c r="DR59" s="411"/>
      <c r="DS59" s="411"/>
      <c r="DU59" s="411"/>
      <c r="DW59" s="411"/>
      <c r="DX59" s="411"/>
      <c r="DZ59" s="411"/>
      <c r="EB59" s="411"/>
      <c r="EC59" s="411"/>
      <c r="ED59" s="411"/>
      <c r="EE59" s="411"/>
      <c r="EF59" s="411"/>
      <c r="EG59" s="411"/>
      <c r="EH59" s="411"/>
      <c r="EI59" s="411"/>
      <c r="EJ59" s="411"/>
      <c r="EK59" s="411"/>
      <c r="EL59" s="411"/>
      <c r="EM59" s="394"/>
      <c r="EN59" s="411"/>
      <c r="EO59" s="411"/>
      <c r="EP59" s="411"/>
      <c r="EQ59" s="411"/>
      <c r="ER59" s="411"/>
      <c r="ES59" s="394"/>
      <c r="ET59" s="411"/>
      <c r="EU59" s="394"/>
      <c r="EV59" s="411"/>
      <c r="EW59" s="411"/>
      <c r="EX59" s="394"/>
      <c r="EY59" s="411"/>
      <c r="EZ59" s="394"/>
      <c r="FA59" s="411"/>
      <c r="FB59" s="411"/>
      <c r="FC59" s="411"/>
      <c r="FD59" s="411"/>
      <c r="FE59" s="411"/>
      <c r="FF59" s="411"/>
      <c r="FG59" s="411"/>
      <c r="FH59" s="411"/>
      <c r="FI59" s="411"/>
      <c r="FJ59" s="411"/>
      <c r="FK59" s="411"/>
      <c r="FL59" s="394"/>
      <c r="FM59" s="411"/>
      <c r="FN59" s="411"/>
      <c r="FO59" s="411"/>
      <c r="FP59" s="411"/>
      <c r="FQ59" s="411"/>
      <c r="FS59" s="411"/>
      <c r="FU59" s="411"/>
      <c r="FV59" s="411"/>
      <c r="FX59" s="411"/>
      <c r="FZ59" s="411"/>
      <c r="GA59" s="411"/>
      <c r="GB59" s="411"/>
      <c r="GC59" s="411"/>
      <c r="GD59" s="411"/>
      <c r="GE59" s="411"/>
      <c r="GF59" s="411"/>
      <c r="GG59" s="411"/>
      <c r="GH59" s="411"/>
      <c r="GI59" s="411"/>
      <c r="GJ59" s="411"/>
      <c r="GK59" s="394"/>
      <c r="GL59" s="411"/>
      <c r="GM59" s="411"/>
      <c r="GN59" s="411"/>
      <c r="GO59" s="411"/>
      <c r="GP59" s="411"/>
      <c r="GQ59" s="394"/>
      <c r="GR59" s="411"/>
      <c r="GS59" s="394"/>
      <c r="GT59" s="411"/>
      <c r="GU59" s="411"/>
      <c r="GV59" s="394"/>
      <c r="GW59" s="411"/>
      <c r="GX59" s="394"/>
      <c r="GY59" s="411"/>
      <c r="GZ59" s="411"/>
      <c r="HA59" s="411"/>
      <c r="HB59" s="411"/>
      <c r="HC59" s="411"/>
      <c r="HD59" s="411"/>
      <c r="HE59" s="411"/>
      <c r="HF59" s="411"/>
      <c r="HG59" s="411"/>
      <c r="HH59" s="411"/>
      <c r="HI59" s="411"/>
      <c r="HJ59" s="394"/>
      <c r="HK59" s="411"/>
      <c r="HL59" s="411"/>
      <c r="HM59" s="411"/>
      <c r="HN59" s="411"/>
      <c r="HO59" s="411"/>
      <c r="HQ59" s="411"/>
      <c r="HS59" s="411"/>
      <c r="HT59" s="411"/>
      <c r="HV59" s="411"/>
      <c r="HX59" s="411"/>
      <c r="HY59" s="411"/>
      <c r="HZ59" s="411"/>
      <c r="IA59" s="411"/>
      <c r="IB59" s="411"/>
      <c r="IC59" s="411"/>
      <c r="ID59" s="411"/>
      <c r="IE59" s="411"/>
      <c r="IF59" s="411"/>
      <c r="IG59" s="411"/>
      <c r="IH59" s="411"/>
      <c r="II59" s="394"/>
      <c r="IJ59" s="411"/>
      <c r="IK59" s="411"/>
      <c r="IL59" s="411"/>
      <c r="IM59" s="411"/>
      <c r="IN59" s="411"/>
      <c r="IP59" s="411"/>
      <c r="IR59" s="411"/>
      <c r="IS59" s="411"/>
      <c r="IU59" s="411"/>
      <c r="IW59" s="411"/>
      <c r="IX59" s="411"/>
      <c r="IY59" s="411"/>
      <c r="IZ59" s="411"/>
      <c r="JA59" s="411"/>
      <c r="JB59" s="411"/>
      <c r="JC59" s="411"/>
      <c r="JD59" s="411"/>
      <c r="JE59" s="411"/>
      <c r="JF59" s="411"/>
      <c r="JG59" s="411"/>
    </row>
    <row r="60" spans="1:267" ht="12.75" customHeight="1" x14ac:dyDescent="0.3">
      <c r="A60" s="754" t="s">
        <v>971</v>
      </c>
      <c r="B60" s="757" t="s">
        <v>168</v>
      </c>
      <c r="C60" s="757" t="s">
        <v>174</v>
      </c>
      <c r="D60" s="757" t="s">
        <v>168</v>
      </c>
      <c r="E60" s="757" t="s">
        <v>355</v>
      </c>
      <c r="F60" s="757" t="s">
        <v>168</v>
      </c>
      <c r="G60" s="757">
        <v>5.5549999999999997</v>
      </c>
      <c r="H60" s="757">
        <v>55</v>
      </c>
      <c r="I60" s="757">
        <v>305.5</v>
      </c>
      <c r="J60" s="757">
        <v>12</v>
      </c>
      <c r="K60" s="757">
        <v>10</v>
      </c>
      <c r="L60" s="757">
        <v>17</v>
      </c>
      <c r="M60" s="757">
        <v>215.82</v>
      </c>
      <c r="N60" s="757">
        <v>2.1999999999999999E-2</v>
      </c>
      <c r="O60" s="757">
        <v>21</v>
      </c>
      <c r="P60" s="757">
        <v>18.5</v>
      </c>
      <c r="Q60" s="757" t="s">
        <v>353</v>
      </c>
      <c r="S60" s="765">
        <v>738.23099999999999</v>
      </c>
      <c r="T60" s="765">
        <v>460.55099999999999</v>
      </c>
      <c r="U60" s="765">
        <v>556.55100000000004</v>
      </c>
      <c r="V60" s="765">
        <v>474.14</v>
      </c>
      <c r="W60" s="765">
        <v>420.99400000000003</v>
      </c>
      <c r="X60" s="407"/>
      <c r="Y60" s="775">
        <v>163.83600000000001</v>
      </c>
      <c r="Z60" s="776">
        <v>0.98</v>
      </c>
      <c r="AA60" s="777">
        <v>0.81</v>
      </c>
      <c r="AB60" s="779">
        <v>0.70299999999999996</v>
      </c>
      <c r="AC60" s="779">
        <v>0.66200000000000003</v>
      </c>
      <c r="AD60" s="779">
        <v>1.002</v>
      </c>
      <c r="AE60" s="776">
        <v>0.98</v>
      </c>
      <c r="AF60" s="780">
        <v>24.3</v>
      </c>
      <c r="AG60" s="781">
        <v>17.399999999999999</v>
      </c>
      <c r="AH60" s="781">
        <v>36.880000000000003</v>
      </c>
      <c r="AI60" s="781">
        <v>43.3</v>
      </c>
      <c r="AJ60" s="781">
        <v>29.2</v>
      </c>
      <c r="AK60" s="781">
        <v>21.51</v>
      </c>
      <c r="AL60" s="781">
        <v>30.74</v>
      </c>
      <c r="AM60" s="781">
        <v>38.35</v>
      </c>
      <c r="AN60" s="781">
        <v>41.7</v>
      </c>
      <c r="AO60" s="781">
        <v>31.9</v>
      </c>
      <c r="AP60" s="775">
        <v>21.51</v>
      </c>
      <c r="AQ60" s="782">
        <v>156.52600000000001</v>
      </c>
      <c r="AR60" s="411"/>
      <c r="AS60" s="411"/>
      <c r="AT60" s="411"/>
      <c r="AU60" s="411"/>
      <c r="AV60" s="411"/>
      <c r="AW60" s="412"/>
      <c r="AX60" s="775">
        <v>163.83600000000001</v>
      </c>
      <c r="AY60" s="776"/>
      <c r="AZ60" s="851">
        <v>0.81</v>
      </c>
      <c r="BA60" s="853">
        <v>0.70299999999999996</v>
      </c>
      <c r="BB60" s="853">
        <v>0.66200000000000003</v>
      </c>
      <c r="BC60" s="853">
        <v>1.002</v>
      </c>
      <c r="BD60" s="776"/>
      <c r="BE60" s="808"/>
      <c r="BF60" s="776"/>
      <c r="BG60" s="851">
        <v>0.81</v>
      </c>
      <c r="BH60" s="853">
        <v>0.70299999999999996</v>
      </c>
      <c r="BI60" s="853">
        <v>0.66200000000000003</v>
      </c>
      <c r="BJ60" s="853">
        <v>1.002</v>
      </c>
      <c r="BK60" s="776"/>
      <c r="BL60" s="834"/>
      <c r="BM60" s="776">
        <v>0.98</v>
      </c>
      <c r="BN60" s="777">
        <v>0.81</v>
      </c>
      <c r="BO60" s="779">
        <v>0.70299999999999996</v>
      </c>
      <c r="BP60" s="779">
        <v>0.66200000000000003</v>
      </c>
      <c r="BQ60" s="779">
        <v>1.002</v>
      </c>
      <c r="BR60" s="776">
        <v>0.98</v>
      </c>
      <c r="BS60" s="842"/>
      <c r="BT60" s="776">
        <v>0.98</v>
      </c>
      <c r="BU60" s="777">
        <v>0.81</v>
      </c>
      <c r="BV60" s="779">
        <v>0.70299999999999996</v>
      </c>
      <c r="BW60" s="779">
        <v>0.66200000000000003</v>
      </c>
      <c r="BX60" s="779">
        <v>1.002</v>
      </c>
      <c r="BY60" s="776">
        <v>0.98</v>
      </c>
      <c r="BZ60" s="774"/>
      <c r="CA60" s="776">
        <v>0.98</v>
      </c>
      <c r="CB60" s="777">
        <v>0.81</v>
      </c>
      <c r="CC60" s="779">
        <v>0.70299999999999996</v>
      </c>
      <c r="CD60" s="779">
        <v>0.66200000000000003</v>
      </c>
      <c r="CE60" s="779">
        <v>1.002</v>
      </c>
      <c r="CF60" s="776">
        <v>0.98</v>
      </c>
      <c r="CG60" s="834"/>
      <c r="CH60" s="776">
        <v>0.98</v>
      </c>
      <c r="CI60" s="777">
        <v>0.81</v>
      </c>
      <c r="CJ60" s="779">
        <v>0.70299999999999996</v>
      </c>
      <c r="CK60" s="779">
        <v>0.66200000000000003</v>
      </c>
      <c r="CL60" s="779">
        <v>1.002</v>
      </c>
      <c r="CM60" s="776">
        <v>0.98</v>
      </c>
      <c r="CN60" s="774"/>
      <c r="CO60" s="776">
        <v>0.98</v>
      </c>
      <c r="CP60" s="777">
        <v>0.81</v>
      </c>
      <c r="CQ60" s="779">
        <v>0.70299999999999996</v>
      </c>
      <c r="CR60" s="779">
        <v>0.66200000000000003</v>
      </c>
      <c r="CS60" s="779">
        <v>1.002</v>
      </c>
      <c r="CT60" s="776">
        <v>0.98</v>
      </c>
      <c r="CV60" s="776">
        <v>0.98</v>
      </c>
      <c r="CW60" s="777">
        <v>0.81</v>
      </c>
      <c r="CX60" s="779">
        <v>0.70299999999999996</v>
      </c>
      <c r="CY60" s="779">
        <v>0.66200000000000003</v>
      </c>
      <c r="CZ60" s="779">
        <v>1.002</v>
      </c>
      <c r="DA60" s="776">
        <v>0.98</v>
      </c>
      <c r="DB60" s="396"/>
      <c r="DC60" s="411"/>
      <c r="DD60" s="411"/>
      <c r="DE60" s="411"/>
      <c r="DF60" s="411"/>
      <c r="DG60" s="411"/>
      <c r="DH60" s="411"/>
      <c r="DI60" s="411"/>
      <c r="DJ60" s="411"/>
      <c r="DK60" s="411"/>
      <c r="DL60" s="411"/>
      <c r="DM60" s="411"/>
      <c r="DN60" s="394"/>
      <c r="DO60" s="411"/>
      <c r="DP60" s="411"/>
      <c r="DQ60" s="411"/>
      <c r="DR60" s="411"/>
      <c r="DS60" s="411"/>
      <c r="DU60" s="411"/>
      <c r="DW60" s="411"/>
      <c r="DX60" s="411"/>
      <c r="DZ60" s="411"/>
      <c r="EB60" s="411"/>
      <c r="EC60" s="411"/>
      <c r="ED60" s="411"/>
      <c r="EE60" s="411"/>
      <c r="EF60" s="411"/>
      <c r="EG60" s="411"/>
      <c r="EH60" s="411"/>
      <c r="EI60" s="411"/>
      <c r="EJ60" s="411"/>
      <c r="EK60" s="411"/>
      <c r="EL60" s="411"/>
      <c r="EM60" s="394"/>
      <c r="EN60" s="411"/>
      <c r="EO60" s="411"/>
      <c r="EP60" s="411"/>
      <c r="EQ60" s="411"/>
      <c r="ER60" s="411"/>
      <c r="ES60" s="394"/>
      <c r="ET60" s="411"/>
      <c r="EU60" s="394"/>
      <c r="EV60" s="411"/>
      <c r="EW60" s="411"/>
      <c r="EX60" s="394"/>
      <c r="EY60" s="411"/>
      <c r="EZ60" s="394"/>
      <c r="FA60" s="411"/>
      <c r="FB60" s="411"/>
      <c r="FC60" s="411"/>
      <c r="FD60" s="411"/>
      <c r="FE60" s="411"/>
      <c r="FF60" s="411"/>
      <c r="FG60" s="411"/>
      <c r="FH60" s="411"/>
      <c r="FI60" s="411"/>
      <c r="FJ60" s="411"/>
      <c r="FK60" s="411"/>
      <c r="FL60" s="394"/>
      <c r="FM60" s="411"/>
      <c r="FN60" s="411"/>
      <c r="FO60" s="411"/>
      <c r="FP60" s="411"/>
      <c r="FQ60" s="411"/>
      <c r="FR60" s="394"/>
      <c r="FS60" s="411"/>
      <c r="FT60" s="394"/>
      <c r="FU60" s="411"/>
      <c r="FV60" s="411"/>
      <c r="FW60" s="394"/>
      <c r="FX60" s="411"/>
      <c r="FY60" s="394"/>
      <c r="FZ60" s="411"/>
      <c r="GA60" s="411"/>
      <c r="GB60" s="411"/>
      <c r="GC60" s="411"/>
      <c r="GD60" s="411"/>
      <c r="GE60" s="411"/>
      <c r="GF60" s="411"/>
      <c r="GG60" s="411"/>
      <c r="GH60" s="411"/>
      <c r="GI60" s="411"/>
      <c r="GJ60" s="411"/>
      <c r="GK60" s="394"/>
      <c r="GL60" s="411"/>
      <c r="GM60" s="411"/>
      <c r="GN60" s="411"/>
      <c r="GO60" s="411"/>
      <c r="GP60" s="411"/>
      <c r="GQ60" s="394"/>
      <c r="GR60" s="411"/>
      <c r="GS60" s="394"/>
      <c r="GT60" s="411"/>
      <c r="GU60" s="411"/>
      <c r="GV60" s="394"/>
      <c r="GW60" s="411"/>
      <c r="GX60" s="394"/>
      <c r="GY60" s="411"/>
      <c r="GZ60" s="411"/>
      <c r="HA60" s="411"/>
      <c r="HB60" s="411"/>
      <c r="HC60" s="411"/>
      <c r="HD60" s="411"/>
      <c r="HE60" s="411"/>
      <c r="HF60" s="411"/>
      <c r="HG60" s="411"/>
      <c r="HH60" s="411"/>
      <c r="HI60" s="411"/>
      <c r="HJ60" s="394"/>
      <c r="HK60" s="411"/>
      <c r="HL60" s="411"/>
      <c r="HM60" s="411"/>
      <c r="HN60" s="411"/>
      <c r="HO60" s="411"/>
      <c r="HP60" s="394"/>
      <c r="HQ60" s="411"/>
      <c r="HR60" s="394"/>
      <c r="HS60" s="411"/>
      <c r="HT60" s="411"/>
      <c r="HU60" s="394"/>
      <c r="HV60" s="411"/>
      <c r="HW60" s="394"/>
      <c r="HX60" s="411"/>
      <c r="HY60" s="411"/>
      <c r="HZ60" s="411"/>
      <c r="IA60" s="411"/>
      <c r="IB60" s="411"/>
      <c r="IC60" s="411"/>
      <c r="ID60" s="411"/>
      <c r="IE60" s="411"/>
      <c r="IF60" s="411"/>
      <c r="IG60" s="411"/>
      <c r="IH60" s="411"/>
      <c r="II60" s="394"/>
      <c r="IJ60" s="413"/>
      <c r="IK60" s="413"/>
      <c r="IL60" s="413"/>
      <c r="IM60" s="413"/>
      <c r="IN60" s="413"/>
      <c r="IO60" s="414"/>
      <c r="IP60" s="413"/>
      <c r="IQ60" s="414"/>
      <c r="IR60" s="413"/>
      <c r="IS60" s="413"/>
      <c r="IT60" s="414"/>
      <c r="IU60" s="413"/>
      <c r="IV60" s="414"/>
      <c r="IW60" s="413"/>
      <c r="IX60" s="413"/>
      <c r="IY60" s="413"/>
      <c r="IZ60" s="413"/>
      <c r="JA60" s="413"/>
      <c r="JB60" s="413"/>
      <c r="JC60" s="413"/>
      <c r="JD60" s="413"/>
      <c r="JE60" s="413"/>
      <c r="JF60" s="413"/>
      <c r="JG60" s="413"/>
    </row>
    <row r="61" spans="1:267" ht="12.75" customHeight="1" x14ac:dyDescent="0.3">
      <c r="A61" s="754" t="s">
        <v>972</v>
      </c>
      <c r="B61" s="810" t="s">
        <v>353</v>
      </c>
      <c r="C61" s="757" t="s">
        <v>30</v>
      </c>
      <c r="D61" s="757" t="s">
        <v>168</v>
      </c>
      <c r="E61" s="757" t="s">
        <v>168</v>
      </c>
      <c r="F61" s="757" t="s">
        <v>353</v>
      </c>
      <c r="G61" s="757">
        <v>5.6219999999999999</v>
      </c>
      <c r="H61" s="757">
        <v>55</v>
      </c>
      <c r="I61" s="810">
        <v>309.2</v>
      </c>
      <c r="J61" s="811">
        <v>11</v>
      </c>
      <c r="K61" s="810">
        <v>15</v>
      </c>
      <c r="L61" s="757">
        <v>13</v>
      </c>
      <c r="M61" s="757">
        <v>216.37</v>
      </c>
      <c r="N61" s="757">
        <v>2.0199999999999999E-2</v>
      </c>
      <c r="O61" s="811">
        <v>18</v>
      </c>
      <c r="P61" s="810">
        <v>23.5</v>
      </c>
      <c r="Q61" s="757" t="s">
        <v>30</v>
      </c>
      <c r="S61" s="765">
        <v>776</v>
      </c>
      <c r="T61" s="765">
        <v>479.41300000000001</v>
      </c>
      <c r="U61" s="765">
        <v>719.07399999999996</v>
      </c>
      <c r="V61" s="765">
        <v>688.53399999999999</v>
      </c>
      <c r="W61" s="765">
        <v>420.68799999999999</v>
      </c>
      <c r="X61" s="407"/>
      <c r="Y61" s="775">
        <v>172.75</v>
      </c>
      <c r="Z61" s="776">
        <v>0.99</v>
      </c>
      <c r="AA61" s="777">
        <v>0.83599999999999997</v>
      </c>
      <c r="AB61" s="779">
        <v>0.74</v>
      </c>
      <c r="AC61" s="779">
        <v>0.77300000000000002</v>
      </c>
      <c r="AD61" s="779">
        <v>1.0649999999999999</v>
      </c>
      <c r="AE61" s="776">
        <v>0.98</v>
      </c>
      <c r="AF61" s="780">
        <v>30.5</v>
      </c>
      <c r="AG61" s="781">
        <v>45.5</v>
      </c>
      <c r="AH61" s="781">
        <v>32.700000000000003</v>
      </c>
      <c r="AI61" s="781">
        <v>33</v>
      </c>
      <c r="AJ61" s="781">
        <v>22.1</v>
      </c>
      <c r="AK61" s="781">
        <v>23.1</v>
      </c>
      <c r="AL61" s="781">
        <v>24.69</v>
      </c>
      <c r="AM61" s="781">
        <v>27.1</v>
      </c>
      <c r="AN61" s="781">
        <v>34.85</v>
      </c>
      <c r="AO61" s="781">
        <v>30.06</v>
      </c>
      <c r="AP61" s="775">
        <v>21.34</v>
      </c>
      <c r="AQ61" s="782">
        <v>159.185</v>
      </c>
      <c r="AR61" s="411"/>
      <c r="AS61" s="411"/>
      <c r="AT61" s="411"/>
      <c r="AU61" s="411"/>
      <c r="AV61" s="411"/>
      <c r="AW61" s="396"/>
      <c r="AX61" s="775">
        <v>172.75</v>
      </c>
      <c r="AY61" s="776"/>
      <c r="AZ61" s="851">
        <v>0.83599999999999997</v>
      </c>
      <c r="BA61" s="853">
        <v>0.74</v>
      </c>
      <c r="BB61" s="853">
        <v>0.77300000000000002</v>
      </c>
      <c r="BC61" s="853">
        <v>1.0649999999999999</v>
      </c>
      <c r="BD61" s="776"/>
      <c r="BE61" s="808"/>
      <c r="BF61" s="776"/>
      <c r="BG61" s="851">
        <v>0.83599999999999997</v>
      </c>
      <c r="BH61" s="853">
        <v>0.74</v>
      </c>
      <c r="BI61" s="853">
        <v>0.77300000000000002</v>
      </c>
      <c r="BJ61" s="853">
        <v>1.0649999999999999</v>
      </c>
      <c r="BK61" s="776"/>
      <c r="BL61" s="834"/>
      <c r="BM61" s="776">
        <v>0.99</v>
      </c>
      <c r="BN61" s="777">
        <v>0.83599999999999997</v>
      </c>
      <c r="BO61" s="779">
        <v>0.74</v>
      </c>
      <c r="BP61" s="779">
        <v>0.77300000000000002</v>
      </c>
      <c r="BQ61" s="779">
        <v>1.0649999999999999</v>
      </c>
      <c r="BR61" s="776">
        <v>0.98</v>
      </c>
      <c r="BS61" s="394"/>
      <c r="BT61" s="776">
        <v>0.99</v>
      </c>
      <c r="BU61" s="777">
        <v>0.83599999999999997</v>
      </c>
      <c r="BV61" s="779">
        <v>0.74</v>
      </c>
      <c r="BW61" s="779">
        <v>0.77300000000000002</v>
      </c>
      <c r="BX61" s="779">
        <v>1.0649999999999999</v>
      </c>
      <c r="BY61" s="776">
        <v>0.98</v>
      </c>
      <c r="BZ61" s="774"/>
      <c r="CA61" s="776">
        <v>0.99</v>
      </c>
      <c r="CB61" s="777">
        <v>0.83599999999999997</v>
      </c>
      <c r="CC61" s="779">
        <v>0.74</v>
      </c>
      <c r="CD61" s="779">
        <v>0.77300000000000002</v>
      </c>
      <c r="CE61" s="779">
        <v>1.0649999999999999</v>
      </c>
      <c r="CF61" s="776">
        <v>0.98</v>
      </c>
      <c r="CG61" s="834"/>
      <c r="CH61" s="776">
        <v>0.99</v>
      </c>
      <c r="CI61" s="777">
        <v>0.83599999999999997</v>
      </c>
      <c r="CJ61" s="779">
        <v>0.74</v>
      </c>
      <c r="CK61" s="779">
        <v>0.77300000000000002</v>
      </c>
      <c r="CL61" s="779">
        <v>1.0649999999999999</v>
      </c>
      <c r="CM61" s="776">
        <v>0.98</v>
      </c>
      <c r="CN61" s="774"/>
      <c r="CO61" s="776">
        <v>0.99</v>
      </c>
      <c r="CP61" s="777">
        <v>0.83599999999999997</v>
      </c>
      <c r="CQ61" s="779">
        <v>0.74</v>
      </c>
      <c r="CR61" s="779">
        <v>0.77300000000000002</v>
      </c>
      <c r="CS61" s="779">
        <v>1.0649999999999999</v>
      </c>
      <c r="CT61" s="776">
        <v>0.98</v>
      </c>
      <c r="CV61" s="776">
        <v>0.99</v>
      </c>
      <c r="CW61" s="777">
        <v>0.83599999999999997</v>
      </c>
      <c r="CX61" s="779">
        <v>0.74</v>
      </c>
      <c r="CY61" s="779">
        <v>0.77300000000000002</v>
      </c>
      <c r="CZ61" s="779">
        <v>1.0649999999999999</v>
      </c>
      <c r="DA61" s="776">
        <v>0.98</v>
      </c>
      <c r="DB61" s="396"/>
      <c r="DC61" s="426"/>
      <c r="DD61" s="426"/>
      <c r="DE61" s="426"/>
      <c r="DF61" s="426"/>
      <c r="DG61" s="426"/>
      <c r="DH61" s="426"/>
      <c r="DI61" s="426"/>
      <c r="DJ61" s="426"/>
      <c r="DK61" s="426"/>
      <c r="DL61" s="426"/>
      <c r="DM61" s="426"/>
      <c r="DN61" s="394"/>
      <c r="DO61" s="426"/>
      <c r="DP61" s="426"/>
      <c r="DQ61" s="426"/>
      <c r="DR61" s="426"/>
      <c r="DS61" s="426"/>
      <c r="DT61" s="418"/>
      <c r="DU61" s="426"/>
      <c r="DV61" s="418"/>
      <c r="DW61" s="426"/>
      <c r="DX61" s="426"/>
      <c r="DZ61" s="426"/>
      <c r="EB61" s="426"/>
      <c r="EC61" s="426"/>
      <c r="ED61" s="426"/>
      <c r="EE61" s="426"/>
      <c r="EF61" s="426"/>
      <c r="EG61" s="426"/>
      <c r="EH61" s="426"/>
      <c r="EI61" s="426"/>
      <c r="EJ61" s="426"/>
      <c r="EK61" s="426"/>
      <c r="EL61" s="426"/>
      <c r="EM61" s="394"/>
      <c r="EN61" s="426"/>
      <c r="EO61" s="426"/>
      <c r="EP61" s="426"/>
      <c r="EQ61" s="426"/>
      <c r="ER61" s="426"/>
      <c r="ES61" s="394"/>
      <c r="ET61" s="426"/>
      <c r="EU61" s="394"/>
      <c r="EV61" s="426"/>
      <c r="EW61" s="426"/>
      <c r="EX61" s="394"/>
      <c r="EY61" s="426"/>
      <c r="EZ61" s="394"/>
      <c r="FA61" s="426"/>
      <c r="FB61" s="426"/>
      <c r="FC61" s="426"/>
      <c r="FD61" s="426"/>
      <c r="FE61" s="426"/>
      <c r="FF61" s="426"/>
      <c r="FG61" s="426"/>
      <c r="FH61" s="426"/>
      <c r="FI61" s="426"/>
      <c r="FJ61" s="426"/>
      <c r="FK61" s="426"/>
      <c r="FL61" s="394"/>
      <c r="FM61" s="426"/>
      <c r="FN61" s="426"/>
      <c r="FO61" s="426"/>
      <c r="FP61" s="426"/>
      <c r="FQ61" s="426"/>
      <c r="FR61" s="394"/>
      <c r="FS61" s="426"/>
      <c r="FT61" s="394"/>
      <c r="FU61" s="426"/>
      <c r="FV61" s="426"/>
      <c r="FW61" s="394"/>
      <c r="FX61" s="426"/>
      <c r="FY61" s="394"/>
      <c r="FZ61" s="426"/>
      <c r="GA61" s="426"/>
      <c r="GB61" s="426"/>
      <c r="GC61" s="426"/>
      <c r="GD61" s="426"/>
      <c r="GE61" s="426"/>
      <c r="GF61" s="426"/>
      <c r="GG61" s="426"/>
      <c r="GH61" s="426"/>
      <c r="GI61" s="426"/>
      <c r="GJ61" s="426"/>
      <c r="GK61" s="394"/>
      <c r="GL61" s="426"/>
      <c r="GM61" s="426"/>
      <c r="GN61" s="426"/>
      <c r="GO61" s="426"/>
      <c r="GP61" s="426"/>
      <c r="GQ61" s="394"/>
      <c r="GR61" s="426"/>
      <c r="GS61" s="394"/>
      <c r="GT61" s="426"/>
      <c r="GU61" s="426"/>
      <c r="GV61" s="394"/>
      <c r="GW61" s="426"/>
      <c r="GX61" s="394"/>
      <c r="GY61" s="426"/>
      <c r="GZ61" s="426"/>
      <c r="HA61" s="426"/>
      <c r="HB61" s="426"/>
      <c r="HC61" s="426"/>
      <c r="HD61" s="426"/>
      <c r="HE61" s="426"/>
      <c r="HF61" s="426"/>
      <c r="HG61" s="426"/>
      <c r="HH61" s="426"/>
      <c r="HI61" s="426"/>
      <c r="HJ61" s="394"/>
      <c r="HK61" s="426"/>
      <c r="HL61" s="426"/>
      <c r="HM61" s="426"/>
      <c r="HN61" s="426"/>
      <c r="HO61" s="426"/>
      <c r="HP61" s="394"/>
      <c r="HQ61" s="426"/>
      <c r="HR61" s="394"/>
      <c r="HS61" s="426"/>
      <c r="HT61" s="426"/>
      <c r="HU61" s="394"/>
      <c r="HV61" s="426"/>
      <c r="HW61" s="394"/>
      <c r="HX61" s="426"/>
      <c r="HY61" s="426"/>
      <c r="HZ61" s="426"/>
      <c r="IA61" s="426"/>
      <c r="IB61" s="426"/>
      <c r="IC61" s="426"/>
      <c r="ID61" s="426"/>
      <c r="IE61" s="426"/>
      <c r="IF61" s="426"/>
      <c r="IG61" s="426"/>
      <c r="IH61" s="426"/>
      <c r="II61" s="394"/>
      <c r="IJ61" s="427"/>
      <c r="IK61" s="427"/>
      <c r="IL61" s="427"/>
      <c r="IM61" s="427"/>
      <c r="IN61" s="427"/>
      <c r="IO61" s="414"/>
      <c r="IP61" s="427"/>
      <c r="IQ61" s="414"/>
      <c r="IR61" s="427"/>
      <c r="IS61" s="427"/>
      <c r="IT61" s="414"/>
      <c r="IU61" s="427"/>
      <c r="IV61" s="414"/>
      <c r="IW61" s="427"/>
      <c r="IX61" s="427"/>
      <c r="IY61" s="427"/>
      <c r="IZ61" s="427"/>
      <c r="JA61" s="427"/>
      <c r="JB61" s="427"/>
      <c r="JC61" s="427"/>
      <c r="JD61" s="427"/>
      <c r="JE61" s="427"/>
      <c r="JF61" s="427"/>
      <c r="JG61" s="427"/>
    </row>
    <row r="62" spans="1:267" x14ac:dyDescent="0.3">
      <c r="A62" s="753" t="s">
        <v>973</v>
      </c>
      <c r="B62" s="757" t="s">
        <v>168</v>
      </c>
      <c r="C62" s="757" t="s">
        <v>30</v>
      </c>
      <c r="D62" s="757" t="s">
        <v>174</v>
      </c>
      <c r="E62" s="757" t="s">
        <v>355</v>
      </c>
      <c r="F62" s="757" t="s">
        <v>168</v>
      </c>
      <c r="G62" s="757">
        <v>4.2510000000000003</v>
      </c>
      <c r="H62" s="757">
        <v>71</v>
      </c>
      <c r="I62" s="757">
        <v>301.8</v>
      </c>
      <c r="J62" s="757">
        <v>9</v>
      </c>
      <c r="K62" s="757">
        <v>13</v>
      </c>
      <c r="L62" s="757">
        <v>9</v>
      </c>
      <c r="M62" s="757">
        <v>235.49</v>
      </c>
      <c r="N62" s="757">
        <v>1.035E-2</v>
      </c>
      <c r="O62" s="757">
        <v>14</v>
      </c>
      <c r="P62" s="757">
        <v>22.5</v>
      </c>
      <c r="Q62" s="757" t="s">
        <v>353</v>
      </c>
      <c r="S62" s="760">
        <v>550.91200000000003</v>
      </c>
      <c r="T62" s="760">
        <v>654.80499999999995</v>
      </c>
      <c r="U62" s="769">
        <v>415.04899999999998</v>
      </c>
      <c r="V62" s="769">
        <v>779.40800000000002</v>
      </c>
      <c r="W62" s="770">
        <v>711.14499999999998</v>
      </c>
      <c r="X62" s="407"/>
      <c r="Y62" s="797">
        <v>3.879</v>
      </c>
      <c r="Z62" s="798"/>
      <c r="AA62" s="799">
        <v>0.82299999999999995</v>
      </c>
      <c r="AB62" s="800">
        <v>0.58299999999999996</v>
      </c>
      <c r="AC62" s="800">
        <v>0.58299999999999996</v>
      </c>
      <c r="AD62" s="801">
        <v>1.095</v>
      </c>
      <c r="AE62" s="798"/>
      <c r="AF62" s="802">
        <v>41.62</v>
      </c>
      <c r="AG62" s="803">
        <v>63</v>
      </c>
      <c r="AH62" s="803">
        <v>50.29</v>
      </c>
      <c r="AI62" s="803">
        <v>39.89</v>
      </c>
      <c r="AJ62" s="803">
        <v>34.68</v>
      </c>
      <c r="AK62" s="803">
        <v>31.22</v>
      </c>
      <c r="AL62" s="803">
        <v>27.75</v>
      </c>
      <c r="AM62" s="803">
        <v>39.89</v>
      </c>
      <c r="AN62" s="803">
        <v>71.400000000000006</v>
      </c>
      <c r="AO62" s="803">
        <v>55.49</v>
      </c>
      <c r="AP62" s="802">
        <v>24.28</v>
      </c>
      <c r="AQ62" s="782">
        <v>185.93700000000001</v>
      </c>
      <c r="AR62" s="428"/>
      <c r="AS62" s="411"/>
      <c r="AT62" s="411"/>
      <c r="AU62" s="411"/>
      <c r="AV62" s="411"/>
      <c r="AW62" s="396"/>
      <c r="AX62" s="797">
        <v>3.879</v>
      </c>
      <c r="AY62" s="798"/>
      <c r="AZ62" s="863">
        <v>0.82299999999999995</v>
      </c>
      <c r="BA62" s="864">
        <v>0.58299999999999996</v>
      </c>
      <c r="BB62" s="864">
        <v>0.58299999999999996</v>
      </c>
      <c r="BC62" s="865">
        <v>1.095</v>
      </c>
      <c r="BD62" s="798"/>
      <c r="BE62" s="831"/>
      <c r="BF62" s="798"/>
      <c r="BG62" s="863">
        <v>0.82299999999999995</v>
      </c>
      <c r="BH62" s="864">
        <v>0.58299999999999996</v>
      </c>
      <c r="BI62" s="864">
        <v>0.58299999999999996</v>
      </c>
      <c r="BJ62" s="865">
        <v>1.095</v>
      </c>
      <c r="BK62" s="798"/>
      <c r="BL62" s="837"/>
      <c r="BM62" s="798"/>
      <c r="BN62" s="799">
        <v>0.82299999999999995</v>
      </c>
      <c r="BO62" s="800">
        <v>0.58299999999999996</v>
      </c>
      <c r="BP62" s="800">
        <v>0.58299999999999996</v>
      </c>
      <c r="BQ62" s="801">
        <v>1.095</v>
      </c>
      <c r="BR62" s="798"/>
      <c r="BS62" s="842"/>
      <c r="BT62" s="798"/>
      <c r="BU62" s="799">
        <v>0.82299999999999995</v>
      </c>
      <c r="BV62" s="800">
        <v>0.58299999999999996</v>
      </c>
      <c r="BW62" s="800">
        <v>0.58299999999999996</v>
      </c>
      <c r="BX62" s="801">
        <v>1.095</v>
      </c>
      <c r="BY62" s="798"/>
      <c r="BZ62" s="831"/>
      <c r="CA62" s="798"/>
      <c r="CB62" s="799">
        <v>0.82299999999999995</v>
      </c>
      <c r="CC62" s="800">
        <v>0.58299999999999996</v>
      </c>
      <c r="CD62" s="800">
        <v>0.58299999999999996</v>
      </c>
      <c r="CE62" s="801">
        <v>1.095</v>
      </c>
      <c r="CF62" s="798"/>
      <c r="CG62" s="837"/>
      <c r="CH62" s="798"/>
      <c r="CI62" s="799">
        <v>0.82299999999999995</v>
      </c>
      <c r="CJ62" s="800">
        <v>0.58299999999999996</v>
      </c>
      <c r="CK62" s="800">
        <v>0.58299999999999996</v>
      </c>
      <c r="CL62" s="801">
        <v>1.095</v>
      </c>
      <c r="CM62" s="798"/>
      <c r="CN62" s="831"/>
      <c r="CO62" s="798"/>
      <c r="CP62" s="799">
        <v>0.82299999999999995</v>
      </c>
      <c r="CQ62" s="800">
        <v>0.58299999999999996</v>
      </c>
      <c r="CR62" s="800">
        <v>0.58299999999999996</v>
      </c>
      <c r="CS62" s="801">
        <v>1.095</v>
      </c>
      <c r="CT62" s="798"/>
      <c r="CU62" s="396"/>
      <c r="CV62" s="798"/>
      <c r="CW62" s="799">
        <v>0.82299999999999995</v>
      </c>
      <c r="CX62" s="800">
        <v>0.58299999999999996</v>
      </c>
      <c r="CY62" s="800">
        <v>0.58299999999999996</v>
      </c>
      <c r="CZ62" s="801">
        <v>1.095</v>
      </c>
      <c r="DA62" s="798"/>
      <c r="DB62" s="396"/>
      <c r="DC62" s="411"/>
      <c r="DD62" s="411"/>
      <c r="DE62" s="411"/>
      <c r="DF62" s="411"/>
      <c r="DG62" s="411"/>
      <c r="DH62" s="411"/>
      <c r="DI62" s="411"/>
      <c r="DJ62" s="411"/>
      <c r="DK62" s="411"/>
      <c r="DL62" s="411"/>
      <c r="DM62" s="411"/>
      <c r="DN62" s="418"/>
      <c r="DO62" s="411"/>
      <c r="DP62" s="411"/>
      <c r="DQ62" s="411"/>
      <c r="DR62" s="411"/>
      <c r="DS62" s="411"/>
      <c r="DT62" s="418"/>
      <c r="DU62" s="411"/>
      <c r="DV62" s="418"/>
      <c r="DW62" s="411"/>
      <c r="DX62" s="411"/>
      <c r="DZ62" s="411"/>
      <c r="EB62" s="411"/>
      <c r="EC62" s="411"/>
      <c r="ED62" s="411"/>
      <c r="EE62" s="411"/>
      <c r="EF62" s="411"/>
      <c r="EG62" s="411"/>
      <c r="EH62" s="411"/>
      <c r="EI62" s="411"/>
      <c r="EJ62" s="411"/>
      <c r="EK62" s="411"/>
      <c r="EL62" s="411"/>
      <c r="EM62" s="394"/>
      <c r="EN62" s="411"/>
      <c r="EO62" s="411"/>
      <c r="EP62" s="411"/>
      <c r="EQ62" s="411"/>
      <c r="ER62" s="411"/>
      <c r="ES62" s="394"/>
      <c r="ET62" s="411"/>
      <c r="EU62" s="394"/>
      <c r="EV62" s="411"/>
      <c r="EW62" s="411"/>
      <c r="EX62" s="394"/>
      <c r="EY62" s="411"/>
      <c r="EZ62" s="394"/>
      <c r="FA62" s="411"/>
      <c r="FB62" s="411"/>
      <c r="FC62" s="411"/>
      <c r="FD62" s="411"/>
      <c r="FE62" s="411"/>
      <c r="FF62" s="411"/>
      <c r="FG62" s="411"/>
      <c r="FH62" s="411"/>
      <c r="FI62" s="411"/>
      <c r="FJ62" s="411"/>
      <c r="FK62" s="411"/>
      <c r="FL62" s="394"/>
      <c r="FM62" s="411"/>
      <c r="FN62" s="411"/>
      <c r="FO62" s="411"/>
      <c r="FP62" s="411"/>
      <c r="FQ62" s="411"/>
      <c r="FR62" s="394"/>
      <c r="FS62" s="411"/>
      <c r="FT62" s="394"/>
      <c r="FU62" s="411"/>
      <c r="FV62" s="411"/>
      <c r="FW62" s="394"/>
      <c r="FX62" s="411"/>
      <c r="FY62" s="394"/>
      <c r="FZ62" s="411"/>
      <c r="GA62" s="411"/>
      <c r="GB62" s="411"/>
      <c r="GC62" s="411"/>
      <c r="GD62" s="411"/>
      <c r="GE62" s="411"/>
      <c r="GF62" s="411"/>
      <c r="GG62" s="411"/>
      <c r="GH62" s="411"/>
      <c r="GI62" s="411"/>
      <c r="GJ62" s="411"/>
      <c r="GL62" s="411"/>
      <c r="GM62" s="411"/>
      <c r="GN62" s="411"/>
      <c r="GO62" s="411"/>
      <c r="GP62" s="411"/>
      <c r="GQ62" s="394"/>
      <c r="GR62" s="411"/>
      <c r="GS62" s="394"/>
      <c r="GT62" s="411"/>
      <c r="GU62" s="411"/>
      <c r="GV62" s="394"/>
      <c r="GW62" s="411"/>
      <c r="GX62" s="394"/>
      <c r="GY62" s="411"/>
      <c r="GZ62" s="411"/>
      <c r="HA62" s="411"/>
      <c r="HB62" s="411"/>
      <c r="HC62" s="411"/>
      <c r="HD62" s="411"/>
      <c r="HE62" s="411"/>
      <c r="HF62" s="411"/>
      <c r="HG62" s="411"/>
      <c r="HH62" s="411"/>
      <c r="HI62" s="411"/>
      <c r="HK62" s="426"/>
      <c r="HL62" s="426"/>
      <c r="HM62" s="426"/>
      <c r="HN62" s="426"/>
      <c r="HO62" s="426"/>
      <c r="HP62" s="394"/>
      <c r="HQ62" s="426"/>
      <c r="HR62" s="394"/>
      <c r="HS62" s="426"/>
      <c r="HT62" s="426"/>
      <c r="HU62" s="394"/>
      <c r="HV62" s="426"/>
      <c r="HW62" s="394"/>
      <c r="HX62" s="426"/>
      <c r="HY62" s="426"/>
      <c r="HZ62" s="426"/>
      <c r="IA62" s="426"/>
      <c r="IB62" s="426"/>
      <c r="IC62" s="426"/>
      <c r="ID62" s="426"/>
      <c r="IE62" s="426"/>
      <c r="IF62" s="426"/>
      <c r="IG62" s="426"/>
      <c r="IH62" s="426"/>
      <c r="IJ62" s="427"/>
      <c r="IK62" s="427"/>
      <c r="IL62" s="427"/>
      <c r="IM62" s="427"/>
      <c r="IN62" s="427"/>
      <c r="IO62" s="414"/>
      <c r="IP62" s="427"/>
      <c r="IQ62" s="414"/>
      <c r="IR62" s="427"/>
      <c r="IS62" s="427"/>
      <c r="IT62" s="414"/>
      <c r="IU62" s="427"/>
      <c r="IV62" s="414"/>
      <c r="IW62" s="427"/>
      <c r="IX62" s="427"/>
      <c r="IY62" s="427"/>
      <c r="IZ62" s="427"/>
      <c r="JA62" s="427"/>
      <c r="JB62" s="427"/>
      <c r="JC62" s="427"/>
      <c r="JD62" s="427"/>
      <c r="JE62" s="427"/>
      <c r="JF62" s="427"/>
      <c r="JG62" s="427"/>
    </row>
    <row r="63" spans="1:267" x14ac:dyDescent="0.3">
      <c r="A63" s="752" t="s">
        <v>974</v>
      </c>
      <c r="B63" s="757" t="s">
        <v>168</v>
      </c>
      <c r="C63" s="757" t="s">
        <v>174</v>
      </c>
      <c r="D63" s="757" t="s">
        <v>168</v>
      </c>
      <c r="E63" s="757" t="s">
        <v>355</v>
      </c>
      <c r="F63" s="757" t="s">
        <v>168</v>
      </c>
      <c r="G63" s="757">
        <v>4.2610000000000001</v>
      </c>
      <c r="H63" s="757">
        <v>70</v>
      </c>
      <c r="I63" s="757">
        <v>298.3</v>
      </c>
      <c r="J63" s="757">
        <v>11</v>
      </c>
      <c r="K63" s="757">
        <v>9</v>
      </c>
      <c r="L63" s="757">
        <v>10</v>
      </c>
      <c r="M63" s="757">
        <v>227.91</v>
      </c>
      <c r="N63" s="757">
        <v>1.35E-2</v>
      </c>
      <c r="O63" s="757">
        <v>17</v>
      </c>
      <c r="P63" s="757">
        <v>19.5</v>
      </c>
      <c r="Q63" s="757" t="s">
        <v>355</v>
      </c>
      <c r="S63" s="764">
        <v>661.95100000000002</v>
      </c>
      <c r="T63" s="760">
        <v>616.25199999999995</v>
      </c>
      <c r="U63" s="760">
        <v>466.42599999999999</v>
      </c>
      <c r="V63" s="760">
        <v>628.43899999999996</v>
      </c>
      <c r="W63" s="760">
        <v>541.16600000000005</v>
      </c>
      <c r="X63" s="407"/>
      <c r="Y63" s="775">
        <v>196.42400000000001</v>
      </c>
      <c r="Z63" s="776">
        <v>0.97</v>
      </c>
      <c r="AA63" s="777">
        <v>0.82699999999999996</v>
      </c>
      <c r="AB63" s="779">
        <v>0.66900000000000004</v>
      </c>
      <c r="AC63" s="779">
        <v>0.73</v>
      </c>
      <c r="AD63" s="779">
        <v>1.0109999999999999</v>
      </c>
      <c r="AE63" s="776">
        <v>0.97</v>
      </c>
      <c r="AF63" s="780">
        <v>18.45</v>
      </c>
      <c r="AG63" s="781">
        <v>19.86</v>
      </c>
      <c r="AH63" s="781">
        <v>27.14</v>
      </c>
      <c r="AI63" s="781">
        <v>24.85</v>
      </c>
      <c r="AJ63" s="781">
        <v>21.33</v>
      </c>
      <c r="AK63" s="781">
        <v>26.21</v>
      </c>
      <c r="AL63" s="781">
        <v>23.26</v>
      </c>
      <c r="AM63" s="781">
        <v>43</v>
      </c>
      <c r="AN63" s="781">
        <v>32.5</v>
      </c>
      <c r="AO63" s="781">
        <v>36.32</v>
      </c>
      <c r="AP63" s="780">
        <v>20.12</v>
      </c>
      <c r="AQ63" s="782">
        <v>187.03700000000001</v>
      </c>
      <c r="AR63" s="428"/>
      <c r="AS63" s="411"/>
      <c r="AT63" s="411"/>
      <c r="AU63" s="411"/>
      <c r="AV63" s="411"/>
      <c r="AW63" s="396"/>
      <c r="AX63" s="775">
        <v>196.42400000000001</v>
      </c>
      <c r="AY63" s="776"/>
      <c r="AZ63" s="851">
        <v>0.82699999999999996</v>
      </c>
      <c r="BA63" s="853">
        <v>0.66900000000000004</v>
      </c>
      <c r="BB63" s="853">
        <v>0.73</v>
      </c>
      <c r="BC63" s="853">
        <v>1.0109999999999999</v>
      </c>
      <c r="BD63" s="776"/>
      <c r="BE63" s="808"/>
      <c r="BF63" s="776"/>
      <c r="BG63" s="851">
        <v>0.82699999999999996</v>
      </c>
      <c r="BH63" s="853">
        <v>0.66900000000000004</v>
      </c>
      <c r="BI63" s="853">
        <v>0.73</v>
      </c>
      <c r="BJ63" s="853">
        <v>1.0109999999999999</v>
      </c>
      <c r="BK63" s="776"/>
      <c r="BL63" s="834"/>
      <c r="BM63" s="776">
        <v>0.97</v>
      </c>
      <c r="BN63" s="777">
        <v>0.82699999999999996</v>
      </c>
      <c r="BO63" s="779">
        <v>0.66900000000000004</v>
      </c>
      <c r="BP63" s="779">
        <v>0.73</v>
      </c>
      <c r="BQ63" s="779">
        <v>1.0109999999999999</v>
      </c>
      <c r="BR63" s="776">
        <v>0.97</v>
      </c>
      <c r="BS63" s="842"/>
      <c r="BT63" s="776">
        <v>0.97</v>
      </c>
      <c r="BU63" s="777">
        <v>0.82699999999999996</v>
      </c>
      <c r="BV63" s="779">
        <v>0.66900000000000004</v>
      </c>
      <c r="BW63" s="779">
        <v>0.73</v>
      </c>
      <c r="BX63" s="779">
        <v>1.0109999999999999</v>
      </c>
      <c r="BY63" s="776">
        <v>0.97</v>
      </c>
      <c r="BZ63" s="774"/>
      <c r="CA63" s="776">
        <v>0.97</v>
      </c>
      <c r="CB63" s="777">
        <v>0.82699999999999996</v>
      </c>
      <c r="CC63" s="779">
        <v>0.66900000000000004</v>
      </c>
      <c r="CD63" s="779">
        <v>0.73</v>
      </c>
      <c r="CE63" s="779">
        <v>1.0109999999999999</v>
      </c>
      <c r="CF63" s="776">
        <v>0.97</v>
      </c>
      <c r="CG63" s="834"/>
      <c r="CH63" s="776">
        <v>0.97</v>
      </c>
      <c r="CI63" s="777">
        <v>0.82699999999999996</v>
      </c>
      <c r="CJ63" s="779">
        <v>0.66900000000000004</v>
      </c>
      <c r="CK63" s="779">
        <v>0.73</v>
      </c>
      <c r="CL63" s="779">
        <v>1.0109999999999999</v>
      </c>
      <c r="CM63" s="776">
        <v>0.97</v>
      </c>
      <c r="CN63" s="808"/>
      <c r="CO63" s="776">
        <v>0.97</v>
      </c>
      <c r="CP63" s="777">
        <v>0.82699999999999996</v>
      </c>
      <c r="CQ63" s="779">
        <v>0.66900000000000004</v>
      </c>
      <c r="CR63" s="779">
        <v>0.73</v>
      </c>
      <c r="CS63" s="779">
        <v>1.0109999999999999</v>
      </c>
      <c r="CT63" s="776">
        <v>0.97</v>
      </c>
      <c r="CU63" s="396"/>
      <c r="CV63" s="776">
        <v>0.97</v>
      </c>
      <c r="CW63" s="777">
        <v>0.82699999999999996</v>
      </c>
      <c r="CX63" s="779">
        <v>0.66900000000000004</v>
      </c>
      <c r="CY63" s="779">
        <v>0.73</v>
      </c>
      <c r="CZ63" s="779">
        <v>1.0109999999999999</v>
      </c>
      <c r="DA63" s="776">
        <v>0.97</v>
      </c>
      <c r="DB63" s="418"/>
      <c r="DC63" s="411"/>
      <c r="DD63" s="411"/>
      <c r="DE63" s="411"/>
      <c r="DF63" s="411"/>
      <c r="DG63" s="411"/>
      <c r="DH63" s="411"/>
      <c r="DI63" s="411"/>
      <c r="DJ63" s="411"/>
      <c r="DK63" s="411"/>
      <c r="DL63" s="411"/>
      <c r="DM63" s="411"/>
      <c r="DN63" s="418"/>
      <c r="DO63" s="411"/>
      <c r="DP63" s="411"/>
      <c r="DQ63" s="411"/>
      <c r="DR63" s="411"/>
      <c r="DS63" s="411"/>
      <c r="DU63" s="411"/>
      <c r="DV63" s="418"/>
      <c r="DW63" s="411"/>
      <c r="DX63" s="411"/>
      <c r="DZ63" s="411"/>
      <c r="EB63" s="411"/>
      <c r="EC63" s="411"/>
      <c r="ED63" s="411"/>
      <c r="EE63" s="411"/>
      <c r="EF63" s="411"/>
      <c r="EG63" s="411"/>
      <c r="EH63" s="411"/>
      <c r="EI63" s="411"/>
      <c r="EJ63" s="411"/>
      <c r="EK63" s="411"/>
      <c r="EL63" s="411"/>
      <c r="EM63" s="394"/>
      <c r="EN63" s="411"/>
      <c r="EO63" s="411"/>
      <c r="EP63" s="411"/>
      <c r="EQ63" s="411"/>
      <c r="ER63" s="411"/>
      <c r="ES63" s="394"/>
      <c r="ET63" s="411"/>
      <c r="EU63" s="394"/>
      <c r="EV63" s="411"/>
      <c r="EW63" s="411"/>
      <c r="EX63" s="394"/>
      <c r="EY63" s="411"/>
      <c r="EZ63" s="394"/>
      <c r="FA63" s="411"/>
      <c r="FB63" s="411"/>
      <c r="FC63" s="411"/>
      <c r="FD63" s="411"/>
      <c r="FE63" s="411"/>
      <c r="FF63" s="411"/>
      <c r="FG63" s="411"/>
      <c r="FH63" s="411"/>
      <c r="FI63" s="411"/>
      <c r="FJ63" s="411"/>
      <c r="FK63" s="411"/>
      <c r="FL63" s="394"/>
      <c r="FM63" s="411"/>
      <c r="FN63" s="411"/>
      <c r="FO63" s="411"/>
      <c r="FP63" s="411"/>
      <c r="FQ63" s="411"/>
      <c r="FR63" s="394"/>
      <c r="FS63" s="411"/>
      <c r="FT63" s="394"/>
      <c r="FU63" s="411"/>
      <c r="FV63" s="411"/>
      <c r="FW63" s="394"/>
      <c r="FX63" s="411"/>
      <c r="FY63" s="394"/>
      <c r="FZ63" s="411"/>
      <c r="GA63" s="411"/>
      <c r="GB63" s="411"/>
      <c r="GC63" s="411"/>
      <c r="GD63" s="411"/>
      <c r="GE63" s="411"/>
      <c r="GF63" s="411"/>
      <c r="GG63" s="411"/>
      <c r="GH63" s="411"/>
      <c r="GI63" s="411"/>
      <c r="GJ63" s="411"/>
      <c r="GL63" s="411"/>
      <c r="GM63" s="411"/>
      <c r="GN63" s="411"/>
      <c r="GO63" s="411"/>
      <c r="GP63" s="411"/>
      <c r="GQ63" s="394"/>
      <c r="GR63" s="411"/>
      <c r="GS63" s="394"/>
      <c r="GT63" s="411"/>
      <c r="GU63" s="411"/>
      <c r="GV63" s="394"/>
      <c r="GW63" s="411"/>
      <c r="GX63" s="394"/>
      <c r="GY63" s="411"/>
      <c r="GZ63" s="411"/>
      <c r="HA63" s="411"/>
      <c r="HB63" s="411"/>
      <c r="HC63" s="411"/>
      <c r="HD63" s="411"/>
      <c r="HE63" s="411"/>
      <c r="HF63" s="411"/>
      <c r="HG63" s="411"/>
      <c r="HH63" s="411"/>
      <c r="HI63" s="411"/>
      <c r="HK63" s="426"/>
      <c r="HL63" s="426"/>
      <c r="HM63" s="426"/>
      <c r="HN63" s="426"/>
      <c r="HO63" s="426"/>
      <c r="HP63" s="394"/>
      <c r="HQ63" s="426"/>
      <c r="HR63" s="394"/>
      <c r="HS63" s="426"/>
      <c r="HT63" s="426"/>
      <c r="HU63" s="394"/>
      <c r="HV63" s="426"/>
      <c r="HW63" s="394"/>
      <c r="HX63" s="426"/>
      <c r="HY63" s="426"/>
      <c r="HZ63" s="426"/>
      <c r="IA63" s="426"/>
      <c r="IB63" s="426"/>
      <c r="IC63" s="426"/>
      <c r="ID63" s="426"/>
      <c r="IE63" s="426"/>
      <c r="IF63" s="426"/>
      <c r="IG63" s="426"/>
      <c r="IH63" s="426"/>
      <c r="IJ63" s="427"/>
      <c r="IK63" s="427"/>
      <c r="IL63" s="427"/>
      <c r="IM63" s="427"/>
      <c r="IN63" s="427"/>
      <c r="IO63" s="414"/>
      <c r="IP63" s="427"/>
      <c r="IQ63" s="414"/>
      <c r="IR63" s="427"/>
      <c r="IS63" s="427"/>
      <c r="IT63" s="414"/>
      <c r="IU63" s="427"/>
      <c r="IV63" s="414"/>
      <c r="IW63" s="427"/>
      <c r="IX63" s="427"/>
      <c r="IY63" s="427"/>
      <c r="IZ63" s="427"/>
      <c r="JA63" s="427"/>
      <c r="JB63" s="427"/>
      <c r="JC63" s="427"/>
      <c r="JD63" s="427"/>
      <c r="JE63" s="427"/>
      <c r="JF63" s="427"/>
      <c r="JG63" s="427"/>
    </row>
    <row r="64" spans="1:267" x14ac:dyDescent="0.3">
      <c r="A64" s="756" t="s">
        <v>975</v>
      </c>
      <c r="B64" s="757" t="s">
        <v>355</v>
      </c>
      <c r="C64" s="757" t="s">
        <v>30</v>
      </c>
      <c r="D64" s="757" t="s">
        <v>168</v>
      </c>
      <c r="E64" s="757" t="s">
        <v>351</v>
      </c>
      <c r="F64" s="757" t="s">
        <v>353</v>
      </c>
      <c r="G64" s="757">
        <v>6.1740000000000004</v>
      </c>
      <c r="H64" s="757">
        <v>50</v>
      </c>
      <c r="I64" s="757">
        <v>308.7</v>
      </c>
      <c r="J64" s="757">
        <v>20</v>
      </c>
      <c r="K64" s="757">
        <v>12</v>
      </c>
      <c r="L64" s="757">
        <v>11</v>
      </c>
      <c r="M64" s="757">
        <v>241.82</v>
      </c>
      <c r="N64" s="757">
        <v>3.2349999999999997E-2</v>
      </c>
      <c r="O64" s="757">
        <v>27</v>
      </c>
      <c r="P64" s="757">
        <v>21</v>
      </c>
      <c r="Q64" s="757" t="s">
        <v>30</v>
      </c>
      <c r="S64" s="771">
        <v>214.17400000000001</v>
      </c>
      <c r="T64" s="771">
        <v>423</v>
      </c>
      <c r="U64" s="772">
        <v>610.69200000000001</v>
      </c>
      <c r="V64" s="772">
        <v>622.5</v>
      </c>
      <c r="W64" s="771">
        <v>388.63</v>
      </c>
      <c r="X64" s="429"/>
      <c r="Y64" s="804">
        <v>3.5</v>
      </c>
      <c r="Z64" s="776">
        <v>0.98</v>
      </c>
      <c r="AA64" s="805">
        <v>0.92700000000000005</v>
      </c>
      <c r="AB64" s="806">
        <v>0.81</v>
      </c>
      <c r="AC64" s="806">
        <v>0.69799999999999995</v>
      </c>
      <c r="AD64" s="806">
        <v>1.0609999999999999</v>
      </c>
      <c r="AE64" s="776">
        <v>0.98</v>
      </c>
      <c r="AF64" s="780">
        <v>25.5</v>
      </c>
      <c r="AG64" s="781">
        <v>42.5</v>
      </c>
      <c r="AH64" s="781">
        <v>21.85</v>
      </c>
      <c r="AI64" s="781">
        <v>20</v>
      </c>
      <c r="AJ64" s="781">
        <v>13.8</v>
      </c>
      <c r="AK64" s="781">
        <v>12.3</v>
      </c>
      <c r="AL64" s="781">
        <v>35</v>
      </c>
      <c r="AM64" s="781">
        <v>24</v>
      </c>
      <c r="AN64" s="781">
        <v>28.8</v>
      </c>
      <c r="AO64" s="781">
        <v>23.6</v>
      </c>
      <c r="AP64" s="781">
        <v>14</v>
      </c>
      <c r="AQ64" s="807">
        <v>145</v>
      </c>
      <c r="AR64" s="428"/>
      <c r="AS64" s="411"/>
      <c r="AT64" s="411"/>
      <c r="AU64" s="411"/>
      <c r="AV64" s="411"/>
      <c r="AW64" s="396"/>
      <c r="AX64" s="804">
        <v>3.5</v>
      </c>
      <c r="AY64" s="776"/>
      <c r="AZ64" s="866">
        <v>0.92700000000000005</v>
      </c>
      <c r="BA64" s="867">
        <v>0.81</v>
      </c>
      <c r="BB64" s="867">
        <v>0.69799999999999995</v>
      </c>
      <c r="BC64" s="867">
        <v>1.0609999999999999</v>
      </c>
      <c r="BD64" s="776"/>
      <c r="BE64" s="808"/>
      <c r="BF64" s="776"/>
      <c r="BG64" s="866">
        <v>0.92700000000000005</v>
      </c>
      <c r="BH64" s="867">
        <v>0.81</v>
      </c>
      <c r="BI64" s="867">
        <v>0.69799999999999995</v>
      </c>
      <c r="BJ64" s="867">
        <v>1.0609999999999999</v>
      </c>
      <c r="BK64" s="776"/>
      <c r="BL64" s="834"/>
      <c r="BM64" s="776">
        <v>0.98</v>
      </c>
      <c r="BN64" s="805">
        <v>0.92700000000000005</v>
      </c>
      <c r="BO64" s="806">
        <v>0.81</v>
      </c>
      <c r="BP64" s="806">
        <v>0.69799999999999995</v>
      </c>
      <c r="BQ64" s="806">
        <v>1.0609999999999999</v>
      </c>
      <c r="BR64" s="776">
        <v>0.98</v>
      </c>
      <c r="BS64" s="842"/>
      <c r="BT64" s="776">
        <v>0.98</v>
      </c>
      <c r="BU64" s="805">
        <v>0.92700000000000005</v>
      </c>
      <c r="BV64" s="806">
        <v>0.81</v>
      </c>
      <c r="BW64" s="806">
        <v>0.69799999999999995</v>
      </c>
      <c r="BX64" s="806">
        <v>1.0609999999999999</v>
      </c>
      <c r="BY64" s="776">
        <v>0.98</v>
      </c>
      <c r="BZ64" s="845"/>
      <c r="CA64" s="776">
        <v>0.98</v>
      </c>
      <c r="CB64" s="805">
        <v>0.92700000000000005</v>
      </c>
      <c r="CC64" s="806">
        <v>0.81</v>
      </c>
      <c r="CD64" s="806">
        <v>0.69799999999999995</v>
      </c>
      <c r="CE64" s="806">
        <v>1.0609999999999999</v>
      </c>
      <c r="CF64" s="776">
        <v>0.98</v>
      </c>
      <c r="CG64" s="834"/>
      <c r="CH64" s="776">
        <v>0.98</v>
      </c>
      <c r="CI64" s="805">
        <v>0.92700000000000005</v>
      </c>
      <c r="CJ64" s="806">
        <v>0.81</v>
      </c>
      <c r="CK64" s="806">
        <v>0.69799999999999995</v>
      </c>
      <c r="CL64" s="806">
        <v>1.0609999999999999</v>
      </c>
      <c r="CM64" s="776">
        <v>0.98</v>
      </c>
      <c r="CN64" s="834"/>
      <c r="CO64" s="776">
        <v>0.98</v>
      </c>
      <c r="CP64" s="805">
        <v>0.92700000000000005</v>
      </c>
      <c r="CQ64" s="806">
        <v>0.81</v>
      </c>
      <c r="CR64" s="806">
        <v>0.69799999999999995</v>
      </c>
      <c r="CS64" s="806">
        <v>1.0609999999999999</v>
      </c>
      <c r="CT64" s="776">
        <v>0.98</v>
      </c>
      <c r="CU64" s="396"/>
      <c r="CV64" s="776">
        <v>0.98</v>
      </c>
      <c r="CW64" s="805">
        <v>0.92700000000000005</v>
      </c>
      <c r="CX64" s="806">
        <v>0.81</v>
      </c>
      <c r="CY64" s="806">
        <v>0.69799999999999995</v>
      </c>
      <c r="CZ64" s="806">
        <v>1.0609999999999999</v>
      </c>
      <c r="DA64" s="776">
        <v>0.98</v>
      </c>
      <c r="DB64" s="418"/>
      <c r="DC64" s="411"/>
      <c r="DD64" s="411"/>
      <c r="DE64" s="411"/>
      <c r="DF64" s="411"/>
      <c r="DG64" s="411"/>
      <c r="DH64" s="411"/>
      <c r="DI64" s="411"/>
      <c r="DJ64" s="411"/>
      <c r="DK64" s="411"/>
      <c r="DL64" s="411"/>
      <c r="DM64" s="411"/>
      <c r="DO64" s="411"/>
      <c r="DP64" s="411"/>
      <c r="DQ64" s="411"/>
      <c r="DR64" s="411"/>
      <c r="DS64" s="411"/>
      <c r="DU64" s="411"/>
      <c r="DV64" s="418"/>
      <c r="DW64" s="411"/>
      <c r="DX64" s="411"/>
      <c r="DZ64" s="411"/>
      <c r="EB64" s="411"/>
      <c r="EC64" s="411"/>
      <c r="ED64" s="411"/>
      <c r="EE64" s="411"/>
      <c r="EF64" s="411"/>
      <c r="EG64" s="411"/>
      <c r="EH64" s="411"/>
      <c r="EI64" s="411"/>
      <c r="EJ64" s="411"/>
      <c r="EK64" s="411"/>
      <c r="EL64" s="411"/>
      <c r="EM64" s="394"/>
      <c r="EN64" s="411"/>
      <c r="EO64" s="411"/>
      <c r="EP64" s="411"/>
      <c r="EQ64" s="411"/>
      <c r="ER64" s="411"/>
      <c r="ES64" s="394"/>
      <c r="ET64" s="411"/>
      <c r="EU64" s="394"/>
      <c r="EV64" s="411"/>
      <c r="EW64" s="411"/>
      <c r="EX64" s="394"/>
      <c r="EY64" s="411"/>
      <c r="EZ64" s="394"/>
      <c r="FA64" s="411"/>
      <c r="FB64" s="411"/>
      <c r="FC64" s="411"/>
      <c r="FD64" s="411"/>
      <c r="FE64" s="411"/>
      <c r="FF64" s="411"/>
      <c r="FG64" s="411"/>
      <c r="FH64" s="411"/>
      <c r="FI64" s="411"/>
      <c r="FJ64" s="411"/>
      <c r="FK64" s="411"/>
      <c r="FL64" s="394"/>
      <c r="FM64" s="411"/>
      <c r="FN64" s="411"/>
      <c r="FO64" s="411"/>
      <c r="FP64" s="411"/>
      <c r="FQ64" s="411"/>
      <c r="FR64" s="394"/>
      <c r="FS64" s="411"/>
      <c r="FT64" s="394"/>
      <c r="FU64" s="411"/>
      <c r="FV64" s="411"/>
      <c r="FW64" s="394"/>
      <c r="FX64" s="411"/>
      <c r="FY64" s="394"/>
      <c r="FZ64" s="411"/>
      <c r="GA64" s="411"/>
      <c r="GB64" s="411"/>
      <c r="GC64" s="411"/>
      <c r="GD64" s="411"/>
      <c r="GE64" s="411"/>
      <c r="GF64" s="411"/>
      <c r="GG64" s="411"/>
      <c r="GH64" s="411"/>
      <c r="GI64" s="411"/>
      <c r="GJ64" s="411"/>
      <c r="GL64" s="411"/>
      <c r="GM64" s="426"/>
      <c r="GN64" s="426"/>
      <c r="GO64" s="426"/>
      <c r="GP64" s="426"/>
      <c r="GQ64" s="394"/>
      <c r="GR64" s="426"/>
      <c r="GS64" s="394"/>
      <c r="GT64" s="426"/>
      <c r="GU64" s="426"/>
      <c r="GV64" s="394"/>
      <c r="GW64" s="426"/>
      <c r="GX64" s="394"/>
      <c r="GY64" s="426"/>
      <c r="GZ64" s="426"/>
      <c r="HA64" s="426"/>
      <c r="HB64" s="426"/>
      <c r="HC64" s="426"/>
      <c r="HD64" s="426"/>
      <c r="HE64" s="426"/>
      <c r="HF64" s="426"/>
      <c r="HG64" s="426"/>
      <c r="HH64" s="426"/>
      <c r="HI64" s="426"/>
      <c r="HK64" s="411"/>
      <c r="HL64" s="411"/>
      <c r="HM64" s="411"/>
      <c r="HN64" s="411"/>
      <c r="HO64" s="411"/>
      <c r="HP64" s="394"/>
      <c r="HQ64" s="411"/>
      <c r="HR64" s="394"/>
      <c r="HS64" s="411"/>
      <c r="HT64" s="411"/>
      <c r="HU64" s="394"/>
      <c r="HV64" s="411"/>
      <c r="HW64" s="394"/>
      <c r="HX64" s="411"/>
      <c r="HY64" s="411"/>
      <c r="HZ64" s="411"/>
      <c r="IA64" s="411"/>
      <c r="IB64" s="411"/>
      <c r="IC64" s="411"/>
      <c r="ID64" s="411"/>
      <c r="IE64" s="411"/>
      <c r="IF64" s="411"/>
      <c r="IG64" s="411"/>
      <c r="IH64" s="411"/>
      <c r="IJ64" s="427"/>
      <c r="IK64" s="427"/>
      <c r="IL64" s="427"/>
      <c r="IM64" s="427"/>
      <c r="IN64" s="427"/>
      <c r="IO64" s="414"/>
      <c r="IP64" s="427"/>
      <c r="IQ64" s="414"/>
      <c r="IR64" s="427"/>
      <c r="IS64" s="427"/>
      <c r="IT64" s="414"/>
      <c r="IU64" s="427"/>
      <c r="IV64" s="414"/>
      <c r="IW64" s="427"/>
      <c r="IX64" s="427"/>
      <c r="IY64" s="427"/>
      <c r="IZ64" s="427"/>
      <c r="JA64" s="427"/>
      <c r="JB64" s="427"/>
      <c r="JC64" s="427"/>
      <c r="JD64" s="427"/>
      <c r="JE64" s="427"/>
      <c r="JF64" s="427"/>
      <c r="JG64" s="427"/>
    </row>
    <row r="65" spans="1:267" x14ac:dyDescent="0.3">
      <c r="A65" s="754" t="s">
        <v>976</v>
      </c>
      <c r="B65" s="758" t="s">
        <v>168</v>
      </c>
      <c r="C65" s="758" t="s">
        <v>30</v>
      </c>
      <c r="D65" s="758" t="s">
        <v>174</v>
      </c>
      <c r="E65" s="758" t="s">
        <v>355</v>
      </c>
      <c r="F65" s="758" t="s">
        <v>355</v>
      </c>
      <c r="G65" s="758">
        <v>5.4109999999999996</v>
      </c>
      <c r="H65" s="758">
        <v>57</v>
      </c>
      <c r="I65" s="758">
        <v>308.39999999999998</v>
      </c>
      <c r="J65" s="758">
        <v>14</v>
      </c>
      <c r="K65" s="758">
        <v>13</v>
      </c>
      <c r="L65" s="758">
        <v>11</v>
      </c>
      <c r="M65" s="758">
        <v>245</v>
      </c>
      <c r="N65" s="759">
        <v>1.4749999999999999E-2</v>
      </c>
      <c r="O65" s="758">
        <v>19</v>
      </c>
      <c r="P65" s="758">
        <v>17</v>
      </c>
      <c r="Q65" s="758" t="s">
        <v>353</v>
      </c>
      <c r="S65" s="773">
        <v>462</v>
      </c>
      <c r="T65" s="774">
        <v>557</v>
      </c>
      <c r="U65" s="774">
        <v>511</v>
      </c>
      <c r="V65" s="774">
        <v>376</v>
      </c>
      <c r="W65" s="774">
        <v>724</v>
      </c>
      <c r="X65" s="407"/>
      <c r="Y65" s="808">
        <v>50</v>
      </c>
      <c r="Z65" s="776">
        <v>0.98</v>
      </c>
      <c r="AA65" s="808">
        <v>0.82199999999999995</v>
      </c>
      <c r="AB65" s="783">
        <v>0.59899999999999998</v>
      </c>
      <c r="AC65" s="774">
        <v>0.59899999999999998</v>
      </c>
      <c r="AD65" s="795">
        <v>1.1499999999999999</v>
      </c>
      <c r="AE65" s="776">
        <v>0.98</v>
      </c>
      <c r="AF65" s="774">
        <v>26</v>
      </c>
      <c r="AG65" s="774">
        <v>46</v>
      </c>
      <c r="AH65" s="774">
        <v>26.8</v>
      </c>
      <c r="AI65" s="774">
        <v>29.5</v>
      </c>
      <c r="AJ65" s="774">
        <v>19.5</v>
      </c>
      <c r="AK65" s="774">
        <v>17.5</v>
      </c>
      <c r="AL65" s="774">
        <v>24</v>
      </c>
      <c r="AM65" s="774">
        <v>30</v>
      </c>
      <c r="AN65" s="774">
        <v>33</v>
      </c>
      <c r="AO65" s="774">
        <v>17.7</v>
      </c>
      <c r="AP65" s="808">
        <v>14.5</v>
      </c>
      <c r="AQ65" s="809">
        <v>150.982</v>
      </c>
      <c r="AR65" s="428"/>
      <c r="AS65" s="411"/>
      <c r="AT65" s="411"/>
      <c r="AU65" s="411"/>
      <c r="AV65" s="411"/>
      <c r="AX65" s="808">
        <v>50</v>
      </c>
      <c r="AY65" s="776"/>
      <c r="AZ65" s="868">
        <v>0.82199999999999995</v>
      </c>
      <c r="BA65" s="855">
        <v>0.59899999999999998</v>
      </c>
      <c r="BB65" s="869">
        <v>0.59899999999999998</v>
      </c>
      <c r="BC65" s="860">
        <v>1.1499999999999999</v>
      </c>
      <c r="BD65" s="776"/>
      <c r="BE65" s="774"/>
      <c r="BF65" s="776"/>
      <c r="BG65" s="868">
        <v>0.82199999999999995</v>
      </c>
      <c r="BH65" s="855">
        <v>0.59899999999999998</v>
      </c>
      <c r="BI65" s="869">
        <v>0.59899999999999998</v>
      </c>
      <c r="BJ65" s="860">
        <v>1.1499999999999999</v>
      </c>
      <c r="BK65" s="776"/>
      <c r="BL65" s="774"/>
      <c r="BM65" s="776">
        <v>0.98</v>
      </c>
      <c r="BN65" s="808">
        <v>0.82199999999999995</v>
      </c>
      <c r="BO65" s="783">
        <v>0.59899999999999998</v>
      </c>
      <c r="BP65" s="774">
        <v>0.59899999999999998</v>
      </c>
      <c r="BQ65" s="795">
        <v>1.1499999999999999</v>
      </c>
      <c r="BR65" s="776">
        <v>0.98</v>
      </c>
      <c r="BS65" s="842"/>
      <c r="BT65" s="776">
        <v>0.98</v>
      </c>
      <c r="BU65" s="808">
        <v>0.82199999999999995</v>
      </c>
      <c r="BV65" s="783">
        <v>0.59899999999999998</v>
      </c>
      <c r="BW65" s="774">
        <v>0.59899999999999998</v>
      </c>
      <c r="BX65" s="795">
        <v>1.1499999999999999</v>
      </c>
      <c r="BY65" s="776">
        <v>0.98</v>
      </c>
      <c r="BZ65" s="774"/>
      <c r="CA65" s="776">
        <v>0.98</v>
      </c>
      <c r="CB65" s="808">
        <v>0.82199999999999995</v>
      </c>
      <c r="CC65" s="783">
        <v>0.59899999999999998</v>
      </c>
      <c r="CD65" s="774">
        <v>0.59899999999999998</v>
      </c>
      <c r="CE65" s="795">
        <v>1.1499999999999999</v>
      </c>
      <c r="CF65" s="776">
        <v>0.98</v>
      </c>
      <c r="CG65" s="774"/>
      <c r="CH65" s="776">
        <v>0.98</v>
      </c>
      <c r="CI65" s="808">
        <v>0.82199999999999995</v>
      </c>
      <c r="CJ65" s="783">
        <v>0.59899999999999998</v>
      </c>
      <c r="CK65" s="774">
        <v>0.59899999999999998</v>
      </c>
      <c r="CL65" s="795">
        <v>1.1499999999999999</v>
      </c>
      <c r="CM65" s="776">
        <v>0.98</v>
      </c>
      <c r="CN65" s="808"/>
      <c r="CO65" s="776">
        <v>0.98</v>
      </c>
      <c r="CP65" s="808">
        <v>0.82199999999999995</v>
      </c>
      <c r="CQ65" s="783">
        <v>0.59899999999999998</v>
      </c>
      <c r="CR65" s="774">
        <v>0.59899999999999998</v>
      </c>
      <c r="CS65" s="795">
        <v>1.1499999999999999</v>
      </c>
      <c r="CT65" s="776">
        <v>0.98</v>
      </c>
      <c r="CU65" s="396"/>
      <c r="CV65" s="776">
        <v>0.98</v>
      </c>
      <c r="CW65" s="808">
        <v>0.82199999999999995</v>
      </c>
      <c r="CX65" s="783">
        <v>0.59899999999999998</v>
      </c>
      <c r="CY65" s="774">
        <v>0.59899999999999998</v>
      </c>
      <c r="CZ65" s="795">
        <v>1.1499999999999999</v>
      </c>
      <c r="DA65" s="776">
        <v>0.98</v>
      </c>
      <c r="DC65" s="411"/>
      <c r="DD65" s="411"/>
      <c r="DE65" s="411"/>
      <c r="DF65" s="411"/>
      <c r="DG65" s="411"/>
      <c r="DH65" s="411"/>
      <c r="DI65" s="411"/>
      <c r="DJ65" s="411"/>
      <c r="DK65" s="411"/>
      <c r="DL65" s="411"/>
      <c r="DM65" s="411"/>
      <c r="DO65" s="411"/>
      <c r="DP65" s="411"/>
      <c r="DQ65" s="411"/>
      <c r="DR65" s="411"/>
      <c r="DS65" s="411"/>
      <c r="DT65" s="418"/>
      <c r="DU65" s="411"/>
      <c r="DV65" s="418"/>
      <c r="DW65" s="411"/>
      <c r="DX65" s="411"/>
      <c r="DY65" s="418"/>
      <c r="DZ65" s="411"/>
      <c r="EA65" s="418"/>
      <c r="EB65" s="411"/>
      <c r="EC65" s="411"/>
      <c r="ED65" s="411"/>
      <c r="EE65" s="411"/>
      <c r="EF65" s="411"/>
      <c r="EG65" s="411"/>
      <c r="EH65" s="411"/>
      <c r="EI65" s="411"/>
      <c r="EJ65" s="411"/>
      <c r="EK65" s="411"/>
      <c r="EL65" s="411"/>
      <c r="EN65" s="411"/>
      <c r="EO65" s="411"/>
      <c r="EP65" s="411"/>
      <c r="EQ65" s="411"/>
      <c r="ER65" s="411"/>
      <c r="ES65" s="394"/>
      <c r="ET65" s="411"/>
      <c r="EU65" s="394"/>
      <c r="EV65" s="411"/>
      <c r="EW65" s="411"/>
      <c r="EX65" s="394"/>
      <c r="EY65" s="411"/>
      <c r="EZ65" s="394"/>
      <c r="FA65" s="411"/>
      <c r="FB65" s="411"/>
      <c r="FC65" s="411"/>
      <c r="FD65" s="411"/>
      <c r="FE65" s="411"/>
      <c r="FF65" s="411"/>
      <c r="FG65" s="411"/>
      <c r="FH65" s="411"/>
      <c r="FI65" s="411"/>
      <c r="FJ65" s="411"/>
      <c r="FK65" s="411"/>
      <c r="FM65" s="411"/>
      <c r="FN65" s="411"/>
      <c r="FO65" s="411"/>
      <c r="FP65" s="411"/>
      <c r="FQ65" s="411"/>
      <c r="FR65" s="394"/>
      <c r="FS65" s="411"/>
      <c r="FT65" s="394"/>
      <c r="FU65" s="411"/>
      <c r="FV65" s="411"/>
      <c r="FW65" s="394"/>
      <c r="FX65" s="411"/>
      <c r="FY65" s="394"/>
      <c r="FZ65" s="411"/>
      <c r="GA65" s="411"/>
      <c r="GB65" s="411"/>
      <c r="GC65" s="411"/>
      <c r="GD65" s="411"/>
      <c r="GE65" s="411"/>
      <c r="GF65" s="411"/>
      <c r="GG65" s="411"/>
      <c r="GH65" s="411"/>
      <c r="GI65" s="411"/>
      <c r="GJ65" s="411"/>
      <c r="GK65" s="394"/>
      <c r="GL65" s="411"/>
      <c r="GM65" s="411"/>
      <c r="GN65" s="411"/>
      <c r="GO65" s="411"/>
      <c r="GP65" s="411"/>
      <c r="GQ65" s="394"/>
      <c r="GR65" s="411"/>
      <c r="GS65" s="394"/>
      <c r="GT65" s="411"/>
      <c r="GU65" s="411"/>
      <c r="GW65" s="411"/>
      <c r="GX65" s="394"/>
      <c r="GY65" s="411"/>
      <c r="GZ65" s="411"/>
      <c r="HA65" s="411"/>
      <c r="HB65" s="411"/>
      <c r="HC65" s="411"/>
      <c r="HD65" s="411"/>
      <c r="HE65" s="411"/>
      <c r="HF65" s="411"/>
      <c r="HG65" s="411"/>
      <c r="HH65" s="411"/>
      <c r="HI65" s="411"/>
      <c r="HJ65" s="394"/>
      <c r="HK65" s="411"/>
      <c r="HL65" s="411"/>
      <c r="HM65" s="411"/>
      <c r="HN65" s="411"/>
      <c r="HO65" s="411"/>
      <c r="HP65" s="394"/>
      <c r="HQ65" s="411"/>
      <c r="HR65" s="394"/>
      <c r="HS65" s="411"/>
      <c r="HT65" s="411"/>
      <c r="HU65" s="394"/>
      <c r="HV65" s="411"/>
      <c r="HW65" s="394"/>
      <c r="HX65" s="411"/>
      <c r="HY65" s="411"/>
      <c r="HZ65" s="411"/>
      <c r="IA65" s="411"/>
      <c r="IB65" s="411"/>
      <c r="IC65" s="411"/>
      <c r="ID65" s="411"/>
      <c r="IE65" s="411"/>
      <c r="IF65" s="411"/>
      <c r="IG65" s="411"/>
      <c r="IH65" s="411"/>
      <c r="IJ65" s="411"/>
      <c r="IK65" s="411"/>
      <c r="IL65" s="411"/>
      <c r="IM65" s="411"/>
      <c r="IN65" s="411"/>
      <c r="IP65" s="411"/>
      <c r="IR65" s="411"/>
      <c r="IS65" s="411"/>
      <c r="IU65" s="411"/>
      <c r="IW65" s="411"/>
      <c r="IX65" s="411"/>
      <c r="IY65" s="411"/>
      <c r="IZ65" s="411"/>
      <c r="JA65" s="411"/>
      <c r="JB65" s="411"/>
      <c r="JC65" s="411"/>
      <c r="JD65" s="411"/>
      <c r="JE65" s="411"/>
      <c r="JF65" s="411"/>
      <c r="JG65" s="411"/>
    </row>
    <row r="66" spans="1:267" x14ac:dyDescent="0.3">
      <c r="A66" s="562" t="s">
        <v>906</v>
      </c>
      <c r="B66" s="405" t="s">
        <v>353</v>
      </c>
      <c r="C66" s="405" t="s">
        <v>174</v>
      </c>
      <c r="D66" s="405" t="s">
        <v>162</v>
      </c>
      <c r="E66" s="405" t="s">
        <v>355</v>
      </c>
      <c r="F66" s="405" t="s">
        <v>168</v>
      </c>
      <c r="G66" s="405">
        <v>5.3810000000000002</v>
      </c>
      <c r="H66" s="405">
        <v>57</v>
      </c>
      <c r="I66" s="405">
        <v>306.7</v>
      </c>
      <c r="J66" s="405">
        <v>13</v>
      </c>
      <c r="K66" s="405">
        <v>16</v>
      </c>
      <c r="L66" s="405">
        <v>9</v>
      </c>
      <c r="M66" s="812">
        <v>220</v>
      </c>
      <c r="N66" s="405">
        <v>2.1999999999999999E-2</v>
      </c>
      <c r="O66" s="405">
        <v>16</v>
      </c>
      <c r="P66" s="405">
        <v>24</v>
      </c>
      <c r="Q66" s="405" t="s">
        <v>353</v>
      </c>
      <c r="S66" s="430">
        <v>1009</v>
      </c>
      <c r="T66" s="430">
        <v>391</v>
      </c>
      <c r="U66" s="431">
        <v>537</v>
      </c>
      <c r="V66" s="431">
        <v>423</v>
      </c>
      <c r="W66" s="430">
        <v>333</v>
      </c>
      <c r="X66" s="432"/>
      <c r="Y66" s="433">
        <v>212</v>
      </c>
      <c r="Z66" s="556">
        <v>0.97</v>
      </c>
      <c r="AA66" s="816">
        <v>0.83299999999999996</v>
      </c>
      <c r="AB66" s="813">
        <v>0.7</v>
      </c>
      <c r="AC66" s="813">
        <v>0.75</v>
      </c>
      <c r="AD66" s="813">
        <v>1.0249999999999999</v>
      </c>
      <c r="AE66" s="556">
        <v>0.97</v>
      </c>
      <c r="AF66" s="408">
        <v>29</v>
      </c>
      <c r="AG66" s="410">
        <v>28</v>
      </c>
      <c r="AH66" s="410">
        <v>22.5</v>
      </c>
      <c r="AI66" s="410">
        <v>23.9</v>
      </c>
      <c r="AJ66" s="410">
        <v>22.4</v>
      </c>
      <c r="AK66" s="410">
        <v>11</v>
      </c>
      <c r="AL66" s="410">
        <v>24.5</v>
      </c>
      <c r="AM66" s="410">
        <v>28.5</v>
      </c>
      <c r="AN66" s="410">
        <v>33</v>
      </c>
      <c r="AO66" s="410">
        <v>16.8</v>
      </c>
      <c r="AP66" s="410">
        <v>15</v>
      </c>
      <c r="AQ66" s="434"/>
      <c r="AR66" s="428"/>
      <c r="AS66" s="411"/>
      <c r="AT66" s="411"/>
      <c r="AU66" s="411"/>
      <c r="AV66" s="411"/>
      <c r="AX66" s="433">
        <v>212</v>
      </c>
      <c r="AY66" s="556"/>
      <c r="AZ66" s="870">
        <v>0.83299999999999996</v>
      </c>
      <c r="BA66" s="871">
        <v>0.7</v>
      </c>
      <c r="BB66" s="871">
        <v>0.75</v>
      </c>
      <c r="BC66" s="871">
        <v>1.0249999999999999</v>
      </c>
      <c r="BD66" s="556"/>
      <c r="BE66" s="832"/>
      <c r="BF66" s="556"/>
      <c r="BG66" s="870">
        <v>0.83299999999999996</v>
      </c>
      <c r="BH66" s="871">
        <v>0.7</v>
      </c>
      <c r="BI66" s="871">
        <v>0.75</v>
      </c>
      <c r="BJ66" s="871">
        <v>1.0249999999999999</v>
      </c>
      <c r="BK66" s="556"/>
      <c r="BL66" s="838"/>
      <c r="BM66" s="556">
        <v>0.97</v>
      </c>
      <c r="BN66" s="816">
        <v>0.83299999999999996</v>
      </c>
      <c r="BO66" s="813">
        <v>0.7</v>
      </c>
      <c r="BP66" s="813">
        <v>0.75</v>
      </c>
      <c r="BQ66" s="813">
        <v>1.0249999999999999</v>
      </c>
      <c r="BR66" s="556">
        <v>0.97</v>
      </c>
      <c r="BT66" s="556">
        <v>0.97</v>
      </c>
      <c r="BU66" s="816">
        <v>0.83299999999999996</v>
      </c>
      <c r="BV66" s="813">
        <v>0.7</v>
      </c>
      <c r="BW66" s="813">
        <v>0.75</v>
      </c>
      <c r="BX66" s="813">
        <v>1.0249999999999999</v>
      </c>
      <c r="BY66" s="556">
        <v>0.97</v>
      </c>
      <c r="BZ66" s="846"/>
      <c r="CA66" s="556">
        <v>0.97</v>
      </c>
      <c r="CB66" s="816">
        <v>0.83299999999999996</v>
      </c>
      <c r="CC66" s="813">
        <v>0.7</v>
      </c>
      <c r="CD66" s="813">
        <v>0.75</v>
      </c>
      <c r="CE66" s="813">
        <v>1.0249999999999999</v>
      </c>
      <c r="CF66" s="556">
        <v>0.97</v>
      </c>
      <c r="CG66" s="838"/>
      <c r="CH66" s="556">
        <v>0.97</v>
      </c>
      <c r="CI66" s="816">
        <v>0.83299999999999996</v>
      </c>
      <c r="CJ66" s="813">
        <v>0.7</v>
      </c>
      <c r="CK66" s="813">
        <v>0.75</v>
      </c>
      <c r="CL66" s="813">
        <v>1.0249999999999999</v>
      </c>
      <c r="CM66" s="556">
        <v>0.97</v>
      </c>
      <c r="CN66" s="838"/>
      <c r="CO66" s="556">
        <v>0.97</v>
      </c>
      <c r="CP66" s="816">
        <v>0.83299999999999996</v>
      </c>
      <c r="CQ66" s="813">
        <v>0.7</v>
      </c>
      <c r="CR66" s="813">
        <v>0.75</v>
      </c>
      <c r="CS66" s="813">
        <v>1.0249999999999999</v>
      </c>
      <c r="CT66" s="556">
        <v>0.97</v>
      </c>
      <c r="CV66" s="556">
        <v>0.97</v>
      </c>
      <c r="CW66" s="816">
        <v>0.83299999999999996</v>
      </c>
      <c r="CX66" s="813">
        <v>0.7</v>
      </c>
      <c r="CY66" s="813">
        <v>0.75</v>
      </c>
      <c r="CZ66" s="813">
        <v>1.0249999999999999</v>
      </c>
      <c r="DA66" s="556">
        <v>0.97</v>
      </c>
      <c r="ES66" s="394"/>
    </row>
    <row r="67" spans="1:267" x14ac:dyDescent="0.3">
      <c r="A67" s="565" t="s">
        <v>907</v>
      </c>
      <c r="B67" s="563" t="s">
        <v>355</v>
      </c>
      <c r="C67" s="563" t="s">
        <v>693</v>
      </c>
      <c r="D67" s="563" t="s">
        <v>168</v>
      </c>
      <c r="E67" s="563" t="s">
        <v>353</v>
      </c>
      <c r="F67" s="563" t="s">
        <v>168</v>
      </c>
      <c r="G67" s="563">
        <v>6.1180000000000003</v>
      </c>
      <c r="H67" s="563">
        <v>50</v>
      </c>
      <c r="I67" s="563">
        <v>305.89999999999998</v>
      </c>
      <c r="J67" s="563">
        <v>12</v>
      </c>
      <c r="K67" s="563">
        <v>11</v>
      </c>
      <c r="L67" s="563">
        <v>20</v>
      </c>
      <c r="M67" s="814">
        <v>218</v>
      </c>
      <c r="N67" s="564">
        <v>2.5999999999999999E-2</v>
      </c>
      <c r="O67" s="563">
        <v>17</v>
      </c>
      <c r="P67" s="563">
        <v>23</v>
      </c>
      <c r="Q67" s="563" t="s">
        <v>355</v>
      </c>
      <c r="S67" s="559">
        <v>181</v>
      </c>
      <c r="T67" s="557">
        <v>623</v>
      </c>
      <c r="U67" s="557">
        <v>645</v>
      </c>
      <c r="V67" s="557">
        <v>710</v>
      </c>
      <c r="W67" s="557">
        <v>539</v>
      </c>
      <c r="X67" s="560"/>
      <c r="Y67" s="558">
        <v>49</v>
      </c>
      <c r="Z67" s="556"/>
      <c r="AA67" s="815">
        <v>0.86699999999999999</v>
      </c>
      <c r="AB67" s="750">
        <v>0.69799999999999995</v>
      </c>
      <c r="AC67" s="751">
        <v>0.745</v>
      </c>
      <c r="AD67" s="750">
        <v>1.1499999999999999</v>
      </c>
      <c r="AE67" s="556"/>
      <c r="AF67" s="557">
        <v>26.5</v>
      </c>
      <c r="AG67" s="557">
        <v>59</v>
      </c>
      <c r="AH67" s="557">
        <v>26</v>
      </c>
      <c r="AI67" s="557">
        <v>27.5</v>
      </c>
      <c r="AJ67" s="557">
        <v>17</v>
      </c>
      <c r="AK67" s="557">
        <v>17.5</v>
      </c>
      <c r="AL67" s="557">
        <v>22</v>
      </c>
      <c r="AM67" s="557">
        <v>28</v>
      </c>
      <c r="AN67" s="557">
        <v>52.5</v>
      </c>
      <c r="AO67" s="557">
        <v>18.600000000000001</v>
      </c>
      <c r="AP67" s="558">
        <v>18</v>
      </c>
      <c r="AQ67" s="561"/>
      <c r="AX67" s="558">
        <v>49</v>
      </c>
      <c r="AY67" s="556"/>
      <c r="AZ67" s="872">
        <v>0.86699999999999999</v>
      </c>
      <c r="BA67" s="873">
        <v>0.69799999999999995</v>
      </c>
      <c r="BB67" s="874">
        <v>0.745</v>
      </c>
      <c r="BC67" s="873">
        <v>1.1499999999999999</v>
      </c>
      <c r="BD67" s="556"/>
      <c r="BE67" s="557"/>
      <c r="BF67" s="556"/>
      <c r="BG67" s="872">
        <v>0.86699999999999999</v>
      </c>
      <c r="BH67" s="873">
        <v>0.69799999999999995</v>
      </c>
      <c r="BI67" s="874">
        <v>0.745</v>
      </c>
      <c r="BJ67" s="873">
        <v>1.1499999999999999</v>
      </c>
      <c r="BK67" s="556"/>
      <c r="BL67" s="557"/>
      <c r="BM67" s="556"/>
      <c r="BN67" s="815">
        <v>0.86699999999999999</v>
      </c>
      <c r="BO67" s="750">
        <v>0.69799999999999995</v>
      </c>
      <c r="BP67" s="751">
        <v>0.745</v>
      </c>
      <c r="BQ67" s="750">
        <v>1.1499999999999999</v>
      </c>
      <c r="BR67" s="556"/>
      <c r="BT67" s="556"/>
      <c r="BU67" s="815">
        <v>0.86699999999999999</v>
      </c>
      <c r="BV67" s="750">
        <v>0.69799999999999995</v>
      </c>
      <c r="BW67" s="751">
        <v>0.745</v>
      </c>
      <c r="BX67" s="750">
        <v>1.1499999999999999</v>
      </c>
      <c r="BY67" s="556"/>
      <c r="BZ67" s="557"/>
      <c r="CA67" s="556"/>
      <c r="CB67" s="815">
        <v>0.86699999999999999</v>
      </c>
      <c r="CC67" s="750">
        <v>0.69799999999999995</v>
      </c>
      <c r="CD67" s="751">
        <v>0.745</v>
      </c>
      <c r="CE67" s="750">
        <v>1.1499999999999999</v>
      </c>
      <c r="CF67" s="556"/>
      <c r="CG67" s="557"/>
      <c r="CH67" s="556"/>
      <c r="CI67" s="815">
        <v>0.86699999999999999</v>
      </c>
      <c r="CJ67" s="750">
        <v>0.69799999999999995</v>
      </c>
      <c r="CK67" s="751">
        <v>0.745</v>
      </c>
      <c r="CL67" s="750">
        <v>1.1499999999999999</v>
      </c>
      <c r="CM67" s="556"/>
      <c r="CN67" s="558"/>
      <c r="CO67" s="556"/>
      <c r="CP67" s="815">
        <v>0.86699999999999999</v>
      </c>
      <c r="CQ67" s="750">
        <v>0.69799999999999995</v>
      </c>
      <c r="CR67" s="751">
        <v>0.745</v>
      </c>
      <c r="CS67" s="750">
        <v>1.1499999999999999</v>
      </c>
      <c r="CT67" s="556"/>
      <c r="CV67" s="556"/>
      <c r="CW67" s="815">
        <v>0.86699999999999999</v>
      </c>
      <c r="CX67" s="750">
        <v>0.69799999999999995</v>
      </c>
      <c r="CY67" s="751">
        <v>0.745</v>
      </c>
      <c r="CZ67" s="750">
        <v>1.1499999999999999</v>
      </c>
      <c r="DA67" s="556"/>
    </row>
  </sheetData>
  <mergeCells count="21">
    <mergeCell ref="CV1:DA1"/>
    <mergeCell ref="B2:Q2"/>
    <mergeCell ref="S2:W2"/>
    <mergeCell ref="AF2:AP2"/>
    <mergeCell ref="AR2:AV2"/>
    <mergeCell ref="S1:AP1"/>
    <mergeCell ref="CW2:CX2"/>
    <mergeCell ref="AZ2:BA2"/>
    <mergeCell ref="BU2:BV2"/>
    <mergeCell ref="CB2:CC2"/>
    <mergeCell ref="CI2:CJ2"/>
    <mergeCell ref="BG2:BH2"/>
    <mergeCell ref="AX1:BD1"/>
    <mergeCell ref="BF1:BK1"/>
    <mergeCell ref="BM1:BR1"/>
    <mergeCell ref="BN2:BO2"/>
    <mergeCell ref="CP2:CQ2"/>
    <mergeCell ref="BT1:BY1"/>
    <mergeCell ref="CA1:CF1"/>
    <mergeCell ref="CH1:CM1"/>
    <mergeCell ref="CO1:CT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AMJ62"/>
  <sheetViews>
    <sheetView topLeftCell="A19" zoomScale="95" zoomScaleNormal="95" workbookViewId="0">
      <selection activeCell="F7" sqref="F7"/>
    </sheetView>
  </sheetViews>
  <sheetFormatPr defaultColWidth="9.44140625" defaultRowHeight="14.4" x14ac:dyDescent="0.3"/>
  <cols>
    <col min="1" max="1" width="1.5546875" style="435" customWidth="1"/>
    <col min="2" max="2" width="6.44140625" style="435" customWidth="1"/>
    <col min="3" max="3" width="8.5546875" style="435" customWidth="1"/>
    <col min="4" max="4" width="5.5546875" style="435" customWidth="1"/>
    <col min="5" max="5" width="1.5546875" style="435" customWidth="1"/>
    <col min="6" max="8" width="4.5546875" style="435" customWidth="1"/>
    <col min="9" max="9" width="1.5546875" style="435" customWidth="1"/>
    <col min="10" max="12" width="4.5546875" style="435" customWidth="1"/>
    <col min="13" max="13" width="1.5546875" style="435" customWidth="1"/>
    <col min="14" max="16" width="4.5546875" style="435" customWidth="1"/>
    <col min="17" max="17" width="1.5546875" style="435" customWidth="1"/>
    <col min="18" max="20" width="4.5546875" style="435" customWidth="1"/>
    <col min="21" max="21" width="1.5546875" style="435" customWidth="1"/>
    <col min="22" max="24" width="4.5546875" style="435" customWidth="1"/>
    <col min="25" max="25" width="1.5546875" style="435" customWidth="1"/>
    <col min="26" max="28" width="4.5546875" style="435" customWidth="1"/>
    <col min="29" max="29" width="1.5546875" style="435" customWidth="1"/>
    <col min="30" max="32" width="4.5546875" style="435" customWidth="1"/>
    <col min="33" max="33" width="1.5546875" style="435" customWidth="1"/>
    <col min="34" max="36" width="4.5546875" style="435" customWidth="1"/>
    <col min="37" max="37" width="1.5546875" style="435" customWidth="1"/>
    <col min="38" max="44" width="4.5546875" style="435" customWidth="1"/>
    <col min="45" max="45" width="1.5546875" style="435" customWidth="1"/>
    <col min="46" max="48" width="4.5546875" style="435" customWidth="1"/>
    <col min="49" max="49" width="1.5546875" style="435" customWidth="1"/>
    <col min="50" max="52" width="4.5546875" style="435" customWidth="1"/>
    <col min="53" max="53" width="1.5546875" style="435" customWidth="1"/>
    <col min="54" max="55" width="4.5546875" style="435" customWidth="1"/>
    <col min="56" max="1024" width="9.44140625" style="435"/>
  </cols>
  <sheetData>
    <row r="1" spans="2:55" ht="9" customHeight="1" x14ac:dyDescent="0.3">
      <c r="C1" s="436"/>
      <c r="D1" s="437"/>
      <c r="E1" s="438"/>
      <c r="F1" s="437"/>
      <c r="G1" s="437"/>
      <c r="H1" s="437"/>
      <c r="I1" s="438"/>
      <c r="J1" s="437"/>
      <c r="K1" s="437"/>
      <c r="L1" s="437"/>
      <c r="M1" s="438"/>
      <c r="N1" s="437"/>
      <c r="O1" s="437"/>
      <c r="P1" s="437"/>
      <c r="Q1" s="438"/>
      <c r="R1" s="437"/>
      <c r="S1" s="437"/>
      <c r="T1" s="437"/>
      <c r="U1" s="438"/>
      <c r="V1" s="437"/>
      <c r="W1" s="437"/>
      <c r="X1" s="437"/>
      <c r="Y1" s="438"/>
      <c r="Z1" s="437"/>
      <c r="AA1" s="437"/>
      <c r="AB1" s="437"/>
      <c r="AC1" s="438"/>
      <c r="AD1" s="437"/>
      <c r="AE1" s="437"/>
      <c r="AF1" s="437"/>
      <c r="AG1" s="438"/>
      <c r="AH1" s="437"/>
      <c r="AI1" s="437"/>
      <c r="AJ1" s="437"/>
      <c r="AK1" s="438"/>
      <c r="AL1" s="437"/>
      <c r="AM1" s="437"/>
      <c r="AN1" s="437"/>
      <c r="AO1" s="438"/>
      <c r="AP1" s="437"/>
      <c r="AQ1" s="437"/>
      <c r="AR1" s="437"/>
      <c r="AS1" s="438"/>
      <c r="AT1" s="437"/>
      <c r="AU1" s="437"/>
      <c r="AV1" s="437"/>
      <c r="AW1" s="438"/>
      <c r="AX1" s="437"/>
      <c r="AY1" s="437"/>
      <c r="AZ1" s="437"/>
      <c r="BA1" s="438"/>
      <c r="BB1" s="437"/>
      <c r="BC1" s="437"/>
    </row>
    <row r="2" spans="2:55" ht="14.1" customHeight="1" x14ac:dyDescent="0.3">
      <c r="B2" s="1086" t="s">
        <v>695</v>
      </c>
      <c r="C2" s="1086"/>
      <c r="D2" s="1086"/>
      <c r="E2" s="439"/>
      <c r="F2" s="1086" t="str">
        <f>Tables!U2</f>
        <v>A1-Ring xxx</v>
      </c>
      <c r="G2" s="1086"/>
      <c r="H2" s="1086"/>
      <c r="I2" s="439"/>
      <c r="J2" s="1086" t="str">
        <f>Tables!U3</f>
        <v>Adelaide xxx</v>
      </c>
      <c r="K2" s="1086"/>
      <c r="L2" s="1086"/>
      <c r="M2" s="439"/>
      <c r="N2" s="1086" t="str">
        <f>Tables!U4</f>
        <v>Ahvenisto xxx</v>
      </c>
      <c r="O2" s="1086"/>
      <c r="P2" s="1086"/>
      <c r="Q2" s="439"/>
      <c r="R2" s="1086" t="str">
        <f>Tables!U5</f>
        <v>Anderstorp xxxx</v>
      </c>
      <c r="S2" s="1086"/>
      <c r="T2" s="1086"/>
      <c r="U2" s="439"/>
      <c r="V2" s="1086" t="str">
        <f>Tables!U6</f>
        <v>Austin xxxx</v>
      </c>
      <c r="W2" s="1086"/>
      <c r="X2" s="1086"/>
      <c r="Y2" s="439"/>
      <c r="Z2" s="1086" t="str">
        <f>Tables!U7</f>
        <v>Avus xxx</v>
      </c>
      <c r="AA2" s="1086"/>
      <c r="AB2" s="1086"/>
      <c r="AC2" s="439"/>
      <c r="AD2" s="1086" t="str">
        <f>Tables!U8</f>
        <v>Baku City xxxx</v>
      </c>
      <c r="AE2" s="1086"/>
      <c r="AF2" s="1086"/>
      <c r="AG2" s="439"/>
      <c r="AH2" s="1086" t="str">
        <f>Tables!U9</f>
        <v>Barcelona xxx</v>
      </c>
      <c r="AI2" s="1086"/>
      <c r="AJ2" s="1086"/>
      <c r="AK2" s="439"/>
    </row>
    <row r="3" spans="2:55" ht="14.1" customHeight="1" x14ac:dyDescent="0.3">
      <c r="B3" s="440" t="s">
        <v>696</v>
      </c>
      <c r="C3" s="1088"/>
      <c r="D3" s="1088"/>
      <c r="E3" s="441"/>
      <c r="F3" s="442" t="s">
        <v>129</v>
      </c>
      <c r="G3" s="443" t="s">
        <v>121</v>
      </c>
      <c r="H3" s="444" t="s">
        <v>697</v>
      </c>
      <c r="I3" s="441"/>
      <c r="J3" s="442" t="s">
        <v>129</v>
      </c>
      <c r="K3" s="443" t="s">
        <v>121</v>
      </c>
      <c r="L3" s="444" t="s">
        <v>697</v>
      </c>
      <c r="M3" s="441"/>
      <c r="N3" s="442" t="s">
        <v>129</v>
      </c>
      <c r="O3" s="443" t="s">
        <v>121</v>
      </c>
      <c r="P3" s="444" t="s">
        <v>697</v>
      </c>
      <c r="Q3" s="441"/>
      <c r="R3" s="442" t="s">
        <v>129</v>
      </c>
      <c r="S3" s="443" t="s">
        <v>121</v>
      </c>
      <c r="T3" s="444" t="s">
        <v>697</v>
      </c>
      <c r="U3" s="441"/>
      <c r="V3" s="442" t="s">
        <v>129</v>
      </c>
      <c r="W3" s="443" t="s">
        <v>121</v>
      </c>
      <c r="X3" s="444" t="s">
        <v>697</v>
      </c>
      <c r="Y3" s="441"/>
      <c r="Z3" s="442" t="s">
        <v>129</v>
      </c>
      <c r="AA3" s="443" t="s">
        <v>121</v>
      </c>
      <c r="AB3" s="444" t="s">
        <v>697</v>
      </c>
      <c r="AC3" s="441"/>
      <c r="AD3" s="442" t="s">
        <v>129</v>
      </c>
      <c r="AE3" s="443" t="s">
        <v>121</v>
      </c>
      <c r="AF3" s="444" t="s">
        <v>697</v>
      </c>
      <c r="AG3" s="441"/>
      <c r="AH3" s="442" t="s">
        <v>129</v>
      </c>
      <c r="AI3" s="443" t="s">
        <v>121</v>
      </c>
      <c r="AJ3" s="444" t="s">
        <v>697</v>
      </c>
      <c r="AK3" s="441"/>
    </row>
    <row r="4" spans="2:55" ht="14.1" customHeight="1" x14ac:dyDescent="0.3">
      <c r="B4" s="1087" t="s">
        <v>36</v>
      </c>
      <c r="C4" s="1087"/>
      <c r="D4" s="445">
        <f>SUM((Tables!B35*D5)+(Tables!B36*D6)+(Tables!B37*D7)+(Tables!B38*D8)+(Tables!B39*D9)+(Tables!B40*D10)+(Tables!B41*D11)+(Tables!B42*D12)+(Tables!B43*D14))</f>
        <v>130.64689999999999</v>
      </c>
      <c r="E4" s="446"/>
      <c r="F4" s="1085">
        <f>SUM((Tables!B35*H5)+(Tables!B36*H6)+(Tables!B37*H7)+(Tables!B38*H8)+(Tables!B39*H9)+(Tables!B40*H10)+(Tables!B41*H11)+(Tables!B42*H12)+(Tables!B43*H14))</f>
        <v>130.64689999999999</v>
      </c>
      <c r="G4" s="1085"/>
      <c r="H4" s="1085"/>
      <c r="I4" s="446"/>
      <c r="J4" s="1085">
        <f>SUM((Tables!B35*L5)+(Tables!B36*L6)+(Tables!B37*L7)+(Tables!B38*L8)+(Tables!B39*L9)+(Tables!B40*L10)+(Tables!B41*L11)+(Tables!B42*L12)+(Tables!B43*L14))</f>
        <v>130.64689999999999</v>
      </c>
      <c r="K4" s="1085"/>
      <c r="L4" s="1085"/>
      <c r="M4" s="446"/>
      <c r="N4" s="1085">
        <f>SUM((Tables!B35*P5)+(Tables!B36*P6)+(Tables!B37*P7)+(Tables!B38*P8)+(Tables!B39*P9)+(Tables!B40*P10)+(Tables!B41*P11)+(Tables!B42*P12)+(Tables!B43*P14))</f>
        <v>130.64689999999999</v>
      </c>
      <c r="O4" s="1085"/>
      <c r="P4" s="1085"/>
      <c r="Q4" s="446"/>
      <c r="R4" s="1085">
        <f>SUM((Tables!B35*T5)+(Tables!B36*T6)+(Tables!B37*T7)+(Tables!B38*T8)+(Tables!B39*T9)+(Tables!B40*T10)+(Tables!B41*T11)+(Tables!B42*T12)+(Tables!B43*T14))</f>
        <v>130.64689999999999</v>
      </c>
      <c r="S4" s="1085"/>
      <c r="T4" s="1085"/>
      <c r="U4" s="446"/>
      <c r="V4" s="1085">
        <f>SUM((Tables!B35*X5)+(Tables!B36*X6)+(Tables!B37*X7)+(Tables!B38*X8)+(Tables!B39*X9)+(Tables!B40*X10)+(Tables!B41*X11)+(Tables!B42*X12)+(Tables!B43*X14))</f>
        <v>130.64689999999999</v>
      </c>
      <c r="W4" s="1085"/>
      <c r="X4" s="1085"/>
      <c r="Y4" s="446"/>
      <c r="Z4" s="1085">
        <f>SUM((Tables!B35*AB5)+(Tables!B36*AB6)+(Tables!B37*AB7)+(Tables!B38*AB8)+(Tables!B39*AB9)+(Tables!B40*AB10)+(Tables!B41*AB11)+(Tables!B42*AB12)+(Tables!B43*AB14))</f>
        <v>130.64689999999999</v>
      </c>
      <c r="AA4" s="1085"/>
      <c r="AB4" s="1085"/>
      <c r="AC4" s="446"/>
      <c r="AD4" s="1085">
        <f>SUM((Tables!B35*AF5)+(Tables!B36*AF6)+(Tables!B37*AF7)+(Tables!B38*AF8)+(Tables!B39*AF9)+(Tables!B40*AF10)+(Tables!B41*AF11)+(Tables!B42*AF12)+(Tables!B43*AF14))</f>
        <v>130.64689999999999</v>
      </c>
      <c r="AE4" s="1085"/>
      <c r="AF4" s="1085"/>
      <c r="AG4" s="446"/>
      <c r="AH4" s="1085">
        <f>SUM((Tables!B35*AJ5)+(Tables!B36*AJ6)+(Tables!B37*AJ7)+(Tables!B38*AJ8)+(Tables!B39*AJ9)+(Tables!B40*AJ10)+(Tables!B41*AJ11)+(Tables!B42*AJ12)+(Tables!B43*AJ14))</f>
        <v>130.64689999999999</v>
      </c>
      <c r="AI4" s="1085"/>
      <c r="AJ4" s="1085"/>
      <c r="AK4" s="446"/>
    </row>
    <row r="5" spans="2:55" ht="14.1" customHeight="1" x14ac:dyDescent="0.3">
      <c r="B5" s="1087" t="s">
        <v>324</v>
      </c>
      <c r="C5" s="1087"/>
      <c r="D5" s="447">
        <v>199</v>
      </c>
      <c r="E5" s="448"/>
      <c r="F5" s="449"/>
      <c r="G5" s="450"/>
      <c r="H5" s="451">
        <f t="shared" ref="H5:H15" si="0">SUM(D5+F5+G5)</f>
        <v>199</v>
      </c>
      <c r="I5" s="452"/>
      <c r="J5" s="449"/>
      <c r="K5" s="450"/>
      <c r="L5" s="451">
        <f t="shared" ref="L5:L15" si="1">SUM(H5+J5+K5)</f>
        <v>199</v>
      </c>
      <c r="M5" s="452"/>
      <c r="N5" s="449"/>
      <c r="O5" s="450"/>
      <c r="P5" s="451">
        <f t="shared" ref="P5:P15" si="2">SUM(L5+N5+O5)</f>
        <v>199</v>
      </c>
      <c r="Q5" s="452"/>
      <c r="R5" s="449"/>
      <c r="S5" s="450"/>
      <c r="T5" s="451">
        <f t="shared" ref="T5:T15" si="3">SUM(P5+R5+S5)</f>
        <v>199</v>
      </c>
      <c r="U5" s="452"/>
      <c r="V5" s="449"/>
      <c r="W5" s="450"/>
      <c r="X5" s="451">
        <f t="shared" ref="X5:X15" si="4">SUM(T5+V5+W5)</f>
        <v>199</v>
      </c>
      <c r="Y5" s="452"/>
      <c r="Z5" s="449"/>
      <c r="AA5" s="450"/>
      <c r="AB5" s="451">
        <f t="shared" ref="AB5:AB15" si="5">SUM(X5+Z5+AA5)</f>
        <v>199</v>
      </c>
      <c r="AC5" s="452"/>
      <c r="AD5" s="449"/>
      <c r="AE5" s="450"/>
      <c r="AF5" s="451">
        <f t="shared" ref="AF5:AF15" si="6">SUM(AB5+AD5+AE5)</f>
        <v>199</v>
      </c>
      <c r="AG5" s="452"/>
      <c r="AH5" s="449"/>
      <c r="AI5" s="450"/>
      <c r="AJ5" s="451">
        <f t="shared" ref="AJ5:AJ15" si="7">SUM(AF5+AH5+AI5)</f>
        <v>199</v>
      </c>
      <c r="AK5" s="452"/>
    </row>
    <row r="6" spans="2:55" ht="14.1" customHeight="1" x14ac:dyDescent="0.3">
      <c r="B6" s="1087" t="s">
        <v>325</v>
      </c>
      <c r="C6" s="1087"/>
      <c r="D6" s="447">
        <v>203</v>
      </c>
      <c r="E6" s="448"/>
      <c r="F6" s="449"/>
      <c r="G6" s="450"/>
      <c r="H6" s="451">
        <f t="shared" si="0"/>
        <v>203</v>
      </c>
      <c r="I6" s="452"/>
      <c r="J6" s="449"/>
      <c r="K6" s="450"/>
      <c r="L6" s="451">
        <f t="shared" si="1"/>
        <v>203</v>
      </c>
      <c r="M6" s="452"/>
      <c r="N6" s="449"/>
      <c r="O6" s="450"/>
      <c r="P6" s="451">
        <f t="shared" si="2"/>
        <v>203</v>
      </c>
      <c r="Q6" s="452"/>
      <c r="R6" s="449"/>
      <c r="S6" s="450"/>
      <c r="T6" s="451">
        <f t="shared" si="3"/>
        <v>203</v>
      </c>
      <c r="U6" s="452"/>
      <c r="V6" s="449"/>
      <c r="W6" s="450"/>
      <c r="X6" s="451">
        <f t="shared" si="4"/>
        <v>203</v>
      </c>
      <c r="Y6" s="452"/>
      <c r="Z6" s="449"/>
      <c r="AA6" s="450"/>
      <c r="AB6" s="451">
        <f t="shared" si="5"/>
        <v>203</v>
      </c>
      <c r="AC6" s="452"/>
      <c r="AD6" s="449"/>
      <c r="AE6" s="450"/>
      <c r="AF6" s="451">
        <f t="shared" si="6"/>
        <v>203</v>
      </c>
      <c r="AG6" s="452"/>
      <c r="AH6" s="449"/>
      <c r="AI6" s="450"/>
      <c r="AJ6" s="451">
        <f t="shared" si="7"/>
        <v>203</v>
      </c>
      <c r="AK6" s="452"/>
    </row>
    <row r="7" spans="2:55" ht="14.1" customHeight="1" x14ac:dyDescent="0.3">
      <c r="B7" s="1087" t="s">
        <v>698</v>
      </c>
      <c r="C7" s="1087"/>
      <c r="D7" s="447">
        <v>10</v>
      </c>
      <c r="E7" s="448"/>
      <c r="F7" s="449"/>
      <c r="G7" s="450"/>
      <c r="H7" s="451">
        <f t="shared" si="0"/>
        <v>10</v>
      </c>
      <c r="I7" s="452"/>
      <c r="J7" s="449"/>
      <c r="K7" s="450"/>
      <c r="L7" s="451">
        <f t="shared" si="1"/>
        <v>10</v>
      </c>
      <c r="M7" s="452"/>
      <c r="N7" s="449"/>
      <c r="O7" s="450"/>
      <c r="P7" s="451">
        <f t="shared" si="2"/>
        <v>10</v>
      </c>
      <c r="Q7" s="452"/>
      <c r="R7" s="449"/>
      <c r="S7" s="450"/>
      <c r="T7" s="451">
        <f t="shared" si="3"/>
        <v>10</v>
      </c>
      <c r="U7" s="452"/>
      <c r="V7" s="449"/>
      <c r="W7" s="450"/>
      <c r="X7" s="451">
        <f t="shared" si="4"/>
        <v>10</v>
      </c>
      <c r="Y7" s="452"/>
      <c r="Z7" s="449"/>
      <c r="AA7" s="450"/>
      <c r="AB7" s="451">
        <f t="shared" si="5"/>
        <v>10</v>
      </c>
      <c r="AC7" s="452"/>
      <c r="AD7" s="449"/>
      <c r="AE7" s="450"/>
      <c r="AF7" s="451">
        <f t="shared" si="6"/>
        <v>10</v>
      </c>
      <c r="AG7" s="452"/>
      <c r="AH7" s="449"/>
      <c r="AI7" s="450"/>
      <c r="AJ7" s="451">
        <f t="shared" si="7"/>
        <v>10</v>
      </c>
      <c r="AK7" s="452"/>
    </row>
    <row r="8" spans="2:55" ht="14.1" customHeight="1" x14ac:dyDescent="0.3">
      <c r="B8" s="1087" t="s">
        <v>327</v>
      </c>
      <c r="C8" s="1087"/>
      <c r="D8" s="447">
        <v>183</v>
      </c>
      <c r="E8" s="448"/>
      <c r="F8" s="449"/>
      <c r="G8" s="450"/>
      <c r="H8" s="451">
        <f t="shared" si="0"/>
        <v>183</v>
      </c>
      <c r="I8" s="452"/>
      <c r="J8" s="449"/>
      <c r="K8" s="450"/>
      <c r="L8" s="451">
        <f t="shared" si="1"/>
        <v>183</v>
      </c>
      <c r="M8" s="452"/>
      <c r="N8" s="449"/>
      <c r="O8" s="450"/>
      <c r="P8" s="451">
        <f t="shared" si="2"/>
        <v>183</v>
      </c>
      <c r="Q8" s="452"/>
      <c r="R8" s="449"/>
      <c r="S8" s="450"/>
      <c r="T8" s="451">
        <f t="shared" si="3"/>
        <v>183</v>
      </c>
      <c r="U8" s="452"/>
      <c r="V8" s="449"/>
      <c r="W8" s="450"/>
      <c r="X8" s="451">
        <f t="shared" si="4"/>
        <v>183</v>
      </c>
      <c r="Y8" s="452"/>
      <c r="Z8" s="449"/>
      <c r="AA8" s="450"/>
      <c r="AB8" s="451">
        <f t="shared" si="5"/>
        <v>183</v>
      </c>
      <c r="AC8" s="452"/>
      <c r="AD8" s="449"/>
      <c r="AE8" s="450"/>
      <c r="AF8" s="451">
        <f t="shared" si="6"/>
        <v>183</v>
      </c>
      <c r="AG8" s="452"/>
      <c r="AH8" s="449"/>
      <c r="AI8" s="450"/>
      <c r="AJ8" s="451">
        <f t="shared" si="7"/>
        <v>183</v>
      </c>
      <c r="AK8" s="452"/>
    </row>
    <row r="9" spans="2:55" ht="14.1" customHeight="1" x14ac:dyDescent="0.3">
      <c r="B9" s="1087" t="s">
        <v>328</v>
      </c>
      <c r="C9" s="1087"/>
      <c r="D9" s="447">
        <v>105</v>
      </c>
      <c r="E9" s="448"/>
      <c r="F9" s="449"/>
      <c r="G9" s="450"/>
      <c r="H9" s="451">
        <f t="shared" si="0"/>
        <v>105</v>
      </c>
      <c r="I9" s="452"/>
      <c r="J9" s="449"/>
      <c r="K9" s="450"/>
      <c r="L9" s="451">
        <f t="shared" si="1"/>
        <v>105</v>
      </c>
      <c r="M9" s="452"/>
      <c r="N9" s="449"/>
      <c r="O9" s="450"/>
      <c r="P9" s="451">
        <f t="shared" si="2"/>
        <v>105</v>
      </c>
      <c r="Q9" s="452"/>
      <c r="R9" s="449"/>
      <c r="S9" s="450"/>
      <c r="T9" s="451">
        <f t="shared" si="3"/>
        <v>105</v>
      </c>
      <c r="U9" s="452"/>
      <c r="V9" s="449"/>
      <c r="W9" s="450"/>
      <c r="X9" s="451">
        <f t="shared" si="4"/>
        <v>105</v>
      </c>
      <c r="Y9" s="452"/>
      <c r="Z9" s="449"/>
      <c r="AA9" s="450"/>
      <c r="AB9" s="451">
        <f t="shared" si="5"/>
        <v>105</v>
      </c>
      <c r="AC9" s="452"/>
      <c r="AD9" s="449"/>
      <c r="AE9" s="450"/>
      <c r="AF9" s="451">
        <f t="shared" si="6"/>
        <v>105</v>
      </c>
      <c r="AG9" s="452"/>
      <c r="AH9" s="449"/>
      <c r="AI9" s="450"/>
      <c r="AJ9" s="451">
        <f t="shared" si="7"/>
        <v>105</v>
      </c>
      <c r="AK9" s="452"/>
    </row>
    <row r="10" spans="2:55" ht="14.1" customHeight="1" x14ac:dyDescent="0.3">
      <c r="B10" s="1087" t="s">
        <v>329</v>
      </c>
      <c r="C10" s="1087"/>
      <c r="D10" s="447">
        <v>104</v>
      </c>
      <c r="E10" s="448"/>
      <c r="F10" s="449"/>
      <c r="G10" s="450"/>
      <c r="H10" s="451">
        <f t="shared" si="0"/>
        <v>104</v>
      </c>
      <c r="I10" s="452"/>
      <c r="J10" s="449"/>
      <c r="K10" s="450"/>
      <c r="L10" s="451">
        <f t="shared" si="1"/>
        <v>104</v>
      </c>
      <c r="M10" s="452"/>
      <c r="N10" s="449"/>
      <c r="O10" s="450"/>
      <c r="P10" s="451">
        <f t="shared" si="2"/>
        <v>104</v>
      </c>
      <c r="Q10" s="452"/>
      <c r="R10" s="449"/>
      <c r="S10" s="450"/>
      <c r="T10" s="451">
        <f t="shared" si="3"/>
        <v>104</v>
      </c>
      <c r="U10" s="452"/>
      <c r="V10" s="449"/>
      <c r="W10" s="450"/>
      <c r="X10" s="451">
        <f t="shared" si="4"/>
        <v>104</v>
      </c>
      <c r="Y10" s="452"/>
      <c r="Z10" s="449"/>
      <c r="AA10" s="450"/>
      <c r="AB10" s="451">
        <f t="shared" si="5"/>
        <v>104</v>
      </c>
      <c r="AC10" s="452"/>
      <c r="AD10" s="449"/>
      <c r="AE10" s="450"/>
      <c r="AF10" s="451">
        <f t="shared" si="6"/>
        <v>104</v>
      </c>
      <c r="AG10" s="452"/>
      <c r="AH10" s="449"/>
      <c r="AI10" s="450"/>
      <c r="AJ10" s="451">
        <f t="shared" si="7"/>
        <v>104</v>
      </c>
      <c r="AK10" s="452"/>
    </row>
    <row r="11" spans="2:55" ht="14.1" customHeight="1" x14ac:dyDescent="0.3">
      <c r="B11" s="1087" t="s">
        <v>330</v>
      </c>
      <c r="C11" s="1087"/>
      <c r="D11" s="447">
        <v>69</v>
      </c>
      <c r="E11" s="448"/>
      <c r="F11" s="449"/>
      <c r="G11" s="450"/>
      <c r="H11" s="451">
        <f t="shared" si="0"/>
        <v>69</v>
      </c>
      <c r="I11" s="452"/>
      <c r="J11" s="449"/>
      <c r="K11" s="450"/>
      <c r="L11" s="451">
        <f t="shared" si="1"/>
        <v>69</v>
      </c>
      <c r="M11" s="452"/>
      <c r="N11" s="449"/>
      <c r="O11" s="450"/>
      <c r="P11" s="451">
        <f t="shared" si="2"/>
        <v>69</v>
      </c>
      <c r="Q11" s="452"/>
      <c r="R11" s="449"/>
      <c r="S11" s="450"/>
      <c r="T11" s="451">
        <f t="shared" si="3"/>
        <v>69</v>
      </c>
      <c r="U11" s="452"/>
      <c r="V11" s="449"/>
      <c r="W11" s="450"/>
      <c r="X11" s="451">
        <f t="shared" si="4"/>
        <v>69</v>
      </c>
      <c r="Y11" s="452"/>
      <c r="Z11" s="449"/>
      <c r="AA11" s="450"/>
      <c r="AB11" s="451">
        <f t="shared" si="5"/>
        <v>69</v>
      </c>
      <c r="AC11" s="452"/>
      <c r="AD11" s="449"/>
      <c r="AE11" s="450"/>
      <c r="AF11" s="451">
        <f t="shared" si="6"/>
        <v>69</v>
      </c>
      <c r="AG11" s="452"/>
      <c r="AH11" s="449"/>
      <c r="AI11" s="450"/>
      <c r="AJ11" s="451">
        <f t="shared" si="7"/>
        <v>69</v>
      </c>
      <c r="AK11" s="452"/>
    </row>
    <row r="12" spans="2:55" ht="14.1" customHeight="1" x14ac:dyDescent="0.3">
      <c r="B12" s="1087" t="s">
        <v>331</v>
      </c>
      <c r="C12" s="1087"/>
      <c r="D12" s="447">
        <v>20</v>
      </c>
      <c r="E12" s="448"/>
      <c r="F12" s="449"/>
      <c r="G12" s="450"/>
      <c r="H12" s="451">
        <f t="shared" si="0"/>
        <v>20</v>
      </c>
      <c r="I12" s="452"/>
      <c r="J12" s="449"/>
      <c r="K12" s="450"/>
      <c r="L12" s="451">
        <f t="shared" si="1"/>
        <v>20</v>
      </c>
      <c r="M12" s="452"/>
      <c r="N12" s="449"/>
      <c r="O12" s="450"/>
      <c r="P12" s="451">
        <f t="shared" si="2"/>
        <v>20</v>
      </c>
      <c r="Q12" s="452"/>
      <c r="R12" s="449"/>
      <c r="S12" s="450"/>
      <c r="T12" s="451">
        <f t="shared" si="3"/>
        <v>20</v>
      </c>
      <c r="U12" s="452"/>
      <c r="V12" s="449"/>
      <c r="W12" s="450"/>
      <c r="X12" s="451">
        <f t="shared" si="4"/>
        <v>20</v>
      </c>
      <c r="Y12" s="452"/>
      <c r="Z12" s="449"/>
      <c r="AA12" s="450"/>
      <c r="AB12" s="451">
        <f t="shared" si="5"/>
        <v>20</v>
      </c>
      <c r="AC12" s="452"/>
      <c r="AD12" s="449"/>
      <c r="AE12" s="450"/>
      <c r="AF12" s="451">
        <f t="shared" si="6"/>
        <v>20</v>
      </c>
      <c r="AG12" s="452"/>
      <c r="AH12" s="449"/>
      <c r="AI12" s="450"/>
      <c r="AJ12" s="451">
        <f t="shared" si="7"/>
        <v>20</v>
      </c>
      <c r="AK12" s="452"/>
    </row>
    <row r="13" spans="2:55" ht="14.1" customHeight="1" x14ac:dyDescent="0.3">
      <c r="B13" s="1087" t="s">
        <v>699</v>
      </c>
      <c r="C13" s="1087"/>
      <c r="D13" s="447">
        <v>0</v>
      </c>
      <c r="E13" s="448"/>
      <c r="F13" s="449"/>
      <c r="G13" s="450"/>
      <c r="H13" s="451">
        <f t="shared" si="0"/>
        <v>0</v>
      </c>
      <c r="I13" s="452"/>
      <c r="J13" s="449"/>
      <c r="K13" s="450"/>
      <c r="L13" s="451">
        <f t="shared" si="1"/>
        <v>0</v>
      </c>
      <c r="M13" s="452"/>
      <c r="N13" s="449"/>
      <c r="O13" s="450"/>
      <c r="P13" s="451">
        <f t="shared" si="2"/>
        <v>0</v>
      </c>
      <c r="Q13" s="452"/>
      <c r="R13" s="449"/>
      <c r="S13" s="450"/>
      <c r="T13" s="451">
        <f t="shared" si="3"/>
        <v>0</v>
      </c>
      <c r="U13" s="452"/>
      <c r="V13" s="449"/>
      <c r="W13" s="450"/>
      <c r="X13" s="451">
        <f t="shared" si="4"/>
        <v>0</v>
      </c>
      <c r="Y13" s="452"/>
      <c r="Z13" s="449"/>
      <c r="AA13" s="450"/>
      <c r="AB13" s="451">
        <f t="shared" si="5"/>
        <v>0</v>
      </c>
      <c r="AC13" s="452"/>
      <c r="AD13" s="449"/>
      <c r="AE13" s="450"/>
      <c r="AF13" s="451">
        <f t="shared" si="6"/>
        <v>0</v>
      </c>
      <c r="AG13" s="452"/>
      <c r="AH13" s="449"/>
      <c r="AI13" s="450"/>
      <c r="AJ13" s="451">
        <f t="shared" si="7"/>
        <v>0</v>
      </c>
      <c r="AK13" s="452"/>
    </row>
    <row r="14" spans="2:55" ht="14.1" customHeight="1" x14ac:dyDescent="0.3">
      <c r="B14" s="1087" t="s">
        <v>700</v>
      </c>
      <c r="C14" s="1087"/>
      <c r="D14" s="447">
        <v>71</v>
      </c>
      <c r="E14" s="448"/>
      <c r="F14" s="449"/>
      <c r="G14" s="450"/>
      <c r="H14" s="451">
        <f t="shared" si="0"/>
        <v>71</v>
      </c>
      <c r="I14" s="452"/>
      <c r="J14" s="449"/>
      <c r="K14" s="450"/>
      <c r="L14" s="451">
        <f t="shared" si="1"/>
        <v>71</v>
      </c>
      <c r="M14" s="452"/>
      <c r="N14" s="449"/>
      <c r="O14" s="450"/>
      <c r="P14" s="451">
        <f t="shared" si="2"/>
        <v>71</v>
      </c>
      <c r="Q14" s="452"/>
      <c r="R14" s="449"/>
      <c r="S14" s="450"/>
      <c r="T14" s="451">
        <f t="shared" si="3"/>
        <v>71</v>
      </c>
      <c r="U14" s="452"/>
      <c r="V14" s="449"/>
      <c r="W14" s="450"/>
      <c r="X14" s="451">
        <f t="shared" si="4"/>
        <v>71</v>
      </c>
      <c r="Y14" s="452"/>
      <c r="Z14" s="449"/>
      <c r="AA14" s="450"/>
      <c r="AB14" s="451">
        <f t="shared" si="5"/>
        <v>71</v>
      </c>
      <c r="AC14" s="452"/>
      <c r="AD14" s="449"/>
      <c r="AE14" s="450"/>
      <c r="AF14" s="451">
        <f t="shared" si="6"/>
        <v>71</v>
      </c>
      <c r="AG14" s="452"/>
      <c r="AH14" s="449"/>
      <c r="AI14" s="450"/>
      <c r="AJ14" s="451">
        <f t="shared" si="7"/>
        <v>71</v>
      </c>
      <c r="AK14" s="452"/>
    </row>
    <row r="15" spans="2:55" ht="14.1" customHeight="1" x14ac:dyDescent="0.3">
      <c r="B15" s="1087" t="s">
        <v>701</v>
      </c>
      <c r="C15" s="1087"/>
      <c r="D15" s="453">
        <v>34</v>
      </c>
      <c r="E15" s="448"/>
      <c r="F15" s="449"/>
      <c r="G15" s="450"/>
      <c r="H15" s="451">
        <f t="shared" si="0"/>
        <v>34</v>
      </c>
      <c r="I15" s="452"/>
      <c r="J15" s="449"/>
      <c r="K15" s="450"/>
      <c r="L15" s="451">
        <f t="shared" si="1"/>
        <v>34</v>
      </c>
      <c r="M15" s="452"/>
      <c r="N15" s="449"/>
      <c r="O15" s="450"/>
      <c r="P15" s="451">
        <f t="shared" si="2"/>
        <v>34</v>
      </c>
      <c r="Q15" s="452"/>
      <c r="R15" s="449"/>
      <c r="S15" s="450"/>
      <c r="T15" s="451">
        <f t="shared" si="3"/>
        <v>34</v>
      </c>
      <c r="U15" s="452"/>
      <c r="V15" s="449"/>
      <c r="W15" s="450"/>
      <c r="X15" s="451">
        <f t="shared" si="4"/>
        <v>34</v>
      </c>
      <c r="Y15" s="452"/>
      <c r="Z15" s="449"/>
      <c r="AA15" s="450"/>
      <c r="AB15" s="451">
        <f t="shared" si="5"/>
        <v>34</v>
      </c>
      <c r="AC15" s="452"/>
      <c r="AD15" s="449"/>
      <c r="AE15" s="450"/>
      <c r="AF15" s="451">
        <f t="shared" si="6"/>
        <v>34</v>
      </c>
      <c r="AG15" s="452"/>
      <c r="AH15" s="449"/>
      <c r="AI15" s="450"/>
      <c r="AJ15" s="451">
        <f t="shared" si="7"/>
        <v>34</v>
      </c>
      <c r="AK15" s="452"/>
    </row>
    <row r="16" spans="2:55" ht="14.1" customHeight="1" x14ac:dyDescent="0.3">
      <c r="B16" s="1084" t="s">
        <v>702</v>
      </c>
      <c r="C16" s="1084"/>
      <c r="D16" s="1084"/>
      <c r="E16" s="441"/>
      <c r="F16" s="1081" t="s">
        <v>434</v>
      </c>
      <c r="G16" s="1081"/>
      <c r="H16" s="1081"/>
      <c r="I16" s="441"/>
      <c r="J16" s="1081" t="s">
        <v>422</v>
      </c>
      <c r="K16" s="1081"/>
      <c r="L16" s="1081"/>
      <c r="M16" s="441"/>
      <c r="N16" s="1081" t="s">
        <v>422</v>
      </c>
      <c r="O16" s="1081"/>
      <c r="P16" s="1081"/>
      <c r="Q16" s="441"/>
      <c r="R16" s="1081" t="s">
        <v>422</v>
      </c>
      <c r="S16" s="1081"/>
      <c r="T16" s="1081"/>
      <c r="U16" s="441"/>
      <c r="V16" s="1081" t="s">
        <v>422</v>
      </c>
      <c r="W16" s="1081"/>
      <c r="X16" s="1081"/>
      <c r="Y16" s="441"/>
      <c r="Z16" s="1081" t="s">
        <v>422</v>
      </c>
      <c r="AA16" s="1081"/>
      <c r="AB16" s="1081"/>
      <c r="AC16" s="441"/>
      <c r="AD16" s="1081" t="s">
        <v>422</v>
      </c>
      <c r="AE16" s="1081"/>
      <c r="AF16" s="1081"/>
      <c r="AG16" s="441"/>
      <c r="AH16" s="1081" t="s">
        <v>422</v>
      </c>
      <c r="AI16" s="1081"/>
      <c r="AJ16" s="1081"/>
      <c r="AK16" s="441"/>
    </row>
    <row r="17" spans="1:41" ht="14.1" customHeight="1" x14ac:dyDescent="0.3">
      <c r="B17" s="1082" t="s">
        <v>703</v>
      </c>
      <c r="C17" s="1082"/>
      <c r="D17" s="1082"/>
      <c r="E17" s="441"/>
      <c r="F17" s="1083" t="s">
        <v>164</v>
      </c>
      <c r="G17" s="1083"/>
      <c r="H17" s="1083"/>
      <c r="I17" s="441"/>
      <c r="J17" s="1083" t="s">
        <v>109</v>
      </c>
      <c r="K17" s="1083"/>
      <c r="L17" s="1083"/>
      <c r="M17" s="441"/>
      <c r="N17" s="1083" t="s">
        <v>109</v>
      </c>
      <c r="O17" s="1083"/>
      <c r="P17" s="1083"/>
      <c r="Q17" s="441"/>
      <c r="R17" s="1083" t="s">
        <v>109</v>
      </c>
      <c r="S17" s="1083"/>
      <c r="T17" s="1083"/>
      <c r="U17" s="441"/>
      <c r="V17" s="1083" t="s">
        <v>109</v>
      </c>
      <c r="W17" s="1083"/>
      <c r="X17" s="1083"/>
      <c r="Y17" s="441"/>
      <c r="Z17" s="1083" t="s">
        <v>109</v>
      </c>
      <c r="AA17" s="1083"/>
      <c r="AB17" s="1083"/>
      <c r="AC17" s="441"/>
      <c r="AD17" s="1083" t="s">
        <v>109</v>
      </c>
      <c r="AE17" s="1083"/>
      <c r="AF17" s="1083"/>
      <c r="AG17" s="441"/>
      <c r="AH17" s="1083" t="s">
        <v>109</v>
      </c>
      <c r="AI17" s="1083"/>
      <c r="AJ17" s="1083"/>
      <c r="AK17" s="441"/>
    </row>
    <row r="18" spans="1:41" ht="14.1" customHeight="1" x14ac:dyDescent="0.3">
      <c r="A18" s="454"/>
    </row>
    <row r="19" spans="1:41" ht="14.1" customHeight="1" x14ac:dyDescent="0.3">
      <c r="A19" s="454"/>
      <c r="F19" s="1086" t="str">
        <f>Tables!U10</f>
        <v>Brands Hatch xxxx</v>
      </c>
      <c r="G19" s="1086"/>
      <c r="H19" s="1086"/>
      <c r="I19" s="439"/>
      <c r="J19" s="1086" t="str">
        <f>Tables!U11</f>
        <v>Brasilia xxxx</v>
      </c>
      <c r="K19" s="1086"/>
      <c r="L19" s="1086"/>
      <c r="M19" s="439"/>
      <c r="N19" s="1086" t="str">
        <f>Tables!U12</f>
        <v>Bremgarten xxx</v>
      </c>
      <c r="O19" s="1086"/>
      <c r="P19" s="1086"/>
      <c r="Q19" s="439"/>
      <c r="R19" s="1086" t="str">
        <f>Tables!U13</f>
        <v>Brno xxxx</v>
      </c>
      <c r="S19" s="1086"/>
      <c r="T19" s="1086"/>
      <c r="U19" s="439"/>
      <c r="V19" s="1086" t="str">
        <f>Tables!U14</f>
        <v>Bucharest Ring xxxx</v>
      </c>
      <c r="W19" s="1086"/>
      <c r="X19" s="1086"/>
      <c r="Y19" s="439"/>
      <c r="Z19" s="1086" t="str">
        <f>Tables!U15</f>
        <v>Buenos Aires xxx</v>
      </c>
      <c r="AA19" s="1086"/>
      <c r="AB19" s="1086"/>
      <c r="AC19" s="439"/>
      <c r="AD19" s="1086" t="str">
        <f>Tables!U16</f>
        <v>Fiorano xxxx</v>
      </c>
      <c r="AE19" s="1086"/>
      <c r="AF19" s="1086"/>
      <c r="AG19" s="439"/>
      <c r="AH19" s="1086" t="str">
        <f>Tables!U17</f>
        <v>Estoril xxx</v>
      </c>
      <c r="AI19" s="1086"/>
      <c r="AJ19" s="1086"/>
      <c r="AK19" s="439"/>
      <c r="AL19" s="1086" t="str">
        <f>Tables!U18</f>
        <v>Fuji xxxx</v>
      </c>
      <c r="AM19" s="1086"/>
      <c r="AN19" s="1086"/>
      <c r="AO19" s="1086"/>
    </row>
    <row r="20" spans="1:41" ht="14.1" customHeight="1" x14ac:dyDescent="0.3">
      <c r="A20" s="454"/>
      <c r="F20" s="442" t="s">
        <v>129</v>
      </c>
      <c r="G20" s="443" t="s">
        <v>121</v>
      </c>
      <c r="H20" s="444" t="s">
        <v>697</v>
      </c>
      <c r="I20" s="441"/>
      <c r="J20" s="442" t="s">
        <v>129</v>
      </c>
      <c r="K20" s="443" t="s">
        <v>121</v>
      </c>
      <c r="L20" s="444" t="s">
        <v>697</v>
      </c>
      <c r="M20" s="441"/>
      <c r="N20" s="442" t="s">
        <v>129</v>
      </c>
      <c r="O20" s="443" t="s">
        <v>121</v>
      </c>
      <c r="P20" s="444" t="s">
        <v>697</v>
      </c>
      <c r="Q20" s="441"/>
      <c r="R20" s="442" t="s">
        <v>129</v>
      </c>
      <c r="S20" s="443" t="s">
        <v>121</v>
      </c>
      <c r="T20" s="444" t="s">
        <v>697</v>
      </c>
      <c r="U20" s="441"/>
      <c r="V20" s="442" t="s">
        <v>129</v>
      </c>
      <c r="W20" s="443" t="s">
        <v>121</v>
      </c>
      <c r="X20" s="444" t="s">
        <v>697</v>
      </c>
      <c r="Y20" s="441"/>
      <c r="Z20" s="442" t="s">
        <v>129</v>
      </c>
      <c r="AA20" s="443" t="s">
        <v>121</v>
      </c>
      <c r="AB20" s="444" t="s">
        <v>697</v>
      </c>
      <c r="AC20" s="441"/>
      <c r="AD20" s="442" t="s">
        <v>129</v>
      </c>
      <c r="AE20" s="443" t="s">
        <v>121</v>
      </c>
      <c r="AF20" s="444" t="s">
        <v>697</v>
      </c>
      <c r="AG20" s="441"/>
      <c r="AH20" s="442" t="s">
        <v>129</v>
      </c>
      <c r="AI20" s="443" t="s">
        <v>121</v>
      </c>
      <c r="AJ20" s="444" t="s">
        <v>697</v>
      </c>
      <c r="AK20" s="441"/>
      <c r="AL20" s="442" t="s">
        <v>129</v>
      </c>
      <c r="AM20" s="443" t="s">
        <v>121</v>
      </c>
      <c r="AN20" s="443" t="s">
        <v>704</v>
      </c>
      <c r="AO20" s="444" t="s">
        <v>697</v>
      </c>
    </row>
    <row r="21" spans="1:41" ht="14.1" customHeight="1" x14ac:dyDescent="0.3">
      <c r="A21" s="454"/>
      <c r="B21" s="455" t="s">
        <v>36</v>
      </c>
      <c r="C21" s="456"/>
      <c r="D21" s="457"/>
      <c r="F21" s="1085">
        <f>SUM((Tables!B35*H22)+(Tables!B36*H23)+(Tables!B37*H24)+(Tables!B38*H25)+(Tables!B39*H26)+(Tables!B40*H27)+(Tables!B41*H28)+(Tables!B42*H29)+(Tables!B43*H31))</f>
        <v>130.64689999999999</v>
      </c>
      <c r="G21" s="1085"/>
      <c r="H21" s="1085"/>
      <c r="I21" s="446"/>
      <c r="J21" s="1085">
        <f>SUM((Tables!B35*L22)+(Tables!B36*L23)+(Tables!B37*L24)+(Tables!B38*L25)+(Tables!B39*L26)+(Tables!B40*L27)+(Tables!B41*L28)+(Tables!B42*L29)+(Tables!B43*L31))</f>
        <v>130.64689999999999</v>
      </c>
      <c r="K21" s="1085"/>
      <c r="L21" s="1085"/>
      <c r="M21" s="446"/>
      <c r="N21" s="1085">
        <f>SUM((Tables!B35*P22)+(Tables!B36*P23)+(Tables!B37*P24)+(Tables!B38*P25)+(Tables!B39*P26)+(Tables!B40*P27)+(Tables!B41*P28)+(Tables!B42*P29)+(Tables!B43*P31))</f>
        <v>130.64689999999999</v>
      </c>
      <c r="O21" s="1085"/>
      <c r="P21" s="1085"/>
      <c r="Q21" s="446"/>
      <c r="R21" s="1085">
        <f>SUM((Tables!B35*T22)+(Tables!B36*T23)+(Tables!B37*T24)+(Tables!B38*T25)+(Tables!B39*T26)+(Tables!B40*T27)+(Tables!B41*T28)+(Tables!B42*T29)+(Tables!B43*T31))</f>
        <v>130.64689999999999</v>
      </c>
      <c r="S21" s="1085"/>
      <c r="T21" s="1085"/>
      <c r="U21" s="446"/>
      <c r="V21" s="1085">
        <f>SUM((Tables!B35*X22)+(Tables!B36*X23)+(Tables!B37*X24)+(Tables!B38*X25)+(Tables!B39*X26)+(Tables!B40*X27)+(Tables!B41*X28)+(Tables!B42*X29)+(Tables!B43*X31))</f>
        <v>130.64689999999999</v>
      </c>
      <c r="W21" s="1085"/>
      <c r="X21" s="1085"/>
      <c r="Y21" s="446"/>
      <c r="Z21" s="1085">
        <f>SUM((Tables!B35*AB22)+(Tables!B36*AB23)+(Tables!B37*AB24)+(Tables!B38*AB25)+(Tables!B39*AB26)+(Tables!B40*AB27)+(Tables!B41*AB28)+(Tables!B42*AB29)+(Tables!B43*AB31))</f>
        <v>130.64689999999999</v>
      </c>
      <c r="AA21" s="1085"/>
      <c r="AB21" s="1085"/>
      <c r="AC21" s="446"/>
      <c r="AD21" s="1085">
        <f>SUM((Tables!B35*AF22)+(Tables!B36*AF23)+(Tables!B37*AF24)+(Tables!B38*AF25)+(Tables!B39*AF26)+(Tables!B40*AF27)+(Tables!B41*AF28)+(Tables!B42*AF29)+(Tables!B43*AF31))</f>
        <v>130.64689999999999</v>
      </c>
      <c r="AE21" s="1085"/>
      <c r="AF21" s="1085"/>
      <c r="AG21" s="446"/>
      <c r="AH21" s="1085">
        <f>SUM((Tables!B35*AJ22)+(Tables!B36*AJ23)+(Tables!B37*AJ24)+(Tables!B38*AJ25)+(Tables!B39*AJ26)+(Tables!B40*AJ27)+(Tables!B41*AJ28)+(Tables!B42*AJ29)+(Tables!B43*AJ31))</f>
        <v>130.64689999999999</v>
      </c>
      <c r="AI21" s="1085"/>
      <c r="AJ21" s="1085"/>
      <c r="AK21" s="446"/>
      <c r="AL21" s="1085">
        <f>SUM((Tables!B35*AO22)+(Tables!B36*AO23)+(Tables!B37*AO24)+(Tables!B38*AO25)+(Tables!B39*AO26)+(Tables!B40*AO27)+(Tables!B41*AO28)+(Tables!B42*AO29)+(Tables!B43*AO31))</f>
        <v>161.36439999999999</v>
      </c>
      <c r="AM21" s="1085"/>
      <c r="AN21" s="1085"/>
      <c r="AO21" s="1085"/>
    </row>
    <row r="22" spans="1:41" ht="14.1" customHeight="1" x14ac:dyDescent="0.3">
      <c r="A22" s="454"/>
      <c r="B22" s="458" t="s">
        <v>324</v>
      </c>
      <c r="C22" s="459"/>
      <c r="D22" s="460"/>
      <c r="F22" s="449"/>
      <c r="G22" s="450"/>
      <c r="H22" s="451">
        <f t="shared" ref="H22:H32" si="8">SUM(AJ5+F22+G22)</f>
        <v>199</v>
      </c>
      <c r="I22" s="452"/>
      <c r="J22" s="449"/>
      <c r="K22" s="450"/>
      <c r="L22" s="451">
        <f t="shared" ref="L22:L32" si="9">SUM(H22+J22+K22)</f>
        <v>199</v>
      </c>
      <c r="M22" s="452"/>
      <c r="N22" s="449"/>
      <c r="O22" s="450"/>
      <c r="P22" s="451">
        <f t="shared" ref="P22:P32" si="10">SUM(L22+N22+O22)</f>
        <v>199</v>
      </c>
      <c r="Q22" s="452"/>
      <c r="R22" s="449"/>
      <c r="S22" s="450"/>
      <c r="T22" s="451">
        <f t="shared" ref="T22:T32" si="11">SUM(P22+R22+S22)</f>
        <v>199</v>
      </c>
      <c r="U22" s="452"/>
      <c r="V22" s="449"/>
      <c r="W22" s="450"/>
      <c r="X22" s="451">
        <f t="shared" ref="X22:X32" si="12">SUM(T22+V22+W22)</f>
        <v>199</v>
      </c>
      <c r="Y22" s="452"/>
      <c r="Z22" s="449"/>
      <c r="AA22" s="450"/>
      <c r="AB22" s="451">
        <f t="shared" ref="AB22:AB32" si="13">SUM(X22+Z22+AA22)</f>
        <v>199</v>
      </c>
      <c r="AC22" s="452"/>
      <c r="AD22" s="449"/>
      <c r="AE22" s="450"/>
      <c r="AF22" s="451">
        <f t="shared" ref="AF22:AF32" si="14">SUM(AB22+AD22+AE22)</f>
        <v>199</v>
      </c>
      <c r="AG22" s="452"/>
      <c r="AH22" s="449"/>
      <c r="AI22" s="450"/>
      <c r="AJ22" s="451">
        <f t="shared" ref="AJ22:AJ32" si="15">SUM(AF22+AH22+AI22)</f>
        <v>199</v>
      </c>
      <c r="AK22" s="452"/>
      <c r="AL22" s="449"/>
      <c r="AM22" s="450"/>
      <c r="AN22" s="461">
        <v>10</v>
      </c>
      <c r="AO22" s="451">
        <f t="shared" ref="AO22:AO32" si="16">SUM(AJ22+AL22+AM22+AN22)</f>
        <v>209</v>
      </c>
    </row>
    <row r="23" spans="1:41" ht="14.1" customHeight="1" x14ac:dyDescent="0.3">
      <c r="A23" s="454"/>
      <c r="B23" s="462" t="s">
        <v>325</v>
      </c>
      <c r="C23" s="463"/>
      <c r="D23" s="464"/>
      <c r="F23" s="449"/>
      <c r="G23" s="450"/>
      <c r="H23" s="451">
        <f t="shared" si="8"/>
        <v>203</v>
      </c>
      <c r="I23" s="452"/>
      <c r="J23" s="449"/>
      <c r="K23" s="450"/>
      <c r="L23" s="451">
        <f t="shared" si="9"/>
        <v>203</v>
      </c>
      <c r="M23" s="452"/>
      <c r="N23" s="449"/>
      <c r="O23" s="450"/>
      <c r="P23" s="451">
        <f t="shared" si="10"/>
        <v>203</v>
      </c>
      <c r="Q23" s="452"/>
      <c r="R23" s="449"/>
      <c r="S23" s="450"/>
      <c r="T23" s="451">
        <f t="shared" si="11"/>
        <v>203</v>
      </c>
      <c r="U23" s="452"/>
      <c r="V23" s="449"/>
      <c r="W23" s="450"/>
      <c r="X23" s="451">
        <f t="shared" si="12"/>
        <v>203</v>
      </c>
      <c r="Y23" s="452"/>
      <c r="Z23" s="449"/>
      <c r="AA23" s="450"/>
      <c r="AB23" s="451">
        <f t="shared" si="13"/>
        <v>203</v>
      </c>
      <c r="AC23" s="452"/>
      <c r="AD23" s="449"/>
      <c r="AE23" s="450"/>
      <c r="AF23" s="451">
        <f t="shared" si="14"/>
        <v>203</v>
      </c>
      <c r="AG23" s="452"/>
      <c r="AH23" s="449"/>
      <c r="AI23" s="450"/>
      <c r="AJ23" s="451">
        <f t="shared" si="15"/>
        <v>203</v>
      </c>
      <c r="AK23" s="452"/>
      <c r="AL23" s="449"/>
      <c r="AM23" s="450"/>
      <c r="AN23" s="461">
        <v>0</v>
      </c>
      <c r="AO23" s="451">
        <f t="shared" si="16"/>
        <v>203</v>
      </c>
    </row>
    <row r="24" spans="1:41" ht="14.1" customHeight="1" x14ac:dyDescent="0.3">
      <c r="A24" s="454"/>
      <c r="B24" s="462" t="s">
        <v>698</v>
      </c>
      <c r="C24" s="463"/>
      <c r="D24" s="464"/>
      <c r="F24" s="449"/>
      <c r="G24" s="450"/>
      <c r="H24" s="451">
        <f t="shared" si="8"/>
        <v>10</v>
      </c>
      <c r="I24" s="452"/>
      <c r="J24" s="449"/>
      <c r="K24" s="450"/>
      <c r="L24" s="451">
        <f t="shared" si="9"/>
        <v>10</v>
      </c>
      <c r="M24" s="452"/>
      <c r="N24" s="449"/>
      <c r="O24" s="450"/>
      <c r="P24" s="451">
        <f t="shared" si="10"/>
        <v>10</v>
      </c>
      <c r="Q24" s="452"/>
      <c r="R24" s="449"/>
      <c r="S24" s="450"/>
      <c r="T24" s="451">
        <f t="shared" si="11"/>
        <v>10</v>
      </c>
      <c r="U24" s="452"/>
      <c r="V24" s="449"/>
      <c r="W24" s="450"/>
      <c r="X24" s="451">
        <f t="shared" si="12"/>
        <v>10</v>
      </c>
      <c r="Y24" s="452"/>
      <c r="Z24" s="449"/>
      <c r="AA24" s="450"/>
      <c r="AB24" s="451">
        <f t="shared" si="13"/>
        <v>10</v>
      </c>
      <c r="AC24" s="452"/>
      <c r="AD24" s="449"/>
      <c r="AE24" s="450"/>
      <c r="AF24" s="451">
        <f t="shared" si="14"/>
        <v>10</v>
      </c>
      <c r="AG24" s="452"/>
      <c r="AH24" s="449"/>
      <c r="AI24" s="450"/>
      <c r="AJ24" s="451">
        <f t="shared" si="15"/>
        <v>10</v>
      </c>
      <c r="AK24" s="452"/>
      <c r="AL24" s="449"/>
      <c r="AM24" s="450"/>
      <c r="AN24" s="461">
        <v>0</v>
      </c>
      <c r="AO24" s="451">
        <f t="shared" si="16"/>
        <v>10</v>
      </c>
    </row>
    <row r="25" spans="1:41" ht="14.1" customHeight="1" x14ac:dyDescent="0.3">
      <c r="A25" s="454"/>
      <c r="B25" s="462" t="s">
        <v>327</v>
      </c>
      <c r="C25" s="463"/>
      <c r="D25" s="464"/>
      <c r="F25" s="449"/>
      <c r="G25" s="450"/>
      <c r="H25" s="451">
        <f t="shared" si="8"/>
        <v>183</v>
      </c>
      <c r="I25" s="452"/>
      <c r="J25" s="449"/>
      <c r="K25" s="450"/>
      <c r="L25" s="451">
        <f t="shared" si="9"/>
        <v>183</v>
      </c>
      <c r="M25" s="452"/>
      <c r="N25" s="449"/>
      <c r="O25" s="450"/>
      <c r="P25" s="451">
        <f t="shared" si="10"/>
        <v>183</v>
      </c>
      <c r="Q25" s="452"/>
      <c r="R25" s="449"/>
      <c r="S25" s="450"/>
      <c r="T25" s="451">
        <f t="shared" si="11"/>
        <v>183</v>
      </c>
      <c r="U25" s="452"/>
      <c r="V25" s="449"/>
      <c r="W25" s="450"/>
      <c r="X25" s="451">
        <f t="shared" si="12"/>
        <v>183</v>
      </c>
      <c r="Y25" s="452"/>
      <c r="Z25" s="449"/>
      <c r="AA25" s="450"/>
      <c r="AB25" s="451">
        <f t="shared" si="13"/>
        <v>183</v>
      </c>
      <c r="AC25" s="452"/>
      <c r="AD25" s="449"/>
      <c r="AE25" s="450"/>
      <c r="AF25" s="451">
        <f t="shared" si="14"/>
        <v>183</v>
      </c>
      <c r="AG25" s="452"/>
      <c r="AH25" s="449"/>
      <c r="AI25" s="450"/>
      <c r="AJ25" s="451">
        <f t="shared" si="15"/>
        <v>183</v>
      </c>
      <c r="AK25" s="452"/>
      <c r="AL25" s="449"/>
      <c r="AM25" s="450"/>
      <c r="AN25" s="461">
        <v>20</v>
      </c>
      <c r="AO25" s="451">
        <f t="shared" si="16"/>
        <v>203</v>
      </c>
    </row>
    <row r="26" spans="1:41" ht="14.1" customHeight="1" x14ac:dyDescent="0.3">
      <c r="A26" s="454"/>
      <c r="B26" s="462" t="s">
        <v>328</v>
      </c>
      <c r="C26" s="463"/>
      <c r="D26" s="464"/>
      <c r="F26" s="449"/>
      <c r="G26" s="450"/>
      <c r="H26" s="451">
        <f t="shared" si="8"/>
        <v>105</v>
      </c>
      <c r="I26" s="452"/>
      <c r="J26" s="449"/>
      <c r="K26" s="450"/>
      <c r="L26" s="451">
        <f t="shared" si="9"/>
        <v>105</v>
      </c>
      <c r="M26" s="452"/>
      <c r="N26" s="449"/>
      <c r="O26" s="450"/>
      <c r="P26" s="451">
        <f t="shared" si="10"/>
        <v>105</v>
      </c>
      <c r="Q26" s="452"/>
      <c r="R26" s="449"/>
      <c r="S26" s="450"/>
      <c r="T26" s="451">
        <f t="shared" si="11"/>
        <v>105</v>
      </c>
      <c r="U26" s="452"/>
      <c r="V26" s="449"/>
      <c r="W26" s="450"/>
      <c r="X26" s="451">
        <f t="shared" si="12"/>
        <v>105</v>
      </c>
      <c r="Y26" s="452"/>
      <c r="Z26" s="449"/>
      <c r="AA26" s="450"/>
      <c r="AB26" s="451">
        <f t="shared" si="13"/>
        <v>105</v>
      </c>
      <c r="AC26" s="452"/>
      <c r="AD26" s="449"/>
      <c r="AE26" s="450"/>
      <c r="AF26" s="451">
        <f t="shared" si="14"/>
        <v>105</v>
      </c>
      <c r="AG26" s="452"/>
      <c r="AH26" s="449"/>
      <c r="AI26" s="450"/>
      <c r="AJ26" s="451">
        <f t="shared" si="15"/>
        <v>105</v>
      </c>
      <c r="AK26" s="452"/>
      <c r="AL26" s="449"/>
      <c r="AM26" s="450"/>
      <c r="AN26" s="461">
        <v>10</v>
      </c>
      <c r="AO26" s="451">
        <f t="shared" si="16"/>
        <v>115</v>
      </c>
    </row>
    <row r="27" spans="1:41" ht="14.1" customHeight="1" x14ac:dyDescent="0.3">
      <c r="A27" s="454"/>
      <c r="B27" s="462" t="s">
        <v>329</v>
      </c>
      <c r="C27" s="463"/>
      <c r="D27" s="464"/>
      <c r="F27" s="449"/>
      <c r="G27" s="450"/>
      <c r="H27" s="451">
        <f t="shared" si="8"/>
        <v>104</v>
      </c>
      <c r="I27" s="452"/>
      <c r="J27" s="449"/>
      <c r="K27" s="450"/>
      <c r="L27" s="451">
        <f t="shared" si="9"/>
        <v>104</v>
      </c>
      <c r="M27" s="452"/>
      <c r="N27" s="449"/>
      <c r="O27" s="450"/>
      <c r="P27" s="451">
        <f t="shared" si="10"/>
        <v>104</v>
      </c>
      <c r="Q27" s="452"/>
      <c r="R27" s="449"/>
      <c r="S27" s="450"/>
      <c r="T27" s="451">
        <f t="shared" si="11"/>
        <v>104</v>
      </c>
      <c r="U27" s="452"/>
      <c r="V27" s="449"/>
      <c r="W27" s="450"/>
      <c r="X27" s="451">
        <f t="shared" si="12"/>
        <v>104</v>
      </c>
      <c r="Y27" s="452"/>
      <c r="Z27" s="449"/>
      <c r="AA27" s="450"/>
      <c r="AB27" s="451">
        <f t="shared" si="13"/>
        <v>104</v>
      </c>
      <c r="AC27" s="452"/>
      <c r="AD27" s="449"/>
      <c r="AE27" s="450"/>
      <c r="AF27" s="451">
        <f t="shared" si="14"/>
        <v>104</v>
      </c>
      <c r="AG27" s="452"/>
      <c r="AH27" s="449"/>
      <c r="AI27" s="450"/>
      <c r="AJ27" s="451">
        <f t="shared" si="15"/>
        <v>104</v>
      </c>
      <c r="AK27" s="452"/>
      <c r="AL27" s="449"/>
      <c r="AM27" s="450"/>
      <c r="AN27" s="461">
        <v>24</v>
      </c>
      <c r="AO27" s="451">
        <f t="shared" si="16"/>
        <v>128</v>
      </c>
    </row>
    <row r="28" spans="1:41" ht="14.1" customHeight="1" x14ac:dyDescent="0.3">
      <c r="A28" s="454"/>
      <c r="B28" s="462" t="s">
        <v>330</v>
      </c>
      <c r="C28" s="463"/>
      <c r="D28" s="464"/>
      <c r="F28" s="449"/>
      <c r="G28" s="450"/>
      <c r="H28" s="451">
        <f t="shared" si="8"/>
        <v>69</v>
      </c>
      <c r="I28" s="452"/>
      <c r="J28" s="449"/>
      <c r="K28" s="450"/>
      <c r="L28" s="451">
        <f t="shared" si="9"/>
        <v>69</v>
      </c>
      <c r="M28" s="452"/>
      <c r="N28" s="449"/>
      <c r="O28" s="450"/>
      <c r="P28" s="451">
        <f t="shared" si="10"/>
        <v>69</v>
      </c>
      <c r="Q28" s="452"/>
      <c r="R28" s="449"/>
      <c r="S28" s="450"/>
      <c r="T28" s="451">
        <f t="shared" si="11"/>
        <v>69</v>
      </c>
      <c r="U28" s="452"/>
      <c r="V28" s="449"/>
      <c r="W28" s="450"/>
      <c r="X28" s="451">
        <f t="shared" si="12"/>
        <v>69</v>
      </c>
      <c r="Y28" s="452"/>
      <c r="Z28" s="449"/>
      <c r="AA28" s="450"/>
      <c r="AB28" s="451">
        <f t="shared" si="13"/>
        <v>69</v>
      </c>
      <c r="AC28" s="452"/>
      <c r="AD28" s="449"/>
      <c r="AE28" s="450"/>
      <c r="AF28" s="451">
        <f t="shared" si="14"/>
        <v>69</v>
      </c>
      <c r="AG28" s="452"/>
      <c r="AH28" s="449"/>
      <c r="AI28" s="450"/>
      <c r="AJ28" s="451">
        <f t="shared" si="15"/>
        <v>69</v>
      </c>
      <c r="AK28" s="452"/>
      <c r="AL28" s="449"/>
      <c r="AM28" s="450"/>
      <c r="AN28" s="461">
        <v>5</v>
      </c>
      <c r="AO28" s="451">
        <f t="shared" si="16"/>
        <v>74</v>
      </c>
    </row>
    <row r="29" spans="1:41" ht="14.1" customHeight="1" x14ac:dyDescent="0.3">
      <c r="A29" s="454"/>
      <c r="B29" s="462" t="s">
        <v>331</v>
      </c>
      <c r="C29" s="463"/>
      <c r="D29" s="464"/>
      <c r="F29" s="449"/>
      <c r="G29" s="450"/>
      <c r="H29" s="451">
        <f t="shared" si="8"/>
        <v>20</v>
      </c>
      <c r="I29" s="452"/>
      <c r="J29" s="449"/>
      <c r="K29" s="450"/>
      <c r="L29" s="451">
        <f t="shared" si="9"/>
        <v>20</v>
      </c>
      <c r="M29" s="452"/>
      <c r="N29" s="449"/>
      <c r="O29" s="450"/>
      <c r="P29" s="451">
        <f t="shared" si="10"/>
        <v>20</v>
      </c>
      <c r="Q29" s="452"/>
      <c r="R29" s="449"/>
      <c r="S29" s="450"/>
      <c r="T29" s="451">
        <f t="shared" si="11"/>
        <v>20</v>
      </c>
      <c r="U29" s="452"/>
      <c r="V29" s="449"/>
      <c r="W29" s="450"/>
      <c r="X29" s="451">
        <f t="shared" si="12"/>
        <v>20</v>
      </c>
      <c r="Y29" s="452"/>
      <c r="Z29" s="449"/>
      <c r="AA29" s="450"/>
      <c r="AB29" s="451">
        <f t="shared" si="13"/>
        <v>20</v>
      </c>
      <c r="AC29" s="452"/>
      <c r="AD29" s="449"/>
      <c r="AE29" s="450"/>
      <c r="AF29" s="451">
        <f t="shared" si="14"/>
        <v>20</v>
      </c>
      <c r="AG29" s="452"/>
      <c r="AH29" s="449"/>
      <c r="AI29" s="450"/>
      <c r="AJ29" s="451">
        <f t="shared" si="15"/>
        <v>20</v>
      </c>
      <c r="AK29" s="452"/>
      <c r="AL29" s="449"/>
      <c r="AM29" s="450"/>
      <c r="AN29" s="461">
        <v>250</v>
      </c>
      <c r="AO29" s="451">
        <f t="shared" si="16"/>
        <v>270</v>
      </c>
    </row>
    <row r="30" spans="1:41" ht="14.1" customHeight="1" x14ac:dyDescent="0.3">
      <c r="A30" s="454"/>
      <c r="B30" s="462" t="s">
        <v>699</v>
      </c>
      <c r="C30" s="463"/>
      <c r="D30" s="464"/>
      <c r="F30" s="449"/>
      <c r="G30" s="450"/>
      <c r="H30" s="451">
        <f t="shared" si="8"/>
        <v>0</v>
      </c>
      <c r="I30" s="452"/>
      <c r="J30" s="449"/>
      <c r="K30" s="450"/>
      <c r="L30" s="451">
        <f t="shared" si="9"/>
        <v>0</v>
      </c>
      <c r="M30" s="452"/>
      <c r="N30" s="449"/>
      <c r="O30" s="450"/>
      <c r="P30" s="451">
        <f t="shared" si="10"/>
        <v>0</v>
      </c>
      <c r="Q30" s="452"/>
      <c r="R30" s="449"/>
      <c r="S30" s="450"/>
      <c r="T30" s="451">
        <f t="shared" si="11"/>
        <v>0</v>
      </c>
      <c r="U30" s="452"/>
      <c r="V30" s="449"/>
      <c r="W30" s="450"/>
      <c r="X30" s="451">
        <f t="shared" si="12"/>
        <v>0</v>
      </c>
      <c r="Y30" s="452"/>
      <c r="Z30" s="449"/>
      <c r="AA30" s="450"/>
      <c r="AB30" s="451">
        <f t="shared" si="13"/>
        <v>0</v>
      </c>
      <c r="AC30" s="452"/>
      <c r="AD30" s="449"/>
      <c r="AE30" s="450"/>
      <c r="AF30" s="451">
        <f t="shared" si="14"/>
        <v>0</v>
      </c>
      <c r="AG30" s="452"/>
      <c r="AH30" s="449"/>
      <c r="AI30" s="450"/>
      <c r="AJ30" s="451">
        <f t="shared" si="15"/>
        <v>0</v>
      </c>
      <c r="AK30" s="452"/>
      <c r="AL30" s="449"/>
      <c r="AM30" s="450"/>
      <c r="AN30" s="461">
        <v>0</v>
      </c>
      <c r="AO30" s="451">
        <f t="shared" si="16"/>
        <v>0</v>
      </c>
    </row>
    <row r="31" spans="1:41" ht="14.1" customHeight="1" x14ac:dyDescent="0.3">
      <c r="A31" s="454"/>
      <c r="B31" s="462" t="s">
        <v>700</v>
      </c>
      <c r="C31" s="463"/>
      <c r="D31" s="464"/>
      <c r="F31" s="449"/>
      <c r="G31" s="450"/>
      <c r="H31" s="451">
        <f t="shared" si="8"/>
        <v>71</v>
      </c>
      <c r="I31" s="452"/>
      <c r="J31" s="449"/>
      <c r="K31" s="450"/>
      <c r="L31" s="451">
        <f t="shared" si="9"/>
        <v>71</v>
      </c>
      <c r="M31" s="452"/>
      <c r="N31" s="449"/>
      <c r="O31" s="450"/>
      <c r="P31" s="451">
        <f t="shared" si="10"/>
        <v>71</v>
      </c>
      <c r="Q31" s="452"/>
      <c r="R31" s="449"/>
      <c r="S31" s="450"/>
      <c r="T31" s="451">
        <f t="shared" si="11"/>
        <v>71</v>
      </c>
      <c r="U31" s="452"/>
      <c r="V31" s="449"/>
      <c r="W31" s="450"/>
      <c r="X31" s="451">
        <f t="shared" si="12"/>
        <v>71</v>
      </c>
      <c r="Y31" s="452"/>
      <c r="Z31" s="449"/>
      <c r="AA31" s="450"/>
      <c r="AB31" s="451">
        <f t="shared" si="13"/>
        <v>71</v>
      </c>
      <c r="AC31" s="452"/>
      <c r="AD31" s="449"/>
      <c r="AE31" s="450"/>
      <c r="AF31" s="451">
        <f t="shared" si="14"/>
        <v>71</v>
      </c>
      <c r="AG31" s="452"/>
      <c r="AH31" s="449"/>
      <c r="AI31" s="450"/>
      <c r="AJ31" s="451">
        <f t="shared" si="15"/>
        <v>71</v>
      </c>
      <c r="AK31" s="452"/>
      <c r="AL31" s="449"/>
      <c r="AM31" s="450"/>
      <c r="AN31" s="461">
        <v>-15</v>
      </c>
      <c r="AO31" s="451">
        <f t="shared" si="16"/>
        <v>56</v>
      </c>
    </row>
    <row r="32" spans="1:41" ht="14.1" customHeight="1" x14ac:dyDescent="0.3">
      <c r="A32" s="454"/>
      <c r="B32" s="462" t="s">
        <v>701</v>
      </c>
      <c r="C32" s="463"/>
      <c r="D32" s="464"/>
      <c r="F32" s="449"/>
      <c r="G32" s="450"/>
      <c r="H32" s="451">
        <f t="shared" si="8"/>
        <v>34</v>
      </c>
      <c r="I32" s="452"/>
      <c r="J32" s="449"/>
      <c r="K32" s="450"/>
      <c r="L32" s="451">
        <f t="shared" si="9"/>
        <v>34</v>
      </c>
      <c r="M32" s="452"/>
      <c r="N32" s="449"/>
      <c r="O32" s="450"/>
      <c r="P32" s="451">
        <f t="shared" si="10"/>
        <v>34</v>
      </c>
      <c r="Q32" s="452"/>
      <c r="R32" s="449"/>
      <c r="S32" s="450"/>
      <c r="T32" s="451">
        <f t="shared" si="11"/>
        <v>34</v>
      </c>
      <c r="U32" s="452"/>
      <c r="V32" s="449"/>
      <c r="W32" s="450"/>
      <c r="X32" s="451">
        <f t="shared" si="12"/>
        <v>34</v>
      </c>
      <c r="Y32" s="452"/>
      <c r="Z32" s="449"/>
      <c r="AA32" s="450"/>
      <c r="AB32" s="451">
        <f t="shared" si="13"/>
        <v>34</v>
      </c>
      <c r="AC32" s="452"/>
      <c r="AD32" s="449"/>
      <c r="AE32" s="450"/>
      <c r="AF32" s="451">
        <f t="shared" si="14"/>
        <v>34</v>
      </c>
      <c r="AG32" s="452"/>
      <c r="AH32" s="449"/>
      <c r="AI32" s="450"/>
      <c r="AJ32" s="451">
        <f t="shared" si="15"/>
        <v>34</v>
      </c>
      <c r="AK32" s="452"/>
      <c r="AL32" s="449"/>
      <c r="AM32" s="450"/>
      <c r="AN32" s="461">
        <v>0</v>
      </c>
      <c r="AO32" s="451">
        <f t="shared" si="16"/>
        <v>34</v>
      </c>
    </row>
    <row r="33" spans="1:55" ht="14.1" customHeight="1" x14ac:dyDescent="0.3">
      <c r="A33" s="454"/>
      <c r="B33" s="1084" t="s">
        <v>702</v>
      </c>
      <c r="C33" s="1084"/>
      <c r="D33" s="1084"/>
      <c r="F33" s="1081" t="s">
        <v>422</v>
      </c>
      <c r="G33" s="1081"/>
      <c r="H33" s="1081"/>
      <c r="I33" s="441"/>
      <c r="J33" s="1081" t="s">
        <v>422</v>
      </c>
      <c r="K33" s="1081"/>
      <c r="L33" s="1081"/>
      <c r="M33" s="441"/>
      <c r="N33" s="1081" t="s">
        <v>422</v>
      </c>
      <c r="O33" s="1081"/>
      <c r="P33" s="1081"/>
      <c r="Q33" s="441"/>
      <c r="R33" s="1081" t="s">
        <v>422</v>
      </c>
      <c r="S33" s="1081"/>
      <c r="T33" s="1081"/>
      <c r="U33" s="441"/>
      <c r="V33" s="1081" t="s">
        <v>422</v>
      </c>
      <c r="W33" s="1081"/>
      <c r="X33" s="1081"/>
      <c r="Y33" s="441"/>
      <c r="Z33" s="1081" t="s">
        <v>422</v>
      </c>
      <c r="AA33" s="1081"/>
      <c r="AB33" s="1081"/>
      <c r="AC33" s="441"/>
      <c r="AD33" s="1081" t="s">
        <v>422</v>
      </c>
      <c r="AE33" s="1081"/>
      <c r="AF33" s="1081"/>
      <c r="AG33" s="441"/>
      <c r="AH33" s="1081" t="s">
        <v>422</v>
      </c>
      <c r="AI33" s="1081"/>
      <c r="AJ33" s="1081"/>
      <c r="AK33" s="441"/>
      <c r="AL33" s="1081" t="s">
        <v>422</v>
      </c>
      <c r="AM33" s="1081"/>
      <c r="AN33" s="1081"/>
      <c r="AO33" s="465" t="s">
        <v>199</v>
      </c>
    </row>
    <row r="34" spans="1:55" ht="14.1" customHeight="1" x14ac:dyDescent="0.3">
      <c r="A34" s="454"/>
      <c r="B34" s="1082" t="s">
        <v>703</v>
      </c>
      <c r="C34" s="1082"/>
      <c r="D34" s="1082"/>
      <c r="F34" s="1083" t="s">
        <v>109</v>
      </c>
      <c r="G34" s="1083"/>
      <c r="H34" s="1083"/>
      <c r="I34" s="441"/>
      <c r="J34" s="1083" t="s">
        <v>109</v>
      </c>
      <c r="K34" s="1083"/>
      <c r="L34" s="1083"/>
      <c r="M34" s="441"/>
      <c r="N34" s="1083" t="s">
        <v>109</v>
      </c>
      <c r="O34" s="1083"/>
      <c r="P34" s="1083"/>
      <c r="Q34" s="441"/>
      <c r="R34" s="1083" t="s">
        <v>109</v>
      </c>
      <c r="S34" s="1083"/>
      <c r="T34" s="1083"/>
      <c r="U34" s="441"/>
      <c r="V34" s="1083" t="s">
        <v>109</v>
      </c>
      <c r="W34" s="1083"/>
      <c r="X34" s="1083"/>
      <c r="Y34" s="441"/>
      <c r="Z34" s="1083" t="s">
        <v>109</v>
      </c>
      <c r="AA34" s="1083"/>
      <c r="AB34" s="1083"/>
      <c r="AC34" s="441"/>
      <c r="AD34" s="1083" t="s">
        <v>109</v>
      </c>
      <c r="AE34" s="1083"/>
      <c r="AF34" s="1083"/>
      <c r="AG34" s="441"/>
      <c r="AH34" s="1083" t="s">
        <v>109</v>
      </c>
      <c r="AI34" s="1083"/>
      <c r="AJ34" s="1083"/>
      <c r="AK34" s="441"/>
      <c r="AL34" s="1083" t="s">
        <v>109</v>
      </c>
      <c r="AM34" s="1083"/>
      <c r="AN34" s="1083"/>
      <c r="AO34" s="466" t="s">
        <v>199</v>
      </c>
    </row>
    <row r="35" spans="1:55" ht="14.1" customHeight="1" x14ac:dyDescent="0.3">
      <c r="A35" s="454"/>
      <c r="AJ35" s="467"/>
      <c r="AK35" s="467"/>
    </row>
    <row r="36" spans="1:55" ht="14.1" customHeight="1" x14ac:dyDescent="0.3">
      <c r="A36" s="454"/>
      <c r="B36" s="1076" t="s">
        <v>705</v>
      </c>
      <c r="C36" s="1076"/>
      <c r="D36" s="1076"/>
      <c r="E36" s="1076"/>
      <c r="F36" s="1076"/>
      <c r="G36" s="1076"/>
      <c r="H36" s="1076"/>
      <c r="I36" s="1076"/>
      <c r="J36" s="1076"/>
      <c r="K36" s="1076"/>
      <c r="L36" s="1076"/>
      <c r="M36" s="1076"/>
      <c r="N36" s="1076"/>
      <c r="O36" s="1076"/>
      <c r="P36" s="1076"/>
      <c r="Q36" s="1076"/>
      <c r="R36" s="1076"/>
      <c r="S36" s="1076"/>
      <c r="T36" s="1076"/>
      <c r="U36" s="1076"/>
      <c r="V36" s="1076"/>
      <c r="W36" s="1076"/>
      <c r="X36" s="1076"/>
      <c r="Y36" s="1076"/>
      <c r="Z36" s="1076"/>
      <c r="AB36" s="468"/>
      <c r="BC36" s="469"/>
    </row>
    <row r="37" spans="1:55" ht="14.1" customHeight="1" x14ac:dyDescent="0.3">
      <c r="A37" s="454"/>
      <c r="C37" s="469"/>
      <c r="D37" s="469"/>
      <c r="E37" s="469"/>
      <c r="F37" s="469"/>
      <c r="G37" s="469"/>
      <c r="H37" s="469"/>
      <c r="I37" s="469"/>
      <c r="J37" s="469"/>
      <c r="K37" s="469"/>
      <c r="L37" s="469"/>
      <c r="M37" s="469"/>
      <c r="N37" s="469"/>
      <c r="O37" s="469"/>
      <c r="P37" s="469"/>
      <c r="Q37" s="469"/>
      <c r="R37" s="469"/>
      <c r="S37" s="469"/>
      <c r="T37" s="469"/>
      <c r="U37" s="469"/>
      <c r="V37" s="469"/>
      <c r="W37" s="469"/>
      <c r="X37" s="469"/>
      <c r="Y37" s="469"/>
      <c r="Z37" s="469"/>
      <c r="AA37" s="469"/>
      <c r="AB37" s="468"/>
      <c r="BC37" s="469"/>
    </row>
    <row r="38" spans="1:55" ht="14.1" customHeight="1" x14ac:dyDescent="0.3">
      <c r="B38" s="1049" t="s">
        <v>424</v>
      </c>
      <c r="C38" s="1049"/>
      <c r="D38" s="1049"/>
      <c r="E38" s="1049" t="s">
        <v>426</v>
      </c>
      <c r="F38" s="1049"/>
      <c r="G38" s="1049"/>
      <c r="H38" s="1049"/>
      <c r="I38" s="1049"/>
      <c r="J38" s="1049"/>
      <c r="K38" s="1049" t="s">
        <v>706</v>
      </c>
      <c r="L38" s="1049"/>
      <c r="M38" s="1049"/>
      <c r="N38" s="1049"/>
      <c r="O38" s="1049"/>
      <c r="P38" s="1049" t="s">
        <v>707</v>
      </c>
      <c r="Q38" s="1049"/>
      <c r="R38" s="1049"/>
      <c r="S38" s="1049"/>
      <c r="T38" s="1049"/>
      <c r="U38" s="1049"/>
      <c r="V38" s="1049" t="s">
        <v>708</v>
      </c>
      <c r="W38" s="1049"/>
      <c r="X38" s="1049"/>
      <c r="Y38" s="1049"/>
      <c r="Z38" s="1049"/>
      <c r="AA38" s="470"/>
      <c r="AB38" s="470"/>
      <c r="BC38" s="470"/>
    </row>
    <row r="39" spans="1:55" ht="14.1" customHeight="1" x14ac:dyDescent="0.3">
      <c r="B39" s="1077" t="s">
        <v>709</v>
      </c>
      <c r="C39" s="1077"/>
      <c r="D39" s="1077"/>
      <c r="E39" s="1078" t="s">
        <v>710</v>
      </c>
      <c r="F39" s="1078"/>
      <c r="G39" s="1078"/>
      <c r="H39" s="1078"/>
      <c r="I39" s="1078"/>
      <c r="J39" s="1078"/>
      <c r="K39" s="1079" t="s">
        <v>711</v>
      </c>
      <c r="L39" s="1079"/>
      <c r="M39" s="1079"/>
      <c r="N39" s="1079"/>
      <c r="O39" s="1079"/>
      <c r="P39" s="1079" t="s">
        <v>712</v>
      </c>
      <c r="Q39" s="1079"/>
      <c r="R39" s="1079"/>
      <c r="S39" s="1079"/>
      <c r="T39" s="1079"/>
      <c r="U39" s="1079"/>
      <c r="V39" s="1080" t="s">
        <v>713</v>
      </c>
      <c r="W39" s="1080"/>
      <c r="X39" s="1080"/>
      <c r="Y39" s="1080"/>
      <c r="Z39" s="1080"/>
      <c r="BC39" s="471"/>
    </row>
    <row r="40" spans="1:55" ht="14.1" customHeight="1" x14ac:dyDescent="0.3">
      <c r="B40" s="1069" t="s">
        <v>714</v>
      </c>
      <c r="C40" s="1069"/>
      <c r="D40" s="1069"/>
      <c r="E40" s="1070" t="s">
        <v>715</v>
      </c>
      <c r="F40" s="1070"/>
      <c r="G40" s="1070"/>
      <c r="H40" s="1070"/>
      <c r="I40" s="1070"/>
      <c r="J40" s="1070"/>
      <c r="K40" s="1071" t="s">
        <v>716</v>
      </c>
      <c r="L40" s="1071"/>
      <c r="M40" s="1071"/>
      <c r="N40" s="1071"/>
      <c r="O40" s="1071"/>
      <c r="P40" s="1072" t="s">
        <v>717</v>
      </c>
      <c r="Q40" s="1072"/>
      <c r="R40" s="1072"/>
      <c r="S40" s="1072"/>
      <c r="T40" s="1072"/>
      <c r="U40" s="1072"/>
      <c r="V40" s="1073" t="s">
        <v>718</v>
      </c>
      <c r="W40" s="1073"/>
      <c r="X40" s="1073"/>
      <c r="Y40" s="1073"/>
      <c r="Z40" s="1073"/>
      <c r="BC40" s="471"/>
    </row>
    <row r="41" spans="1:55" ht="14.1" customHeight="1" x14ac:dyDescent="0.3">
      <c r="B41" s="1069" t="s">
        <v>719</v>
      </c>
      <c r="C41" s="1069"/>
      <c r="D41" s="1069"/>
      <c r="E41" s="1070" t="s">
        <v>720</v>
      </c>
      <c r="F41" s="1070"/>
      <c r="G41" s="1070"/>
      <c r="H41" s="1070"/>
      <c r="I41" s="1070"/>
      <c r="J41" s="1070"/>
      <c r="K41" s="1074"/>
      <c r="L41" s="1074"/>
      <c r="M41" s="1074"/>
      <c r="N41" s="1074"/>
      <c r="O41" s="1074"/>
      <c r="P41" s="1074"/>
      <c r="Q41" s="1074"/>
      <c r="R41" s="1074"/>
      <c r="S41" s="1074"/>
      <c r="T41" s="1074"/>
      <c r="U41" s="1074"/>
      <c r="V41" s="1075"/>
      <c r="W41" s="1075"/>
      <c r="X41" s="1075"/>
      <c r="Y41" s="1075"/>
      <c r="Z41" s="1075"/>
    </row>
    <row r="42" spans="1:55" ht="14.1" customHeight="1" x14ac:dyDescent="0.3">
      <c r="B42" s="1063"/>
      <c r="C42" s="1063"/>
      <c r="D42" s="1063"/>
      <c r="E42" s="1064" t="s">
        <v>721</v>
      </c>
      <c r="F42" s="1064"/>
      <c r="G42" s="1064"/>
      <c r="H42" s="1064"/>
      <c r="I42" s="1064"/>
      <c r="J42" s="1064"/>
      <c r="K42" s="1065"/>
      <c r="L42" s="1065"/>
      <c r="M42" s="1065"/>
      <c r="N42" s="1065"/>
      <c r="O42" s="1065"/>
      <c r="P42" s="1065"/>
      <c r="Q42" s="1065"/>
      <c r="R42" s="1065"/>
      <c r="S42" s="1065"/>
      <c r="T42" s="1065"/>
      <c r="U42" s="1065"/>
      <c r="V42" s="1066"/>
      <c r="W42" s="1066"/>
      <c r="X42" s="1066"/>
      <c r="Y42" s="1066"/>
      <c r="Z42" s="1066"/>
      <c r="BC42" s="470"/>
    </row>
    <row r="43" spans="1:55" ht="14.1" customHeight="1" x14ac:dyDescent="0.3">
      <c r="AB43" s="468"/>
      <c r="BC43" s="472"/>
    </row>
    <row r="44" spans="1:55" ht="14.1" customHeight="1" x14ac:dyDescent="0.3">
      <c r="B44" s="1049" t="s">
        <v>722</v>
      </c>
      <c r="C44" s="1049"/>
      <c r="D44" s="1049"/>
      <c r="E44" s="1049"/>
      <c r="F44" s="1049"/>
      <c r="G44" s="1049"/>
      <c r="H44" s="1049"/>
      <c r="I44" s="1049"/>
      <c r="J44" s="1049"/>
      <c r="K44" s="1049"/>
      <c r="L44" s="1049"/>
      <c r="M44" s="1049"/>
      <c r="N44" s="1049"/>
      <c r="O44" s="1049"/>
      <c r="P44" s="1049"/>
      <c r="Q44" s="1049"/>
      <c r="R44" s="1049"/>
      <c r="S44" s="1049"/>
      <c r="T44" s="1049"/>
      <c r="U44" s="1049"/>
      <c r="V44" s="1049"/>
      <c r="W44" s="1049"/>
      <c r="X44" s="1049"/>
      <c r="Y44" s="1049"/>
      <c r="Z44" s="1049"/>
      <c r="AA44" s="468"/>
      <c r="AB44" s="468"/>
      <c r="BC44" s="472"/>
    </row>
    <row r="45" spans="1:55" ht="14.1" customHeight="1" x14ac:dyDescent="0.3">
      <c r="B45" s="473" t="s">
        <v>129</v>
      </c>
      <c r="C45" s="1067" t="s">
        <v>723</v>
      </c>
      <c r="D45" s="1067"/>
      <c r="E45" s="1067"/>
      <c r="F45" s="1067"/>
      <c r="G45" s="1067"/>
      <c r="H45" s="1067"/>
      <c r="I45" s="1067"/>
      <c r="J45" s="1067"/>
      <c r="K45" s="1067"/>
      <c r="L45" s="1067"/>
      <c r="M45" s="1067"/>
      <c r="N45" s="1067"/>
      <c r="O45" s="1067"/>
      <c r="P45" s="1067"/>
      <c r="Q45" s="1067"/>
      <c r="R45" s="1067"/>
      <c r="S45" s="1067"/>
      <c r="T45" s="1067"/>
      <c r="U45" s="1067"/>
      <c r="V45" s="1067"/>
      <c r="W45" s="1067"/>
      <c r="X45" s="1067"/>
      <c r="Y45" s="1067"/>
      <c r="Z45" s="1067"/>
    </row>
    <row r="46" spans="1:55" ht="14.1" customHeight="1" x14ac:dyDescent="0.3">
      <c r="B46" s="474" t="s">
        <v>121</v>
      </c>
      <c r="C46" s="1068" t="s">
        <v>724</v>
      </c>
      <c r="D46" s="1068"/>
      <c r="E46" s="1068"/>
      <c r="F46" s="1068"/>
      <c r="G46" s="1068"/>
      <c r="H46" s="1068"/>
      <c r="I46" s="1068"/>
      <c r="J46" s="1068"/>
      <c r="K46" s="1068"/>
      <c r="L46" s="1068"/>
      <c r="M46" s="1068"/>
      <c r="N46" s="1068"/>
      <c r="O46" s="1068"/>
      <c r="P46" s="1068"/>
      <c r="Q46" s="1068"/>
      <c r="R46" s="1068"/>
      <c r="S46" s="1068"/>
      <c r="T46" s="1068"/>
      <c r="U46" s="1068"/>
      <c r="V46" s="1068"/>
      <c r="W46" s="1068"/>
      <c r="X46" s="1068"/>
      <c r="Y46" s="1068"/>
      <c r="Z46" s="1068"/>
      <c r="AB46" s="475"/>
      <c r="BC46" s="470"/>
    </row>
    <row r="47" spans="1:55" ht="14.1" customHeight="1" x14ac:dyDescent="0.3">
      <c r="B47" s="474" t="s">
        <v>697</v>
      </c>
      <c r="C47" s="1068" t="s">
        <v>725</v>
      </c>
      <c r="D47" s="1068"/>
      <c r="E47" s="1068"/>
      <c r="F47" s="1068"/>
      <c r="G47" s="1068"/>
      <c r="H47" s="1068"/>
      <c r="I47" s="1068"/>
      <c r="J47" s="1068"/>
      <c r="K47" s="1068"/>
      <c r="L47" s="1068"/>
      <c r="M47" s="1068"/>
      <c r="N47" s="1068"/>
      <c r="O47" s="1068"/>
      <c r="P47" s="1068"/>
      <c r="Q47" s="1068"/>
      <c r="R47" s="1068"/>
      <c r="S47" s="1068"/>
      <c r="T47" s="1068"/>
      <c r="U47" s="1068"/>
      <c r="V47" s="1068"/>
      <c r="W47" s="1068"/>
      <c r="X47" s="1068"/>
      <c r="Y47" s="1068"/>
      <c r="Z47" s="1068"/>
      <c r="BC47" s="471"/>
    </row>
    <row r="48" spans="1:55" ht="14.1" customHeight="1" x14ac:dyDescent="0.3">
      <c r="B48" s="476" t="s">
        <v>704</v>
      </c>
      <c r="C48" s="1058" t="s">
        <v>726</v>
      </c>
      <c r="D48" s="1058"/>
      <c r="E48" s="1058"/>
      <c r="F48" s="1058"/>
      <c r="G48" s="1058"/>
      <c r="H48" s="1058"/>
      <c r="I48" s="1058"/>
      <c r="J48" s="1058"/>
      <c r="K48" s="1058"/>
      <c r="L48" s="1058"/>
      <c r="M48" s="1058"/>
      <c r="N48" s="1058"/>
      <c r="O48" s="1058"/>
      <c r="P48" s="1058"/>
      <c r="Q48" s="1058"/>
      <c r="R48" s="1058"/>
      <c r="S48" s="1058"/>
      <c r="T48" s="1058"/>
      <c r="U48" s="1058"/>
      <c r="V48" s="1058"/>
      <c r="W48" s="1058"/>
      <c r="X48" s="1058"/>
      <c r="Y48" s="1058"/>
      <c r="Z48" s="1058"/>
      <c r="AA48" s="468"/>
      <c r="AB48" s="468"/>
      <c r="BC48" s="471"/>
    </row>
    <row r="50" spans="2:31" ht="14.1" customHeight="1" x14ac:dyDescent="0.3">
      <c r="B50" s="1059" t="s">
        <v>727</v>
      </c>
      <c r="C50" s="1059"/>
      <c r="D50" s="1059"/>
      <c r="E50" s="1059"/>
      <c r="F50" s="1059"/>
      <c r="G50" s="1059"/>
      <c r="H50" s="1059"/>
      <c r="I50" s="1059"/>
      <c r="J50" s="1059"/>
      <c r="K50" s="1059"/>
      <c r="L50" s="1059"/>
      <c r="M50" s="1059"/>
      <c r="N50" s="1059"/>
      <c r="O50" s="1059"/>
      <c r="P50" s="1059"/>
      <c r="Q50" s="1059"/>
      <c r="R50" s="1059"/>
      <c r="S50" s="1059"/>
      <c r="T50" s="1059"/>
      <c r="U50" s="1059"/>
      <c r="V50" s="1059"/>
      <c r="W50" s="1059"/>
      <c r="X50" s="1059"/>
      <c r="Y50" s="1059"/>
      <c r="Z50" s="1059"/>
      <c r="AA50" s="468"/>
    </row>
    <row r="51" spans="2:31" ht="14.1" customHeight="1" x14ac:dyDescent="0.3">
      <c r="B51" s="468"/>
      <c r="C51" s="468"/>
      <c r="D51" s="468"/>
      <c r="E51" s="468"/>
      <c r="F51" s="468"/>
      <c r="G51" s="468"/>
      <c r="H51" s="468"/>
      <c r="I51" s="468"/>
      <c r="J51" s="468"/>
      <c r="K51" s="468"/>
      <c r="L51" s="468"/>
      <c r="M51" s="469"/>
      <c r="N51" s="469"/>
      <c r="O51" s="469"/>
      <c r="P51" s="469"/>
      <c r="Q51" s="469"/>
      <c r="R51" s="469"/>
      <c r="S51" s="469"/>
      <c r="T51" s="469"/>
      <c r="U51" s="469"/>
      <c r="V51" s="469"/>
      <c r="W51" s="469"/>
      <c r="X51" s="469"/>
      <c r="Y51" s="469"/>
      <c r="Z51" s="469"/>
      <c r="AA51" s="469"/>
    </row>
    <row r="52" spans="2:31" ht="14.1" customHeight="1" x14ac:dyDescent="0.3">
      <c r="B52" s="1060" t="s">
        <v>703</v>
      </c>
      <c r="C52" s="1060"/>
      <c r="D52" s="1060"/>
      <c r="E52" s="1060"/>
      <c r="F52" s="1049" t="s">
        <v>728</v>
      </c>
      <c r="G52" s="1049"/>
      <c r="H52" s="1049"/>
      <c r="I52" s="1049"/>
      <c r="J52" s="1049" t="s">
        <v>729</v>
      </c>
      <c r="K52" s="1049"/>
      <c r="L52" s="1049"/>
      <c r="M52" s="1049"/>
      <c r="N52" s="1049" t="s">
        <v>730</v>
      </c>
      <c r="O52" s="1049"/>
      <c r="P52" s="1049"/>
      <c r="Q52" s="1049"/>
      <c r="R52" s="1049" t="s">
        <v>731</v>
      </c>
      <c r="S52" s="1049"/>
      <c r="T52" s="1049"/>
      <c r="U52" s="1049"/>
      <c r="V52" s="1049" t="s">
        <v>732</v>
      </c>
      <c r="W52" s="1049"/>
      <c r="X52" s="1049"/>
      <c r="Y52" s="1049"/>
      <c r="Z52" s="1049"/>
      <c r="AA52" s="470"/>
    </row>
    <row r="53" spans="2:31" ht="14.1" customHeight="1" x14ac:dyDescent="0.3">
      <c r="B53" s="1061" t="s">
        <v>733</v>
      </c>
      <c r="C53" s="1061"/>
      <c r="D53" s="1061"/>
      <c r="E53" s="1061"/>
      <c r="F53" s="1051" t="s">
        <v>734</v>
      </c>
      <c r="G53" s="1051"/>
      <c r="H53" s="1051"/>
      <c r="I53" s="1051"/>
      <c r="J53" s="1052" t="s">
        <v>735</v>
      </c>
      <c r="K53" s="1052"/>
      <c r="L53" s="1052"/>
      <c r="M53" s="1052"/>
      <c r="N53" s="1052" t="s">
        <v>736</v>
      </c>
      <c r="O53" s="1052"/>
      <c r="P53" s="1052"/>
      <c r="Q53" s="1052"/>
      <c r="R53" s="1052" t="s">
        <v>737</v>
      </c>
      <c r="S53" s="1052"/>
      <c r="T53" s="1052"/>
      <c r="U53" s="1052"/>
      <c r="V53" s="1062" t="s">
        <v>738</v>
      </c>
      <c r="W53" s="1062"/>
      <c r="X53" s="1062"/>
      <c r="Y53" s="1062"/>
      <c r="Z53" s="1062"/>
      <c r="AA53" s="475"/>
      <c r="AE53" s="477"/>
    </row>
    <row r="54" spans="2:31" ht="14.1" customHeight="1" x14ac:dyDescent="0.3">
      <c r="B54" s="1061"/>
      <c r="C54" s="1061"/>
      <c r="D54" s="1061"/>
      <c r="E54" s="1061"/>
      <c r="F54" s="1051"/>
      <c r="G54" s="1051"/>
      <c r="H54" s="1051"/>
      <c r="I54" s="1051"/>
      <c r="J54" s="1052"/>
      <c r="K54" s="1052"/>
      <c r="L54" s="1052"/>
      <c r="M54" s="1052"/>
      <c r="N54" s="1052"/>
      <c r="O54" s="1052"/>
      <c r="P54" s="1052"/>
      <c r="Q54" s="1052"/>
      <c r="R54" s="1052"/>
      <c r="S54" s="1052"/>
      <c r="T54" s="1052"/>
      <c r="U54" s="1052"/>
      <c r="V54" s="1062"/>
      <c r="W54" s="1062"/>
      <c r="X54" s="1062"/>
      <c r="Y54" s="1062"/>
      <c r="Z54" s="1062"/>
      <c r="AA54" s="475"/>
      <c r="AE54" s="468"/>
    </row>
    <row r="55" spans="2:31" ht="14.1" customHeight="1" x14ac:dyDescent="0.3">
      <c r="K55" s="468"/>
      <c r="L55" s="468"/>
      <c r="M55" s="472"/>
      <c r="N55" s="472"/>
      <c r="O55" s="472"/>
      <c r="P55" s="472"/>
      <c r="AE55" s="468"/>
    </row>
    <row r="56" spans="2:31" ht="14.1" customHeight="1" x14ac:dyDescent="0.3">
      <c r="B56" s="1049" t="s">
        <v>739</v>
      </c>
      <c r="C56" s="1049"/>
      <c r="D56" s="1049"/>
      <c r="E56" s="1049"/>
      <c r="F56" s="1049" t="s">
        <v>740</v>
      </c>
      <c r="G56" s="1049"/>
      <c r="H56" s="1049"/>
      <c r="I56" s="1049" t="s">
        <v>741</v>
      </c>
      <c r="J56" s="1049"/>
      <c r="K56" s="1049"/>
      <c r="L56" s="1049" t="s">
        <v>742</v>
      </c>
      <c r="M56" s="1049"/>
      <c r="N56" s="1049"/>
      <c r="O56" s="1049" t="s">
        <v>743</v>
      </c>
      <c r="P56" s="1049"/>
      <c r="Q56" s="1049"/>
      <c r="R56" s="1049" t="s">
        <v>744</v>
      </c>
      <c r="S56" s="1049"/>
      <c r="T56" s="1049"/>
      <c r="U56" s="1049"/>
      <c r="V56" s="478"/>
      <c r="W56" s="470"/>
      <c r="X56" s="470"/>
      <c r="Y56" s="470"/>
      <c r="Z56" s="478"/>
      <c r="AA56" s="470"/>
      <c r="AE56" s="468"/>
    </row>
    <row r="57" spans="2:31" ht="14.1" customHeight="1" x14ac:dyDescent="0.3">
      <c r="B57" s="1050" t="s">
        <v>745</v>
      </c>
      <c r="C57" s="1050"/>
      <c r="D57" s="1050"/>
      <c r="E57" s="1050"/>
      <c r="F57" s="1054">
        <v>-2</v>
      </c>
      <c r="G57" s="1054"/>
      <c r="H57" s="1054"/>
      <c r="I57" s="1054">
        <v>-1</v>
      </c>
      <c r="J57" s="1054"/>
      <c r="K57" s="1054"/>
      <c r="L57" s="1055">
        <v>0</v>
      </c>
      <c r="M57" s="1055"/>
      <c r="N57" s="1055"/>
      <c r="O57" s="1056" t="s">
        <v>746</v>
      </c>
      <c r="P57" s="1056"/>
      <c r="Q57" s="1056"/>
      <c r="R57" s="1057" t="s">
        <v>747</v>
      </c>
      <c r="S57" s="1057"/>
      <c r="T57" s="1057"/>
      <c r="U57" s="1057"/>
      <c r="V57" s="479"/>
      <c r="W57" s="472"/>
      <c r="X57" s="472"/>
      <c r="Y57" s="472"/>
      <c r="Z57" s="479"/>
      <c r="AA57" s="472"/>
    </row>
    <row r="58" spans="2:31" ht="14.1" customHeight="1" x14ac:dyDescent="0.3">
      <c r="B58" s="1050"/>
      <c r="C58" s="1050"/>
      <c r="D58" s="1050"/>
      <c r="E58" s="1050"/>
      <c r="F58" s="1054"/>
      <c r="G58" s="1054"/>
      <c r="H58" s="1054"/>
      <c r="I58" s="1054"/>
      <c r="J58" s="1054"/>
      <c r="K58" s="1054"/>
      <c r="L58" s="1055"/>
      <c r="M58" s="1055"/>
      <c r="N58" s="1055"/>
      <c r="O58" s="1056"/>
      <c r="P58" s="1056"/>
      <c r="Q58" s="1056"/>
      <c r="R58" s="1057"/>
      <c r="S58" s="1057"/>
      <c r="T58" s="1057"/>
      <c r="U58" s="1057"/>
      <c r="V58" s="479"/>
      <c r="W58" s="472"/>
      <c r="X58" s="472"/>
      <c r="Y58" s="472"/>
      <c r="Z58" s="479"/>
      <c r="AA58" s="472"/>
    </row>
    <row r="59" spans="2:31" ht="14.1" customHeight="1" x14ac:dyDescent="0.3">
      <c r="H59" s="468"/>
      <c r="I59" s="468"/>
      <c r="J59" s="468"/>
      <c r="K59" s="468"/>
      <c r="L59" s="468"/>
    </row>
    <row r="60" spans="2:31" ht="14.1" customHeight="1" x14ac:dyDescent="0.3">
      <c r="B60" s="1049" t="s">
        <v>748</v>
      </c>
      <c r="C60" s="1049"/>
      <c r="D60" s="1049"/>
      <c r="E60" s="1049"/>
      <c r="F60" s="1049" t="s">
        <v>327</v>
      </c>
      <c r="G60" s="1049"/>
      <c r="H60" s="1049"/>
      <c r="I60" s="1049"/>
      <c r="J60" s="1049" t="s">
        <v>749</v>
      </c>
      <c r="K60" s="1049"/>
      <c r="L60" s="1049"/>
      <c r="M60" s="1049"/>
      <c r="N60" s="1049"/>
      <c r="O60" s="1049" t="s">
        <v>330</v>
      </c>
      <c r="P60" s="1049"/>
      <c r="Q60" s="1049"/>
      <c r="R60" s="478"/>
      <c r="S60" s="470"/>
      <c r="T60" s="470"/>
      <c r="U60" s="470"/>
      <c r="V60" s="478"/>
      <c r="W60" s="470"/>
      <c r="X60" s="470"/>
      <c r="Y60" s="470"/>
      <c r="Z60" s="470"/>
      <c r="AA60" s="470"/>
    </row>
    <row r="61" spans="2:31" ht="14.1" customHeight="1" x14ac:dyDescent="0.3">
      <c r="B61" s="1050" t="s">
        <v>750</v>
      </c>
      <c r="C61" s="1050"/>
      <c r="D61" s="1050"/>
      <c r="E61" s="1050"/>
      <c r="F61" s="1051" t="s">
        <v>751</v>
      </c>
      <c r="G61" s="1051"/>
      <c r="H61" s="1051"/>
      <c r="I61" s="1051"/>
      <c r="J61" s="1052" t="s">
        <v>752</v>
      </c>
      <c r="K61" s="1052"/>
      <c r="L61" s="1052"/>
      <c r="M61" s="1052"/>
      <c r="N61" s="1052"/>
      <c r="O61" s="1053" t="s">
        <v>753</v>
      </c>
      <c r="P61" s="1053"/>
      <c r="Q61" s="1053"/>
      <c r="R61" s="479"/>
      <c r="S61" s="471"/>
      <c r="T61" s="471"/>
      <c r="U61" s="471"/>
      <c r="V61" s="480"/>
      <c r="W61" s="471"/>
      <c r="X61" s="471"/>
      <c r="Y61" s="471"/>
      <c r="Z61" s="471"/>
      <c r="AA61" s="471"/>
    </row>
    <row r="62" spans="2:31" ht="14.1" customHeight="1" x14ac:dyDescent="0.3">
      <c r="B62" s="1050"/>
      <c r="C62" s="1050"/>
      <c r="D62" s="1050"/>
      <c r="E62" s="1050"/>
      <c r="F62" s="1051"/>
      <c r="G62" s="1051"/>
      <c r="H62" s="1051"/>
      <c r="I62" s="1051"/>
      <c r="J62" s="1052"/>
      <c r="K62" s="1052"/>
      <c r="L62" s="1052"/>
      <c r="M62" s="1052"/>
      <c r="N62" s="1052"/>
      <c r="O62" s="1053"/>
      <c r="P62" s="1053"/>
      <c r="Q62" s="1053"/>
      <c r="R62" s="479"/>
      <c r="S62" s="471"/>
      <c r="T62" s="471"/>
      <c r="U62" s="471"/>
      <c r="V62" s="480"/>
      <c r="W62" s="471"/>
      <c r="X62" s="471"/>
      <c r="Y62" s="471"/>
      <c r="Z62" s="471"/>
      <c r="AA62" s="471"/>
    </row>
  </sheetData>
  <mergeCells count="150">
    <mergeCell ref="B2:D2"/>
    <mergeCell ref="F2:H2"/>
    <mergeCell ref="J2:L2"/>
    <mergeCell ref="N2:P2"/>
    <mergeCell ref="R2:T2"/>
    <mergeCell ref="V2:X2"/>
    <mergeCell ref="Z2:AB2"/>
    <mergeCell ref="AD2:AF2"/>
    <mergeCell ref="AH2:AJ2"/>
    <mergeCell ref="C3:D3"/>
    <mergeCell ref="B4:C4"/>
    <mergeCell ref="F4:H4"/>
    <mergeCell ref="J4:L4"/>
    <mergeCell ref="N4:P4"/>
    <mergeCell ref="R4:T4"/>
    <mergeCell ref="V4:X4"/>
    <mergeCell ref="Z4:AB4"/>
    <mergeCell ref="AD4:AF4"/>
    <mergeCell ref="AH4:AJ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D16"/>
    <mergeCell ref="F16:H16"/>
    <mergeCell ref="J16:L16"/>
    <mergeCell ref="N16:P16"/>
    <mergeCell ref="R16:T16"/>
    <mergeCell ref="V16:X16"/>
    <mergeCell ref="Z16:AB16"/>
    <mergeCell ref="AD16:AF16"/>
    <mergeCell ref="AH16:AJ16"/>
    <mergeCell ref="B17:D17"/>
    <mergeCell ref="F17:H17"/>
    <mergeCell ref="J17:L17"/>
    <mergeCell ref="N17:P17"/>
    <mergeCell ref="R17:T17"/>
    <mergeCell ref="V17:X17"/>
    <mergeCell ref="Z17:AB17"/>
    <mergeCell ref="AD17:AF17"/>
    <mergeCell ref="AH17:AJ17"/>
    <mergeCell ref="F19:H19"/>
    <mergeCell ref="J19:L19"/>
    <mergeCell ref="N19:P19"/>
    <mergeCell ref="R19:T19"/>
    <mergeCell ref="V19:X19"/>
    <mergeCell ref="Z19:AB19"/>
    <mergeCell ref="AD19:AF19"/>
    <mergeCell ref="AH19:AJ19"/>
    <mergeCell ref="AL19:AO19"/>
    <mergeCell ref="F21:H21"/>
    <mergeCell ref="J21:L21"/>
    <mergeCell ref="N21:P21"/>
    <mergeCell ref="R21:T21"/>
    <mergeCell ref="V21:X21"/>
    <mergeCell ref="Z21:AB21"/>
    <mergeCell ref="AD21:AF21"/>
    <mergeCell ref="AH21:AJ21"/>
    <mergeCell ref="AL21:AO21"/>
    <mergeCell ref="AL33:AN33"/>
    <mergeCell ref="B34:D34"/>
    <mergeCell ref="F34:H34"/>
    <mergeCell ref="J34:L34"/>
    <mergeCell ref="N34:P34"/>
    <mergeCell ref="R34:T34"/>
    <mergeCell ref="V34:X34"/>
    <mergeCell ref="Z34:AB34"/>
    <mergeCell ref="AD34:AF34"/>
    <mergeCell ref="AH34:AJ34"/>
    <mergeCell ref="AL34:AN34"/>
    <mergeCell ref="B33:D33"/>
    <mergeCell ref="F33:H33"/>
    <mergeCell ref="J33:L33"/>
    <mergeCell ref="N33:P33"/>
    <mergeCell ref="R33:T33"/>
    <mergeCell ref="V33:X33"/>
    <mergeCell ref="Z33:AB33"/>
    <mergeCell ref="AD33:AF33"/>
    <mergeCell ref="AH33:AJ33"/>
    <mergeCell ref="B36:Z36"/>
    <mergeCell ref="B38:D38"/>
    <mergeCell ref="E38:J38"/>
    <mergeCell ref="K38:O38"/>
    <mergeCell ref="P38:U38"/>
    <mergeCell ref="V38:Z38"/>
    <mergeCell ref="B39:D39"/>
    <mergeCell ref="E39:J39"/>
    <mergeCell ref="K39:O39"/>
    <mergeCell ref="P39:U39"/>
    <mergeCell ref="V39:Z39"/>
    <mergeCell ref="B40:D40"/>
    <mergeCell ref="E40:J40"/>
    <mergeCell ref="K40:O40"/>
    <mergeCell ref="P40:U40"/>
    <mergeCell ref="V40:Z40"/>
    <mergeCell ref="B41:D41"/>
    <mergeCell ref="E41:J41"/>
    <mergeCell ref="K41:O41"/>
    <mergeCell ref="P41:U41"/>
    <mergeCell ref="V41:Z41"/>
    <mergeCell ref="B42:D42"/>
    <mergeCell ref="E42:J42"/>
    <mergeCell ref="K42:O42"/>
    <mergeCell ref="P42:U42"/>
    <mergeCell ref="V42:Z42"/>
    <mergeCell ref="B44:Z44"/>
    <mergeCell ref="C45:Z45"/>
    <mergeCell ref="C46:Z46"/>
    <mergeCell ref="C47:Z47"/>
    <mergeCell ref="R56:U56"/>
    <mergeCell ref="B57:E58"/>
    <mergeCell ref="F57:H58"/>
    <mergeCell ref="I57:K58"/>
    <mergeCell ref="L57:N58"/>
    <mergeCell ref="O57:Q58"/>
    <mergeCell ref="R57:U58"/>
    <mergeCell ref="C48:Z48"/>
    <mergeCell ref="B50:Z50"/>
    <mergeCell ref="B52:E52"/>
    <mergeCell ref="F52:I52"/>
    <mergeCell ref="J52:M52"/>
    <mergeCell ref="N52:Q52"/>
    <mergeCell ref="R52:U52"/>
    <mergeCell ref="V52:Z52"/>
    <mergeCell ref="B53:E54"/>
    <mergeCell ref="F53:I54"/>
    <mergeCell ref="J53:M54"/>
    <mergeCell ref="N53:Q54"/>
    <mergeCell ref="R53:U54"/>
    <mergeCell ref="V53:Z54"/>
    <mergeCell ref="B60:E60"/>
    <mergeCell ref="F60:I60"/>
    <mergeCell ref="J60:N60"/>
    <mergeCell ref="O60:Q60"/>
    <mergeCell ref="B61:E62"/>
    <mergeCell ref="F61:I62"/>
    <mergeCell ref="J61:N62"/>
    <mergeCell ref="O61:Q62"/>
    <mergeCell ref="B56:E56"/>
    <mergeCell ref="F56:H56"/>
    <mergeCell ref="I56:K56"/>
    <mergeCell ref="L56:N56"/>
    <mergeCell ref="O56:Q5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CC4E-6E49-41B6-BC71-F332EA6A8ADB}">
  <sheetPr codeName="Planilha3">
    <tabColor rgb="FF00B050"/>
  </sheetPr>
  <dimension ref="A1:BI102"/>
  <sheetViews>
    <sheetView showGridLines="0" zoomScale="90" zoomScaleNormal="90" workbookViewId="0">
      <selection activeCell="L27" sqref="L27:M27"/>
    </sheetView>
  </sheetViews>
  <sheetFormatPr defaultRowHeight="14.4" x14ac:dyDescent="0.3"/>
  <cols>
    <col min="1" max="1" width="1.5546875" customWidth="1"/>
    <col min="2" max="3" width="10.44140625" customWidth="1"/>
    <col min="4" max="4" width="9.44140625" customWidth="1"/>
    <col min="5" max="5" width="7" customWidth="1"/>
    <col min="6" max="6" width="7.5546875" customWidth="1"/>
    <col min="7" max="7" width="6.109375" bestFit="1" customWidth="1"/>
    <col min="8" max="8" width="6.5546875" hidden="1" customWidth="1"/>
    <col min="9" max="9" width="5.88671875" customWidth="1"/>
    <col min="10" max="10" width="6.44140625" customWidth="1"/>
    <col min="11" max="11" width="3" customWidth="1"/>
    <col min="12" max="12" width="10.88671875" customWidth="1"/>
    <col min="13" max="13" width="9.5546875" customWidth="1"/>
    <col min="14" max="14" width="8.44140625" customWidth="1"/>
    <col min="15" max="15" width="6.88671875" customWidth="1"/>
    <col min="16" max="16" width="7.44140625" customWidth="1"/>
    <col min="17" max="17" width="6.44140625" customWidth="1"/>
    <col min="18" max="18" width="6.5546875" hidden="1" customWidth="1"/>
    <col min="19" max="19" width="6.109375" customWidth="1"/>
    <col min="20" max="20" width="5.5546875" customWidth="1"/>
    <col min="21" max="21" width="3" customWidth="1"/>
    <col min="22" max="22" width="11.109375" customWidth="1"/>
    <col min="23" max="23" width="9.44140625" customWidth="1"/>
    <col min="24" max="24" width="8.44140625" customWidth="1"/>
    <col min="25" max="26" width="6.5546875" customWidth="1"/>
    <col min="27" max="27" width="5.88671875" customWidth="1"/>
    <col min="28" max="28" width="6.5546875" hidden="1" customWidth="1"/>
    <col min="29" max="30" width="5.5546875" customWidth="1"/>
    <col min="31" max="31" width="2.109375" customWidth="1"/>
    <col min="32" max="32" width="10.5546875" customWidth="1"/>
    <col min="33" max="33" width="10" customWidth="1"/>
    <col min="37" max="37" width="5.88671875" customWidth="1"/>
    <col min="38" max="38" width="6.5546875" hidden="1" customWidth="1"/>
    <col min="39" max="39" width="6" customWidth="1"/>
    <col min="40" max="40" width="5.88671875" customWidth="1"/>
    <col min="41" max="41" width="2.109375" customWidth="1"/>
    <col min="42" max="42" width="10.5546875" customWidth="1"/>
    <col min="43" max="43" width="9.88671875" customWidth="1"/>
    <col min="47" max="47" width="6.44140625" bestFit="1" customWidth="1"/>
    <col min="48" max="48" width="6.5546875" hidden="1" customWidth="1"/>
    <col min="49" max="49" width="5.5546875" customWidth="1"/>
    <col min="50" max="50" width="7" customWidth="1"/>
    <col min="51" max="51" width="2.5546875" customWidth="1"/>
    <col min="57" max="57" width="6.44140625" customWidth="1"/>
    <col min="58" max="58" width="6.5546875" hidden="1" customWidth="1"/>
    <col min="59" max="59" width="7" customWidth="1"/>
    <col min="60" max="60" width="5.5546875" customWidth="1"/>
    <col min="61" max="61" width="3.44140625" customWidth="1"/>
  </cols>
  <sheetData>
    <row r="1" spans="1:61" ht="42" customHeight="1" thickBot="1" x14ac:dyDescent="0.35">
      <c r="A1" s="733"/>
      <c r="B1" s="1090"/>
      <c r="C1" s="1091"/>
      <c r="D1" s="733"/>
      <c r="E1" s="1092"/>
      <c r="F1" s="1093"/>
      <c r="G1" s="1093"/>
      <c r="H1" s="1093"/>
      <c r="I1" s="733"/>
      <c r="J1" s="1094"/>
      <c r="K1" s="1095"/>
      <c r="L1" s="1096"/>
      <c r="M1" s="733"/>
      <c r="N1" s="1097"/>
      <c r="O1" s="1098"/>
      <c r="P1" s="1099"/>
      <c r="Q1" s="733"/>
      <c r="R1" s="733"/>
      <c r="S1" s="733"/>
      <c r="T1" s="733"/>
      <c r="U1" s="733"/>
      <c r="V1" s="733"/>
      <c r="W1" s="733"/>
      <c r="X1" s="733"/>
      <c r="Y1" s="733"/>
      <c r="Z1" s="733"/>
      <c r="AA1" s="733"/>
      <c r="AB1" s="733"/>
      <c r="AC1" s="733"/>
      <c r="AD1" s="733"/>
      <c r="AE1" s="733"/>
      <c r="AF1" s="733"/>
      <c r="AG1" s="733"/>
      <c r="AH1" s="733"/>
      <c r="AI1" s="733"/>
      <c r="AJ1" s="733"/>
      <c r="AK1" s="733"/>
      <c r="AL1" s="733"/>
      <c r="AM1" s="733"/>
      <c r="AN1" s="733"/>
      <c r="AO1" s="733"/>
      <c r="AP1" s="733"/>
      <c r="AQ1" s="733"/>
      <c r="AR1" s="733"/>
      <c r="AS1" s="733"/>
      <c r="AT1" s="733"/>
      <c r="AU1" s="733"/>
      <c r="AV1" s="733"/>
      <c r="AW1" s="733"/>
      <c r="AX1" s="733"/>
      <c r="AY1" s="733"/>
      <c r="AZ1" s="733"/>
      <c r="BA1" s="733"/>
      <c r="BB1" s="733"/>
      <c r="BC1" s="733"/>
      <c r="BD1" s="733"/>
      <c r="BE1" s="733"/>
      <c r="BF1" s="733"/>
      <c r="BG1" s="733"/>
      <c r="BH1" s="733"/>
      <c r="BI1" s="733"/>
    </row>
    <row r="2" spans="1:61" ht="14.4" customHeight="1" x14ac:dyDescent="0.3">
      <c r="A2" s="733"/>
      <c r="B2" s="733"/>
      <c r="C2" s="733"/>
      <c r="D2" s="733"/>
      <c r="E2" s="733"/>
      <c r="F2" s="733"/>
      <c r="G2" s="733"/>
      <c r="H2" s="733"/>
      <c r="I2" s="733"/>
      <c r="J2" s="733"/>
      <c r="K2" s="733"/>
      <c r="L2" s="733"/>
      <c r="M2" s="733"/>
      <c r="N2" s="733"/>
      <c r="O2" s="733"/>
      <c r="P2" s="733"/>
      <c r="Q2" s="733"/>
      <c r="R2" s="733"/>
      <c r="S2" s="733"/>
      <c r="T2" s="733"/>
      <c r="U2" s="733"/>
      <c r="V2" s="733"/>
      <c r="W2" s="733"/>
      <c r="X2" s="733"/>
      <c r="Y2" s="733"/>
      <c r="Z2" s="733"/>
      <c r="AA2" s="733"/>
      <c r="AB2" s="733"/>
      <c r="AC2" s="733"/>
      <c r="AD2" s="733"/>
      <c r="AE2" s="733"/>
      <c r="AF2" s="733"/>
      <c r="AG2" s="733"/>
      <c r="AH2" s="733"/>
      <c r="AI2" s="733"/>
      <c r="AJ2" s="733"/>
      <c r="AK2" s="733"/>
      <c r="AL2" s="733"/>
      <c r="AM2" s="733"/>
      <c r="AN2" s="733"/>
      <c r="AO2" s="733"/>
      <c r="AP2" s="733"/>
      <c r="AQ2" s="733"/>
      <c r="AR2" s="733"/>
      <c r="AS2" s="733"/>
      <c r="AT2" s="733"/>
      <c r="AU2" s="733"/>
      <c r="AV2" s="733"/>
      <c r="AW2" s="733"/>
      <c r="AX2" s="733"/>
      <c r="AY2" s="733"/>
      <c r="AZ2" s="733"/>
      <c r="BA2" s="733"/>
      <c r="BB2" s="733"/>
      <c r="BC2" s="733"/>
      <c r="BD2" s="733"/>
      <c r="BE2" s="733"/>
      <c r="BF2" s="733"/>
      <c r="BG2" s="733"/>
      <c r="BH2" s="733"/>
      <c r="BI2" s="733"/>
    </row>
    <row r="3" spans="1:61" ht="23.1" customHeight="1" x14ac:dyDescent="0.4">
      <c r="B3" s="1089" t="s">
        <v>836</v>
      </c>
      <c r="C3" s="1089"/>
      <c r="F3" s="1139" t="s">
        <v>868</v>
      </c>
      <c r="G3" s="1139"/>
      <c r="H3" s="1139"/>
      <c r="I3" s="1139"/>
      <c r="L3" s="1139" t="s">
        <v>886</v>
      </c>
      <c r="M3" s="1139"/>
      <c r="O3" s="1089" t="s">
        <v>887</v>
      </c>
      <c r="P3" s="1089"/>
      <c r="Q3" s="1089"/>
      <c r="S3" s="734"/>
      <c r="T3" s="734"/>
      <c r="U3" s="1089" t="s">
        <v>903</v>
      </c>
      <c r="V3" s="1089"/>
      <c r="W3" s="1089"/>
    </row>
    <row r="4" spans="1:61" ht="23.1" customHeight="1" x14ac:dyDescent="0.3">
      <c r="B4" s="1109">
        <v>900000</v>
      </c>
      <c r="C4" s="1109"/>
      <c r="D4" s="1110"/>
      <c r="E4" s="1110"/>
      <c r="F4" s="1100"/>
      <c r="G4" s="1100"/>
      <c r="H4" s="1100"/>
      <c r="I4" s="1100"/>
      <c r="K4" s="713"/>
      <c r="L4" s="1111" t="s">
        <v>344</v>
      </c>
      <c r="M4" s="1111"/>
      <c r="O4" s="1100">
        <v>10280829</v>
      </c>
      <c r="P4" s="1100"/>
      <c r="Q4" s="1100"/>
      <c r="S4" s="735"/>
      <c r="T4" s="735"/>
      <c r="U4" s="1100">
        <f>O4-E24-D25-E26-D27-E28-E29-D30-D31-D32+D33+E34+E35+E36-N23-O24-N25-O26-N27-O28-O29-N30-N31-N32+N33+O34+O35+O36+O37-X23-Y24-X25-Y26-X27-Y28-Y29-X30-X31-X32+X33+Y34+Y35+Y36-AH23-AI24-AH25-AI26-AH27-AI28-AI29-AH30-AH31-AH32+AH33+AI34+AI35+AI36-AR23-AS24-AR25-AS26-AR27-AS28-AS29-AR30-AR31-AR32+AR33+AS34+AS35+AS36+AS37-BB23-BC24-BB25-BC26-BB27-BC28-BC29-BB30-BB31-BB32+BB33+BC34+BC35+BC36-D55-E56-D57-E58-D59-E60-E61-D62-D63-D64+D65+E66+E67+E68-N55-O56-N57-O58-N59-O60-O61-N62-N63-N64+N65+O66+O67+O68+O69-X55-Y56-X57-Y58-X59-Y60-Y61-X62-X63-X64+X65+Y66+Y67+Y68-AH55-AI56-AH57-AI58-AH59-AI60-AI61-AH62-AH63-AH64+AH65+AI66+AI67+AI68-AR55-AS56-AR57-AS58-AR59-AS60-AS61-AR62-AR63-AR64+AR65+AS66+AS67+AS68+AS69-BB55-BC56-BB57-BC58-BB59-BC60-BC61-BB62-BB63-BB64+BB65+BC66+BC67+BL100-D87-E88-D89-E90-D91-E92-E93-D94-D95-D96+D97+E98+E99+E100-N87-O88-N89-O90-N91-O92-O93-N94-N95-N96+N97+O98+O99+O100+O101-X87-Y88-X89-Y90-X91-Y92-Y93-X94-X95-X96+X97+Y98+Y99+Y100-AH87-AI88-AH89-AI90-AH91-AI92-AI93-AH94-AH95-AH96+AH97+AI98+AI99+AI100-AR87-AS88-AR89-AS90-AR91-AS92-AS93-AR94-AR95-AR96+AR97+AS98+AS99+AS100+AS101</f>
        <v>-24462529.999999993</v>
      </c>
      <c r="V4" s="1100"/>
      <c r="W4" s="1100"/>
    </row>
    <row r="5" spans="1:61" x14ac:dyDescent="0.3">
      <c r="B5" s="719"/>
      <c r="C5" s="719"/>
      <c r="D5" s="720"/>
      <c r="E5" s="720"/>
      <c r="F5" s="718"/>
      <c r="G5" s="718"/>
      <c r="I5" s="720"/>
      <c r="J5" s="720"/>
      <c r="K5" s="713"/>
      <c r="L5" s="712"/>
      <c r="M5" s="712"/>
      <c r="O5" s="718"/>
      <c r="P5" s="718"/>
      <c r="S5" s="718"/>
      <c r="T5" s="718"/>
    </row>
    <row r="6" spans="1:61" x14ac:dyDescent="0.3">
      <c r="B6" s="719"/>
      <c r="C6" s="719"/>
      <c r="D6" s="720"/>
      <c r="E6" s="720"/>
      <c r="F6" s="718"/>
      <c r="G6" s="718"/>
      <c r="I6" s="720"/>
      <c r="J6" s="720"/>
      <c r="K6" s="713"/>
      <c r="L6" s="712"/>
      <c r="M6" s="712"/>
      <c r="O6" s="718"/>
      <c r="P6" s="718"/>
      <c r="S6" s="718"/>
      <c r="T6" s="718"/>
    </row>
    <row r="7" spans="1:61" x14ac:dyDescent="0.3">
      <c r="A7" s="721"/>
      <c r="B7" s="722"/>
      <c r="C7" s="722"/>
      <c r="D7" s="723"/>
      <c r="E7" s="723"/>
      <c r="F7" s="724"/>
      <c r="G7" s="724"/>
      <c r="H7" s="721"/>
      <c r="I7" s="723"/>
      <c r="J7" s="723"/>
      <c r="K7" s="725"/>
      <c r="L7" s="726"/>
      <c r="M7" s="726"/>
      <c r="N7" s="721"/>
      <c r="O7" s="724"/>
      <c r="P7" s="724"/>
      <c r="Q7" s="721"/>
      <c r="R7" s="721"/>
      <c r="S7" s="724"/>
      <c r="T7" s="724"/>
      <c r="U7" s="721"/>
      <c r="V7" s="721"/>
      <c r="W7" s="721"/>
      <c r="X7" s="721"/>
      <c r="Y7" s="721"/>
      <c r="Z7" s="721"/>
      <c r="AA7" s="721"/>
      <c r="AB7" s="721"/>
      <c r="AC7" s="721"/>
      <c r="AD7" s="721"/>
      <c r="AE7" s="721"/>
      <c r="AF7" s="721"/>
      <c r="AG7" s="721"/>
      <c r="AH7" s="721"/>
      <c r="AI7" s="721"/>
      <c r="AJ7" s="721"/>
      <c r="AK7" s="721"/>
      <c r="AL7" s="721"/>
      <c r="AM7" s="721"/>
      <c r="AN7" s="721"/>
      <c r="AO7" s="721"/>
      <c r="AP7" s="721"/>
      <c r="AQ7" s="721"/>
      <c r="AR7" s="721"/>
      <c r="AS7" s="721"/>
      <c r="AT7" s="721"/>
      <c r="AU7" s="721"/>
      <c r="AV7" s="721"/>
      <c r="AW7" s="721"/>
      <c r="AX7" s="721"/>
      <c r="AY7" s="721"/>
      <c r="AZ7" s="721"/>
      <c r="BA7" s="721"/>
      <c r="BB7" s="721"/>
      <c r="BC7" s="721"/>
      <c r="BD7" s="721"/>
      <c r="BE7" s="721"/>
      <c r="BF7" s="721"/>
      <c r="BG7" s="721"/>
      <c r="BH7" s="721"/>
      <c r="BI7" s="721"/>
    </row>
    <row r="8" spans="1:61" x14ac:dyDescent="0.3">
      <c r="A8" s="721"/>
      <c r="B8" s="1128" t="s">
        <v>241</v>
      </c>
      <c r="C8" s="1128"/>
      <c r="D8" s="1128"/>
      <c r="E8" s="1128"/>
      <c r="F8" s="1128"/>
      <c r="G8" s="1138" t="s">
        <v>869</v>
      </c>
      <c r="H8" s="1138"/>
      <c r="I8" s="1138"/>
      <c r="J8" s="1138"/>
      <c r="K8" s="721"/>
      <c r="L8" s="1128" t="s">
        <v>231</v>
      </c>
      <c r="M8" s="1128"/>
      <c r="N8" s="1128"/>
      <c r="O8" s="1128"/>
      <c r="P8" s="1128"/>
      <c r="Q8" s="1138" t="s">
        <v>870</v>
      </c>
      <c r="R8" s="1138"/>
      <c r="S8" s="1138"/>
      <c r="T8" s="1138"/>
      <c r="U8" s="721"/>
      <c r="V8" s="1128" t="s">
        <v>253</v>
      </c>
      <c r="W8" s="1128"/>
      <c r="X8" s="1128"/>
      <c r="Y8" s="1128"/>
      <c r="Z8" s="1128"/>
      <c r="AA8" s="1138" t="s">
        <v>871</v>
      </c>
      <c r="AB8" s="1138"/>
      <c r="AC8" s="1138"/>
      <c r="AD8" s="1138"/>
      <c r="AE8" s="721"/>
      <c r="AF8" s="1128" t="s">
        <v>277</v>
      </c>
      <c r="AG8" s="1128"/>
      <c r="AH8" s="1128"/>
      <c r="AI8" s="1128"/>
      <c r="AJ8" s="1128"/>
      <c r="AK8" s="1129" t="s">
        <v>872</v>
      </c>
      <c r="AL8" s="1129"/>
      <c r="AM8" s="1129"/>
      <c r="AN8" s="1130"/>
      <c r="AO8" s="721"/>
      <c r="AP8" s="1128" t="s">
        <v>272</v>
      </c>
      <c r="AQ8" s="1128"/>
      <c r="AR8" s="1128"/>
      <c r="AS8" s="1128"/>
      <c r="AT8" s="1128"/>
      <c r="AU8" s="1129" t="s">
        <v>873</v>
      </c>
      <c r="AV8" s="1129"/>
      <c r="AW8" s="1129"/>
      <c r="AX8" s="1130"/>
      <c r="AY8" s="721"/>
      <c r="AZ8" s="1128" t="s">
        <v>282</v>
      </c>
      <c r="BA8" s="1128"/>
      <c r="BB8" s="1128"/>
      <c r="BC8" s="1128"/>
      <c r="BD8" s="1128"/>
      <c r="BE8" s="1129" t="s">
        <v>874</v>
      </c>
      <c r="BF8" s="1129"/>
      <c r="BG8" s="1129"/>
      <c r="BH8" s="1130"/>
      <c r="BI8" s="721"/>
    </row>
    <row r="9" spans="1:61" x14ac:dyDescent="0.3">
      <c r="A9" s="721"/>
      <c r="D9" s="519" t="s">
        <v>25</v>
      </c>
      <c r="E9" s="520">
        <v>0</v>
      </c>
      <c r="F9" s="524" t="s">
        <v>801</v>
      </c>
      <c r="G9" s="1114" t="s">
        <v>164</v>
      </c>
      <c r="H9" s="1115"/>
      <c r="I9" s="521">
        <v>100</v>
      </c>
      <c r="K9" s="721"/>
      <c r="N9" s="519" t="s">
        <v>25</v>
      </c>
      <c r="O9" s="520"/>
      <c r="P9" s="524" t="s">
        <v>801</v>
      </c>
      <c r="Q9" s="1114" t="s">
        <v>164</v>
      </c>
      <c r="R9" s="1115"/>
      <c r="S9" s="521">
        <v>100</v>
      </c>
      <c r="U9" s="721"/>
      <c r="X9" s="519" t="s">
        <v>25</v>
      </c>
      <c r="Y9" s="520"/>
      <c r="Z9" s="524" t="s">
        <v>801</v>
      </c>
      <c r="AA9" s="1114"/>
      <c r="AB9" s="1115"/>
      <c r="AC9" s="521"/>
      <c r="AE9" s="721"/>
      <c r="AH9" s="519" t="s">
        <v>25</v>
      </c>
      <c r="AI9" s="520"/>
      <c r="AJ9" s="524" t="s">
        <v>801</v>
      </c>
      <c r="AK9" s="1114"/>
      <c r="AL9" s="1115"/>
      <c r="AM9" s="521"/>
      <c r="AO9" s="721"/>
      <c r="AR9" s="519" t="s">
        <v>25</v>
      </c>
      <c r="AS9" s="520"/>
      <c r="AT9" s="524" t="s">
        <v>801</v>
      </c>
      <c r="AU9" s="1114"/>
      <c r="AV9" s="1115"/>
      <c r="AW9" s="521"/>
      <c r="AY9" s="721"/>
      <c r="BB9" s="519" t="s">
        <v>25</v>
      </c>
      <c r="BC9" s="520"/>
      <c r="BD9" s="524" t="s">
        <v>801</v>
      </c>
      <c r="BE9" s="1114"/>
      <c r="BF9" s="1115"/>
      <c r="BG9" s="521"/>
      <c r="BI9" s="721"/>
    </row>
    <row r="10" spans="1:61" x14ac:dyDescent="0.3">
      <c r="A10" s="721"/>
      <c r="B10" s="528"/>
      <c r="C10" s="516" t="s">
        <v>368</v>
      </c>
      <c r="D10" s="516" t="s">
        <v>754</v>
      </c>
      <c r="E10" s="516" t="s">
        <v>311</v>
      </c>
      <c r="F10" s="516" t="s">
        <v>755</v>
      </c>
      <c r="G10" s="516" t="s">
        <v>803</v>
      </c>
      <c r="H10" s="516" t="s">
        <v>703</v>
      </c>
      <c r="I10" s="516" t="s">
        <v>703</v>
      </c>
      <c r="J10" s="527" t="s">
        <v>757</v>
      </c>
      <c r="K10" s="721"/>
      <c r="L10" s="528"/>
      <c r="M10" s="516" t="s">
        <v>368</v>
      </c>
      <c r="N10" s="516" t="s">
        <v>754</v>
      </c>
      <c r="O10" s="516" t="s">
        <v>311</v>
      </c>
      <c r="P10" s="516" t="s">
        <v>755</v>
      </c>
      <c r="Q10" s="516" t="s">
        <v>756</v>
      </c>
      <c r="R10" s="516"/>
      <c r="S10" s="516"/>
      <c r="T10" s="527"/>
      <c r="U10" s="721"/>
      <c r="V10" s="528"/>
      <c r="W10" s="516" t="s">
        <v>368</v>
      </c>
      <c r="X10" s="516" t="s">
        <v>754</v>
      </c>
      <c r="Y10" s="516" t="s">
        <v>311</v>
      </c>
      <c r="Z10" s="516" t="s">
        <v>755</v>
      </c>
      <c r="AA10" s="516" t="s">
        <v>756</v>
      </c>
      <c r="AB10" s="516" t="s">
        <v>703</v>
      </c>
      <c r="AC10" s="516" t="s">
        <v>703</v>
      </c>
      <c r="AD10" s="527" t="s">
        <v>757</v>
      </c>
      <c r="AE10" s="721"/>
      <c r="AF10" s="528"/>
      <c r="AG10" s="516" t="s">
        <v>368</v>
      </c>
      <c r="AH10" s="516" t="s">
        <v>754</v>
      </c>
      <c r="AI10" s="516" t="s">
        <v>311</v>
      </c>
      <c r="AJ10" s="516" t="s">
        <v>755</v>
      </c>
      <c r="AK10" s="516" t="s">
        <v>756</v>
      </c>
      <c r="AL10" s="516" t="s">
        <v>703</v>
      </c>
      <c r="AM10" s="516" t="s">
        <v>703</v>
      </c>
      <c r="AN10" s="527" t="s">
        <v>757</v>
      </c>
      <c r="AO10" s="721"/>
      <c r="AP10" s="528"/>
      <c r="AQ10" s="516" t="s">
        <v>368</v>
      </c>
      <c r="AR10" s="516" t="s">
        <v>754</v>
      </c>
      <c r="AS10" s="516" t="s">
        <v>311</v>
      </c>
      <c r="AT10" s="516" t="s">
        <v>755</v>
      </c>
      <c r="AU10" s="516" t="s">
        <v>756</v>
      </c>
      <c r="AV10" s="516" t="s">
        <v>703</v>
      </c>
      <c r="AW10" s="516" t="s">
        <v>703</v>
      </c>
      <c r="AX10" s="527" t="s">
        <v>757</v>
      </c>
      <c r="AY10" s="721"/>
      <c r="AZ10" s="528"/>
      <c r="BA10" s="516" t="s">
        <v>368</v>
      </c>
      <c r="BB10" s="516" t="s">
        <v>754</v>
      </c>
      <c r="BC10" s="516" t="s">
        <v>311</v>
      </c>
      <c r="BD10" s="516" t="s">
        <v>755</v>
      </c>
      <c r="BE10" s="516" t="s">
        <v>756</v>
      </c>
      <c r="BF10" s="516" t="s">
        <v>703</v>
      </c>
      <c r="BG10" s="516" t="s">
        <v>703</v>
      </c>
      <c r="BH10" s="527" t="s">
        <v>757</v>
      </c>
      <c r="BI10" s="721"/>
    </row>
    <row r="11" spans="1:61" x14ac:dyDescent="0.3">
      <c r="A11" s="721"/>
      <c r="B11" s="529" t="s">
        <v>4</v>
      </c>
      <c r="C11" s="511">
        <v>7</v>
      </c>
      <c r="D11" s="522">
        <v>0</v>
      </c>
      <c r="E11" s="523" t="e">
        <f>VLOOKUP($B$8,Tracks!$A$4:$AP$849,32,0)*VLOOKUP($C$11,Tables!$B$94:$C$102,2,0)^E9*Tables!$B$91</f>
        <v>#N/A</v>
      </c>
      <c r="F11" s="508" t="e">
        <f>E11+D11+I11</f>
        <v>#N/A</v>
      </c>
      <c r="G11" s="544"/>
      <c r="H11" s="510" t="e">
        <f>VLOOKUP('Tyre&amp;Fuel'!$D$28,Tracks!$A$4:$AP$849,32,0)*VLOOKUP(C11,Tables!$B$94:$C$102,2,0)^Tables!AE24*Tables!B91/2</f>
        <v>#N/A</v>
      </c>
      <c r="I11" s="711" t="e">
        <f>IF(G9="Yes",H11/100*I9,0)</f>
        <v>#N/A</v>
      </c>
      <c r="J11" s="705" t="e">
        <f>IF($G$9="Yes",(MIN(100,(SUM(F11)))),(MIN(100,(SUM(F11)))))</f>
        <v>#N/A</v>
      </c>
      <c r="K11" s="721"/>
      <c r="L11" s="529" t="s">
        <v>4</v>
      </c>
      <c r="M11" s="715">
        <f>IF(Q11="Up",C11+1,IF(Q11="Down",C11-1,IF(Q11="2Down",C11-2,C11)))</f>
        <v>7</v>
      </c>
      <c r="N11" s="716" t="e">
        <f>IF(Q11="Down",J11*84.5%,IF(Q11="2Down",J11*69%,IF(Q11="Up",J8-J8,IF(Q11="Same",J11-J11,J11))))</f>
        <v>#N/A</v>
      </c>
      <c r="O11" s="523" t="e">
        <f>VLOOKUP($L$8,Tracks!$A$4:$AP$849,32,0)*VLOOKUP($M$11,Tables!$B$94:$C$102,2,0)^O9*Tables!B91</f>
        <v>#N/A</v>
      </c>
      <c r="P11" s="508" t="e">
        <f>O11+N11+S11</f>
        <v>#N/A</v>
      </c>
      <c r="Q11" s="509"/>
      <c r="R11" s="510" t="e">
        <f>VLOOKUP('Tyre&amp;Fuel'!$D$28,Tracks!$A$4:$AP$849,32,0)*VLOOKUP(M11,Tables!$B$94:$C$102,2,0)^Tables!AE24*Tables!$B$91/2</f>
        <v>#N/A</v>
      </c>
      <c r="S11" s="711" t="e">
        <f>IF(Q9="Yes",R11/100*S9,0)</f>
        <v>#N/A</v>
      </c>
      <c r="T11" s="705" t="e">
        <f>IF($G$9="Yes",(MIN(100,(SUM(P11)))),(MIN(100,(SUM(P11)))))</f>
        <v>#N/A</v>
      </c>
      <c r="U11" s="721"/>
      <c r="V11" s="529" t="s">
        <v>4</v>
      </c>
      <c r="W11" s="715">
        <f>IF(AA11="Up",M11+1,IF(AA11="Down",M11-1,IF(AA11="2Down",M11-2,M11)))</f>
        <v>7</v>
      </c>
      <c r="X11" s="716" t="e">
        <f>IF(AA11="Down",T11*84.5%,IF(AA11="2Down",T11*69%,IF(AA11="Up",T8-T8,IF(AA11="Same",T11-T11,T11))))</f>
        <v>#N/A</v>
      </c>
      <c r="Y11" s="523" t="e">
        <f>VLOOKUP($V$8,Tracks!$A$4:$AP$849,32,0)*VLOOKUP($W$11,Tables!$B$94:$C$102,2,0)^Y9*Tables!$B$91</f>
        <v>#N/A</v>
      </c>
      <c r="Z11" s="508" t="e">
        <f>Y11+X11+AC11</f>
        <v>#N/A</v>
      </c>
      <c r="AA11" s="509"/>
      <c r="AB11" s="510" t="e">
        <f>VLOOKUP('Tyre&amp;Fuel'!$D$28,Tracks!$A$4:$AP$849,32,0)*VLOOKUP(M11,Tables!$B$94:$C$102,2,0)^Tables!AE24*Tables!B91/2</f>
        <v>#N/A</v>
      </c>
      <c r="AC11" s="711">
        <f>IF(AA9="Yes",AB11/100*AC9,0)</f>
        <v>0</v>
      </c>
      <c r="AD11" s="705" t="e">
        <f>IF($G$9="Yes",(MIN(100,(SUM(Z11)))),(MIN(100,(SUM(Z11)))))</f>
        <v>#N/A</v>
      </c>
      <c r="AE11" s="721"/>
      <c r="AF11" s="529" t="s">
        <v>4</v>
      </c>
      <c r="AG11" s="715">
        <f>IF(AK11="Up",W11+1,IF(AK11="Down",W11-1,IF(AK11="2Down",W11-2,W11)))</f>
        <v>7</v>
      </c>
      <c r="AH11" s="716" t="e">
        <f>IF(AK11="Down",AD11*84.5%,IF(AK11="2Down",AD11*69%,IF(AK11="Up",AD8-AD8,IF(AK11="Same",AD11-AD11,AD11))))</f>
        <v>#N/A</v>
      </c>
      <c r="AI11" s="523" t="e">
        <f>VLOOKUP($AF$8,Tracks!$A$4:$AP$849,32,0)*VLOOKUP(AG11,Tables!$B$94:$C$102,2,0)^AI9*Tables!$B$91</f>
        <v>#N/A</v>
      </c>
      <c r="AJ11" s="508" t="e">
        <f>AI11+AH11+AM11</f>
        <v>#N/A</v>
      </c>
      <c r="AK11" s="509"/>
      <c r="AL11" s="510" t="e">
        <f>VLOOKUP('Tyre&amp;Fuel'!$D$28,Tracks!$A$4:$AP$849,32,0)*VLOOKUP(AG11,Tables!$B$94:$C$102,2,0)^Tables!$AE$24*Tables!$B$91/2</f>
        <v>#N/A</v>
      </c>
      <c r="AM11" s="711">
        <f>IF(AK9="Yes",AL11/100*AM9,0)</f>
        <v>0</v>
      </c>
      <c r="AN11" s="705" t="e">
        <f>IF($G$9="Yes",(MIN(100,(SUM(AJ11)))),(MIN(100,(SUM(AJ11)))))</f>
        <v>#N/A</v>
      </c>
      <c r="AO11" s="721"/>
      <c r="AP11" s="529" t="s">
        <v>4</v>
      </c>
      <c r="AQ11" s="715">
        <f>IF(AU11="Up",AG11+1,IF(AU11="Down",AG11-1,IF(AU11="2Down",AG11-2,AG11)))</f>
        <v>7</v>
      </c>
      <c r="AR11" s="716" t="e">
        <f>IF(AU11="Down",AN11*84.5%,IF(AU11="2Down",AN11*69%,IF(AU11="Up",AN8-AN8,IF(AU11="Same",AN11-AN11,AN11))))</f>
        <v>#N/A</v>
      </c>
      <c r="AS11" s="523" t="e">
        <f>VLOOKUP(AP8,Tracks!$A$4:$AP$849,32,0)*VLOOKUP(AQ11,Tables!$B$94:$C$102,2,0)^AS9*Tables!$B$91</f>
        <v>#N/A</v>
      </c>
      <c r="AT11" s="508" t="e">
        <f>AS11+AR11+AW11</f>
        <v>#N/A</v>
      </c>
      <c r="AU11" s="509"/>
      <c r="AV11" s="510" t="e">
        <f>VLOOKUP('Tyre&amp;Fuel'!$D$28,Tracks!$A$4:$AP$849,32,0)*VLOOKUP(AQ11,Tables!$B$94:$C$102,2,0)^Tables!$AE$24*Tables!$B$91/2</f>
        <v>#N/A</v>
      </c>
      <c r="AW11" s="711">
        <f>IF(AU9="Yes",AV11/100*AW9,0)</f>
        <v>0</v>
      </c>
      <c r="AX11" s="705" t="e">
        <f>IF($G$9="Yes",(MIN(100,(SUM(AT11)))),(MIN(100,(SUM(AT11)))))</f>
        <v>#N/A</v>
      </c>
      <c r="AY11" s="721"/>
      <c r="AZ11" s="529" t="s">
        <v>4</v>
      </c>
      <c r="BA11" s="715">
        <f>IF(BE11="Up",AQ11+1,IF(BE11="Down",AQ11-1,IF(BE11="2Down",AQ11-2,AQ11)))</f>
        <v>7</v>
      </c>
      <c r="BB11" s="716" t="e">
        <f>IF(BE11="Down",AX11*84.5%,IF(BE11="2Down",AX11*69%,IF(BE11="Up",AX8-AX8,IF(BE11="Same",AX11-AX11,AX11))))</f>
        <v>#N/A</v>
      </c>
      <c r="BC11" s="523" t="e">
        <f>VLOOKUP(AZ8,Tracks!$A$4:$AP$849,32,0)*VLOOKUP(BA11,Tables!$B$94:$C$102,2,0)^BC9*Tables!$B$91</f>
        <v>#N/A</v>
      </c>
      <c r="BD11" s="508" t="e">
        <f>BC11+BB11+BG11</f>
        <v>#N/A</v>
      </c>
      <c r="BE11" s="509"/>
      <c r="BF11" s="510" t="e">
        <f>VLOOKUP('Tyre&amp;Fuel'!$D$28,Tracks!$A$4:$AP$849,32,0)*VLOOKUP(BA11,Tables!$B$94:$C$102,2,0)^Tables!$AE$24*Tables!$B$91/2</f>
        <v>#N/A</v>
      </c>
      <c r="BG11" s="711">
        <f>IF(BE9="Yes",BF11/100*BG9,0)</f>
        <v>0</v>
      </c>
      <c r="BH11" s="705" t="e">
        <f>IF($G$9="Yes",(MIN(100,(SUM(BD11)))),(MIN(100,(SUM(BD11)))))</f>
        <v>#N/A</v>
      </c>
      <c r="BI11" s="721"/>
    </row>
    <row r="12" spans="1:61" x14ac:dyDescent="0.3">
      <c r="A12" s="721"/>
      <c r="B12" s="529" t="s">
        <v>6</v>
      </c>
      <c r="C12" s="511">
        <v>8</v>
      </c>
      <c r="D12" s="522">
        <v>0</v>
      </c>
      <c r="E12" s="523" t="e">
        <f>VLOOKUP($B$8,Tracks!$A$4:$AP$886,33,0)*VLOOKUP($C$12,Tables!$B$94:$C$102,2,0)^E9*Tables!$B$91</f>
        <v>#N/A</v>
      </c>
      <c r="F12" s="508" t="e">
        <f t="shared" ref="F12:F21" si="0">E12+D12+I12</f>
        <v>#N/A</v>
      </c>
      <c r="G12" s="544"/>
      <c r="H12" s="510" t="e">
        <f>VLOOKUP('Tyre&amp;Fuel'!$D$28,Tracks!$A$4:$AP$849,33,0)*VLOOKUP(C12,Tables!$B$94:$C$102,2,0)^Tables!AE24*Tables!B91/2</f>
        <v>#N/A</v>
      </c>
      <c r="I12" s="711" t="e">
        <f>IF(G9="Yes",H12/100*I9,0)</f>
        <v>#N/A</v>
      </c>
      <c r="J12" s="705" t="e">
        <f t="shared" ref="J12:J21" si="1">IF($G$9="Yes",(MIN(100,(SUM(F12)))),(MIN(100,(SUM(F12)))))</f>
        <v>#N/A</v>
      </c>
      <c r="K12" s="721"/>
      <c r="L12" s="529" t="s">
        <v>6</v>
      </c>
      <c r="M12" s="715">
        <f t="shared" ref="M12:M21" si="2">IF(Q12="Up",C12+1,IF(Q12="Down",C12-1,IF(Q12="2Down",C12-2,C12)))</f>
        <v>8</v>
      </c>
      <c r="N12" s="716" t="e">
        <f t="shared" ref="N12:N20" si="3">IF(Q12="Down",J12*84.5%,IF(Q12="2Down",J12*69%,IF(Q12="Up",J9-J9,IF(Q12="Same",J12-J12,J12))))</f>
        <v>#N/A</v>
      </c>
      <c r="O12" s="523" t="e">
        <f>VLOOKUP($L$8,Tracks!$A$4:$AP$886,33,0)*VLOOKUP(M12,Tables!$B$94:$C$102,2,0)^O9*Tables!$B$91</f>
        <v>#N/A</v>
      </c>
      <c r="P12" s="508" t="e">
        <f t="shared" ref="P12:P21" si="4">O12+N12+S12</f>
        <v>#N/A</v>
      </c>
      <c r="Q12" s="509"/>
      <c r="R12" s="510" t="e">
        <f>VLOOKUP('Tyre&amp;Fuel'!$D$28,Tracks!$A$4:$AP$849,33,0)*VLOOKUP(M12,Tables!$B$94:$C$102,2,0)^Tables!AE24*Tables!$B$91/2</f>
        <v>#N/A</v>
      </c>
      <c r="S12" s="711" t="e">
        <f>IF(Q9="Yes",R12/100*S9,0)</f>
        <v>#N/A</v>
      </c>
      <c r="T12" s="705" t="e">
        <f>IF($G$9="Yes",(MIN(100,(SUM(P12)))),(MIN(100,(SUM(P12)))))</f>
        <v>#N/A</v>
      </c>
      <c r="U12" s="721"/>
      <c r="V12" s="529" t="s">
        <v>6</v>
      </c>
      <c r="W12" s="715">
        <f t="shared" ref="W12:W21" si="5">IF(AA12="Up",M12+1,IF(AA12="Down",M12-1,IF(AA12="2Down",M12-2,M12)))</f>
        <v>7</v>
      </c>
      <c r="X12" s="716" t="e">
        <f t="shared" ref="X12:X20" si="6">IF(AA12="Down",T12*84.5%,IF(AA12="2Down",T12*69%,IF(AA12="Up",T9-T9,IF(AA12="Same",T12-T12,T12))))</f>
        <v>#N/A</v>
      </c>
      <c r="Y12" s="523" t="e">
        <f>VLOOKUP($V$8,Tracks!$A$4:$AP$886,33,0)*VLOOKUP($W$12,Tables!$B$94:$C$102,2,0)^Y9*Tables!$B$91</f>
        <v>#N/A</v>
      </c>
      <c r="Z12" s="508" t="e">
        <f t="shared" ref="Z12:Z21" si="7">Y12+X12+AC12</f>
        <v>#N/A</v>
      </c>
      <c r="AA12" s="509" t="s">
        <v>314</v>
      </c>
      <c r="AB12" s="510" t="e">
        <f>VLOOKUP('Tyre&amp;Fuel'!$D$28,Tracks!$A$4:$AP$849,33,0)*VLOOKUP(M12,Tables!$B$94:$C$102,2,0)^Tables!AE24*Tables!B91/2</f>
        <v>#N/A</v>
      </c>
      <c r="AC12" s="711">
        <f>IF(AA9="Yes",AB12/100*AC9,0)</f>
        <v>0</v>
      </c>
      <c r="AD12" s="705" t="e">
        <f t="shared" ref="AD12:AD21" si="8">IF($G$9="Yes",(MIN(100,(SUM(Z12)))),(MIN(100,(SUM(Z12)))))</f>
        <v>#N/A</v>
      </c>
      <c r="AE12" s="721"/>
      <c r="AF12" s="529" t="s">
        <v>6</v>
      </c>
      <c r="AG12" s="715">
        <f t="shared" ref="AG12:AG21" si="9">IF(AK12="Up",W12+1,IF(AK12="Down",W12-1,IF(AK12="2Down",W12-2,W12)))</f>
        <v>7</v>
      </c>
      <c r="AH12" s="716" t="e">
        <f t="shared" ref="AH12:AH20" si="10">IF(AK12="Down",AD12*84.5%,IF(AK12="2Down",AD12*69%,IF(AK12="Up",AD9-AD9,IF(AK12="Same",AD12-AD12,AD12))))</f>
        <v>#N/A</v>
      </c>
      <c r="AI12" s="523" t="e">
        <f>VLOOKUP($AF$8,Tracks!$A$4:$AP$886,33,0)*VLOOKUP(AG12,Tables!$B$94:$C$102,2,0)^AI9*Tables!$B$91</f>
        <v>#N/A</v>
      </c>
      <c r="AJ12" s="508" t="e">
        <f t="shared" ref="AJ12:AJ21" si="11">AI12+AH12+AM12</f>
        <v>#N/A</v>
      </c>
      <c r="AK12" s="509"/>
      <c r="AL12" s="510" t="e">
        <f>VLOOKUP('Tyre&amp;Fuel'!$D$28,Tracks!$A$4:$AP$849,33,0)*VLOOKUP(AG12,Tables!$B$94:$C$102,2,0)^Tables!$AE$24*Tables!$B$91/2</f>
        <v>#N/A</v>
      </c>
      <c r="AM12" s="711">
        <f>IF(AK9="Yes",AL12/100*AM9,0)</f>
        <v>0</v>
      </c>
      <c r="AN12" s="705" t="e">
        <f t="shared" ref="AN12:AN21" si="12">IF($G$9="Yes",(MIN(100,(SUM(AJ12)))),(MIN(100,(SUM(AJ12)))))</f>
        <v>#N/A</v>
      </c>
      <c r="AO12" s="721"/>
      <c r="AP12" s="529" t="s">
        <v>6</v>
      </c>
      <c r="AQ12" s="715">
        <f t="shared" ref="AQ12:AQ21" si="13">IF(AU12="Up",AG12+1,IF(AU12="Down",AG12-1,IF(AU12="2Down",AG12-2,AG12)))</f>
        <v>7</v>
      </c>
      <c r="AR12" s="716" t="e">
        <f t="shared" ref="AR12:AR20" si="14">IF(AU12="Down",AN12*84.5%,IF(AU12="2Down",AN12*69%,IF(AU12="Up",AN9-AN9,IF(AU12="Same",AN12-AN12,AN12))))</f>
        <v>#N/A</v>
      </c>
      <c r="AS12" s="523" t="e">
        <f>VLOOKUP(AP8,Tracks!$A$4:$AP$886,33,0)*VLOOKUP(AQ12,Tables!$B$94:$C$102,2,0)^AS9*Tables!$B$91</f>
        <v>#N/A</v>
      </c>
      <c r="AT12" s="508" t="e">
        <f t="shared" ref="AT12:AT21" si="15">AS12+AR12+AW12</f>
        <v>#N/A</v>
      </c>
      <c r="AU12" s="509"/>
      <c r="AV12" s="510" t="e">
        <f>VLOOKUP('Tyre&amp;Fuel'!$D$28,Tracks!$A$4:$AP$849,33,0)*VLOOKUP(AQ12,Tables!$B$94:$C$102,2,0)^Tables!$AE$24*Tables!$B$91/2</f>
        <v>#N/A</v>
      </c>
      <c r="AW12" s="711">
        <f>IF(AU9="Yes",AV12/100*AW9,0)</f>
        <v>0</v>
      </c>
      <c r="AX12" s="705" t="e">
        <f t="shared" ref="AX12:AX21" si="16">IF($G$9="Yes",(MIN(100,(SUM(AT12)))),(MIN(100,(SUM(AT12)))))</f>
        <v>#N/A</v>
      </c>
      <c r="AY12" s="721"/>
      <c r="AZ12" s="529" t="s">
        <v>6</v>
      </c>
      <c r="BA12" s="715">
        <f t="shared" ref="BA12:BA21" si="17">IF(BE12="Up",AQ12+1,IF(BE12="Down",AQ12-1,IF(BE12="2Down",AQ12-2,AQ12)))</f>
        <v>7</v>
      </c>
      <c r="BB12" s="716" t="e">
        <f>IF(BE12="Down",AX12*84.5%,IF(BE12="2Down",AX12*69%,IF(BE12="Up",AX9-AX9,IF(BE12="Same",AX12-AX12,AX12))))</f>
        <v>#N/A</v>
      </c>
      <c r="BC12" s="523" t="e">
        <f>VLOOKUP(AZ8,Tracks!$A$4:$AP$886,33,0)*VLOOKUP(BA12,Tables!$B$94:$C$102,2,0)^BC9*Tables!$B$91</f>
        <v>#N/A</v>
      </c>
      <c r="BD12" s="508" t="e">
        <f t="shared" ref="BD12:BD21" si="18">BC12+BB12+BG12</f>
        <v>#N/A</v>
      </c>
      <c r="BE12" s="509"/>
      <c r="BF12" s="510" t="e">
        <f>VLOOKUP('Tyre&amp;Fuel'!$D$28,Tracks!$A$4:$AP$849,33,0)*VLOOKUP(BA12,Tables!$B$94:$C$102,2,0)^Tables!$AE$24*Tables!$B$91/2</f>
        <v>#N/A</v>
      </c>
      <c r="BG12" s="711">
        <f>IF(BE9="Yes",BF12/100*BG9,0)</f>
        <v>0</v>
      </c>
      <c r="BH12" s="705" t="e">
        <f t="shared" ref="BH12:BH21" si="19">IF($G$9="Yes",(MIN(100,(SUM(BD12)))),(MIN(100,(SUM(BD12)))))</f>
        <v>#N/A</v>
      </c>
      <c r="BI12" s="721"/>
    </row>
    <row r="13" spans="1:61" x14ac:dyDescent="0.3">
      <c r="A13" s="721"/>
      <c r="B13" s="529" t="s">
        <v>795</v>
      </c>
      <c r="C13" s="511">
        <v>7</v>
      </c>
      <c r="D13" s="522">
        <v>0</v>
      </c>
      <c r="E13" s="523" t="e">
        <f>VLOOKUP($B$8,Tracks!$A$4:$AP$886,34,0)*VLOOKUP(C13,Tables!$B$94:$C$102,2,0)^E9*Tables!$B$91</f>
        <v>#N/A</v>
      </c>
      <c r="F13" s="508" t="e">
        <f t="shared" si="0"/>
        <v>#N/A</v>
      </c>
      <c r="G13" s="544"/>
      <c r="H13" s="510" t="e">
        <f>VLOOKUP('Tyre&amp;Fuel'!$D$28,Tracks!$A$4:$AP$849,34,0)*VLOOKUP(C13,Tables!$B$94:$C$102,2,0)^Tables!AE24*Tables!B91/2</f>
        <v>#N/A</v>
      </c>
      <c r="I13" s="711" t="e">
        <f>IF(G9="Yes",H13/100*I9,0)</f>
        <v>#N/A</v>
      </c>
      <c r="J13" s="705" t="e">
        <f t="shared" si="1"/>
        <v>#N/A</v>
      </c>
      <c r="K13" s="721"/>
      <c r="L13" s="529" t="s">
        <v>795</v>
      </c>
      <c r="M13" s="715">
        <f t="shared" si="2"/>
        <v>7</v>
      </c>
      <c r="N13" s="716" t="e">
        <f>IF(Q13="Down",J13*84.5%,IF(Q13="2Down",J13*69%,IF(Q13="Up",J13-J13,IF(Q13="Same",J13-J13,J13))))</f>
        <v>#N/A</v>
      </c>
      <c r="O13" s="523" t="e">
        <f>VLOOKUP($L$8,Tracks!$A$4:$AP$886,34,0)*VLOOKUP(M13,Tables!$B$94:$C$102,2,0)^O9*Tables!$B$91</f>
        <v>#N/A</v>
      </c>
      <c r="P13" s="508" t="e">
        <f t="shared" si="4"/>
        <v>#N/A</v>
      </c>
      <c r="Q13" s="509"/>
      <c r="R13" s="510" t="e">
        <f>VLOOKUP('Tyre&amp;Fuel'!$D$28,Tracks!$A$4:$AP$849,34,0)*VLOOKUP(M13,Tables!$B$94:$C$102,2,0)^Tables!AE24*Tables!$B$91/2</f>
        <v>#N/A</v>
      </c>
      <c r="S13" s="711" t="e">
        <f>IF(Q9="Yes",R13/100*S9,0)</f>
        <v>#N/A</v>
      </c>
      <c r="T13" s="705" t="e">
        <f>IF($G$9="Yes",(MIN(100,(SUM(P13)))),(MIN(100,(SUM(P13)))))</f>
        <v>#N/A</v>
      </c>
      <c r="U13" s="721"/>
      <c r="V13" s="529" t="s">
        <v>795</v>
      </c>
      <c r="W13" s="715">
        <f t="shared" si="5"/>
        <v>7</v>
      </c>
      <c r="X13" s="716" t="e">
        <f>IF(AA13="Down",T13*84.5%,IF(AA13="2Down",T13*69%,IF(AA13="Up",T13-T13,IF(AA13="Same",T13-T13,T13))))</f>
        <v>#N/A</v>
      </c>
      <c r="Y13" s="523" t="e">
        <f>VLOOKUP($V$8,Tracks!$A$4:$AP$886,34,0)*VLOOKUP(W13,Tables!$B$94:$C$102,2,0)^Y9*Tables!$B$91</f>
        <v>#N/A</v>
      </c>
      <c r="Z13" s="508" t="e">
        <f t="shared" si="7"/>
        <v>#N/A</v>
      </c>
      <c r="AA13" s="509"/>
      <c r="AB13" s="510" t="e">
        <f>VLOOKUP('Tyre&amp;Fuel'!$D$28,Tracks!$A$4:$AP$849,34,0)*VLOOKUP(M13,Tables!$B$94:$C$102,2,0)^Tables!AE24*Tables!B91/2</f>
        <v>#N/A</v>
      </c>
      <c r="AC13" s="711">
        <f>IF(AA9="Yes",AB13/100*AC9,0)</f>
        <v>0</v>
      </c>
      <c r="AD13" s="705" t="e">
        <f t="shared" si="8"/>
        <v>#N/A</v>
      </c>
      <c r="AE13" s="721"/>
      <c r="AF13" s="529" t="s">
        <v>795</v>
      </c>
      <c r="AG13" s="715">
        <f t="shared" si="9"/>
        <v>7</v>
      </c>
      <c r="AH13" s="716" t="e">
        <f>IF(AK13="Down",AD13*84.5%,IF(AK13="2Down",AD13*69%,IF(AK13="Up",AD13-AD13,IF(AK13="Same",AD13-AD13,AD13))))</f>
        <v>#N/A</v>
      </c>
      <c r="AI13" s="523" t="e">
        <f>VLOOKUP($AF$8,Tracks!$A$4:$AP$886,34,0)*VLOOKUP(AG13,Tables!$B$94:$C$102,2,0)^AI9*Tables!$B$91</f>
        <v>#N/A</v>
      </c>
      <c r="AJ13" s="508" t="e">
        <f t="shared" si="11"/>
        <v>#N/A</v>
      </c>
      <c r="AK13" s="509"/>
      <c r="AL13" s="510" t="e">
        <f>VLOOKUP('Tyre&amp;Fuel'!$D$28,Tracks!$A$4:$AP$849,34,0)*VLOOKUP(AG13,Tables!$B$94:$C$102,2,0)^Tables!$AE$24*Tables!$B$91/2</f>
        <v>#N/A</v>
      </c>
      <c r="AM13" s="711">
        <f>IF(AK9="Yes",AL13/100*AM9,0)</f>
        <v>0</v>
      </c>
      <c r="AN13" s="705" t="e">
        <f t="shared" si="12"/>
        <v>#N/A</v>
      </c>
      <c r="AO13" s="721"/>
      <c r="AP13" s="529" t="s">
        <v>795</v>
      </c>
      <c r="AQ13" s="715">
        <f t="shared" si="13"/>
        <v>7</v>
      </c>
      <c r="AR13" s="716" t="e">
        <f>IF(AU13="Down",AN13*84.5%,IF(AU13="2Down",AN13*69%,IF(AU13="Up",AN13-AN13,IF(AU13="Same",AN13-AN13,AN13))))</f>
        <v>#N/A</v>
      </c>
      <c r="AS13" s="523" t="e">
        <f>VLOOKUP(AP8,Tracks!$A$4:$AP$886,34,0)*VLOOKUP(AQ13,Tables!$B$94:$C$102,2,0)^AS9*Tables!$B$91</f>
        <v>#N/A</v>
      </c>
      <c r="AT13" s="508" t="e">
        <f t="shared" si="15"/>
        <v>#N/A</v>
      </c>
      <c r="AU13" s="509"/>
      <c r="AV13" s="510" t="e">
        <f>VLOOKUP('Tyre&amp;Fuel'!$D$28,Tracks!$A$4:$AP$849,34,0)*VLOOKUP(AQ13,Tables!$B$94:$C$102,2,0)^Tables!$AE$24*Tables!$B$91/2</f>
        <v>#N/A</v>
      </c>
      <c r="AW13" s="711">
        <f>IF(AU9="Yes",AV13/100*AW9,0)</f>
        <v>0</v>
      </c>
      <c r="AX13" s="705" t="e">
        <f t="shared" si="16"/>
        <v>#N/A</v>
      </c>
      <c r="AY13" s="721"/>
      <c r="AZ13" s="529" t="s">
        <v>795</v>
      </c>
      <c r="BA13" s="715">
        <f t="shared" si="17"/>
        <v>7</v>
      </c>
      <c r="BB13" s="716" t="e">
        <f>IF(BE13="Down",AX13*84.5%,IF(BE13="2Down",AX13*69%,IF(BE13="Up",AX13-AX13,IF(BE13="Same",AX13-AX13,AX13))))</f>
        <v>#N/A</v>
      </c>
      <c r="BC13" s="523" t="e">
        <f>VLOOKUP(AZ8,Tracks!$A$4:$AP$886,34,0)*VLOOKUP(BA13,Tables!$B$94:$C$102,2,0)^BC9*Tables!$B$91</f>
        <v>#N/A</v>
      </c>
      <c r="BD13" s="508" t="e">
        <f t="shared" si="18"/>
        <v>#N/A</v>
      </c>
      <c r="BE13" s="509"/>
      <c r="BF13" s="510" t="e">
        <f>VLOOKUP('Tyre&amp;Fuel'!$D$28,Tracks!$A$4:$AP$849,34,0)*VLOOKUP(BA13,Tables!$B$94:$C$102,2,0)^Tables!$AE$24*Tables!$B$91/2</f>
        <v>#N/A</v>
      </c>
      <c r="BG13" s="711">
        <f>IF(BE9="Yes",BF13/100*BG9,0)</f>
        <v>0</v>
      </c>
      <c r="BH13" s="705" t="e">
        <f t="shared" si="19"/>
        <v>#N/A</v>
      </c>
      <c r="BI13" s="721"/>
    </row>
    <row r="14" spans="1:61" x14ac:dyDescent="0.3">
      <c r="A14" s="721"/>
      <c r="B14" s="529" t="s">
        <v>796</v>
      </c>
      <c r="C14" s="511">
        <v>7</v>
      </c>
      <c r="D14" s="522">
        <v>0</v>
      </c>
      <c r="E14" s="523" t="e">
        <f>VLOOKUP($B$8,Tracks!$A$4:$AP$886,35,0)*VLOOKUP(C14,Tables!$B$94:$C$102,2,0)^E9*Tables!$B$91</f>
        <v>#N/A</v>
      </c>
      <c r="F14" s="508" t="e">
        <f t="shared" si="0"/>
        <v>#N/A</v>
      </c>
      <c r="G14" s="544"/>
      <c r="H14" s="510" t="e">
        <f>VLOOKUP('Tyre&amp;Fuel'!$D$28,Tracks!$A$4:$AP$849,35,0)*VLOOKUP(C14,Tables!$B$94:$C$102,2,0)^Tables!AE24*Tables!B91/2</f>
        <v>#N/A</v>
      </c>
      <c r="I14" s="711" t="e">
        <f>IF(G9="Yes",H14/100*I9,0)</f>
        <v>#N/A</v>
      </c>
      <c r="J14" s="705" t="e">
        <f t="shared" si="1"/>
        <v>#N/A</v>
      </c>
      <c r="K14" s="721"/>
      <c r="L14" s="529" t="s">
        <v>796</v>
      </c>
      <c r="M14" s="715">
        <f t="shared" si="2"/>
        <v>7</v>
      </c>
      <c r="N14" s="716" t="e">
        <f t="shared" si="3"/>
        <v>#N/A</v>
      </c>
      <c r="O14" s="523" t="e">
        <f>VLOOKUP($L$8,Tracks!$A$4:$AP$886,35,0)*VLOOKUP(M14,Tables!$B$94:$C$102,2,0)^O9*Tables!$B$91</f>
        <v>#N/A</v>
      </c>
      <c r="P14" s="508" t="e">
        <f t="shared" si="4"/>
        <v>#N/A</v>
      </c>
      <c r="Q14" s="509"/>
      <c r="R14" s="510" t="e">
        <f>VLOOKUP('Tyre&amp;Fuel'!$D$28,Tracks!$A$4:$AP$849,35,0)*VLOOKUP(M14,Tables!$B$94:$C$102,2,0)^Tables!AE24*Tables!$B$91/2</f>
        <v>#N/A</v>
      </c>
      <c r="S14" s="711" t="e">
        <f>IF(Q9="Yes",R14/100*S9,0)</f>
        <v>#N/A</v>
      </c>
      <c r="T14" s="705" t="e">
        <f>IF($G$9="Yes",(MIN(100,(SUM(P14)))),(MIN(100,(SUM(P14)))))</f>
        <v>#N/A</v>
      </c>
      <c r="U14" s="721"/>
      <c r="V14" s="529" t="s">
        <v>796</v>
      </c>
      <c r="W14" s="715">
        <f t="shared" si="5"/>
        <v>7</v>
      </c>
      <c r="X14" s="716" t="e">
        <f t="shared" si="6"/>
        <v>#N/A</v>
      </c>
      <c r="Y14" s="523" t="e">
        <f>VLOOKUP($V$8,Tracks!$A$4:$AP$886,35,0)*VLOOKUP(W14,Tables!$B$94:$C$102,2,0)^Y9*Tables!$B$91</f>
        <v>#N/A</v>
      </c>
      <c r="Z14" s="508" t="e">
        <f t="shared" si="7"/>
        <v>#N/A</v>
      </c>
      <c r="AA14" s="509"/>
      <c r="AB14" s="510" t="e">
        <f>VLOOKUP('Tyre&amp;Fuel'!$D$28,Tracks!$A$4:$AP$849,35,0)*VLOOKUP(M14,Tables!$B$94:$C$102,2,0)^Tables!AE24*Tables!B91/2</f>
        <v>#N/A</v>
      </c>
      <c r="AC14" s="711">
        <f>IF(AA9="Yes",AB14/100*AC9,0)</f>
        <v>0</v>
      </c>
      <c r="AD14" s="705" t="e">
        <f t="shared" si="8"/>
        <v>#N/A</v>
      </c>
      <c r="AE14" s="721"/>
      <c r="AF14" s="529" t="s">
        <v>796</v>
      </c>
      <c r="AG14" s="715">
        <f t="shared" si="9"/>
        <v>7</v>
      </c>
      <c r="AH14" s="716" t="e">
        <f t="shared" si="10"/>
        <v>#N/A</v>
      </c>
      <c r="AI14" s="523" t="e">
        <f>VLOOKUP($AF$8,Tracks!$A$4:$AP$886,35,0)*VLOOKUP(AG14,Tables!$B$94:$C$102,2,0)^AI9*Tables!$B$91</f>
        <v>#N/A</v>
      </c>
      <c r="AJ14" s="508" t="e">
        <f t="shared" si="11"/>
        <v>#N/A</v>
      </c>
      <c r="AK14" s="509"/>
      <c r="AL14" s="510" t="e">
        <f>VLOOKUP('Tyre&amp;Fuel'!$D$28,Tracks!$A$4:$AP$849,35,0)*VLOOKUP(AG14,Tables!$B$94:$C$102,2,0)^Tables!$AE$24*Tables!$B$91/2</f>
        <v>#N/A</v>
      </c>
      <c r="AM14" s="711">
        <f>IF(AK9="Yes",AL14/100*AM9,0)</f>
        <v>0</v>
      </c>
      <c r="AN14" s="705" t="e">
        <f t="shared" si="12"/>
        <v>#N/A</v>
      </c>
      <c r="AO14" s="721"/>
      <c r="AP14" s="529" t="s">
        <v>796</v>
      </c>
      <c r="AQ14" s="715">
        <f t="shared" si="13"/>
        <v>7</v>
      </c>
      <c r="AR14" s="716" t="e">
        <f t="shared" si="14"/>
        <v>#N/A</v>
      </c>
      <c r="AS14" s="523" t="e">
        <f>VLOOKUP(AP8,Tracks!$A$4:$AP$886,35,0)*VLOOKUP(AQ14,Tables!$B$94:$C$102,2,0)^AS9*Tables!$B$91</f>
        <v>#N/A</v>
      </c>
      <c r="AT14" s="508" t="e">
        <f t="shared" si="15"/>
        <v>#N/A</v>
      </c>
      <c r="AU14" s="509"/>
      <c r="AV14" s="510" t="e">
        <f>VLOOKUP('Tyre&amp;Fuel'!$D$28,Tracks!$A$4:$AP$849,35,0)*VLOOKUP(AQ14,Tables!$B$94:$C$102,2,0)^Tables!$AE$24*Tables!$B$91/2</f>
        <v>#N/A</v>
      </c>
      <c r="AW14" s="711">
        <f>IF(AU9="Yes",AV14/100*AW9,0)</f>
        <v>0</v>
      </c>
      <c r="AX14" s="705" t="e">
        <f t="shared" si="16"/>
        <v>#N/A</v>
      </c>
      <c r="AY14" s="721"/>
      <c r="AZ14" s="529" t="s">
        <v>796</v>
      </c>
      <c r="BA14" s="715">
        <f t="shared" si="17"/>
        <v>7</v>
      </c>
      <c r="BB14" s="716" t="e">
        <f t="shared" ref="BB14:BB20" si="20">IF(BE14="Down",AX14*84.5%,IF(BE14="2Down",AX14*69%,IF(BE14="Up",AX11-AX11,IF(BE14="Same",AX14-AX14,AX14))))</f>
        <v>#N/A</v>
      </c>
      <c r="BC14" s="523" t="e">
        <f>VLOOKUP(AZ8,Tracks!$A$4:$AP$886,35,0)*VLOOKUP(BA14,Tables!$B$94:$C$102,2,0)^BC9*Tables!$B$91</f>
        <v>#N/A</v>
      </c>
      <c r="BD14" s="508" t="e">
        <f t="shared" si="18"/>
        <v>#N/A</v>
      </c>
      <c r="BE14" s="509"/>
      <c r="BF14" s="510" t="e">
        <f>VLOOKUP('Tyre&amp;Fuel'!$D$28,Tracks!$A$4:$AP$849,35,0)*VLOOKUP(BA14,Tables!$B$94:$C$102,2,0)^Tables!$AE$24*Tables!$B$91/2</f>
        <v>#N/A</v>
      </c>
      <c r="BG14" s="711">
        <f>IF(BE9="Yes",BF14/100*BG9,0)</f>
        <v>0</v>
      </c>
      <c r="BH14" s="705" t="e">
        <f t="shared" si="19"/>
        <v>#N/A</v>
      </c>
      <c r="BI14" s="721"/>
    </row>
    <row r="15" spans="1:61" x14ac:dyDescent="0.3">
      <c r="A15" s="721"/>
      <c r="B15" s="529" t="s">
        <v>10</v>
      </c>
      <c r="C15" s="511">
        <v>8</v>
      </c>
      <c r="D15" s="522">
        <v>0</v>
      </c>
      <c r="E15" s="523" t="e">
        <f>VLOOKUP($B$8,Tracks!$A$4:$AP$886,36,0)*VLOOKUP(C15,Tables!$B$94:$C$102,2,0)^E9*Tables!$B$91</f>
        <v>#N/A</v>
      </c>
      <c r="F15" s="508" t="e">
        <f t="shared" si="0"/>
        <v>#N/A</v>
      </c>
      <c r="G15" s="544"/>
      <c r="H15" s="510" t="e">
        <f>VLOOKUP('Tyre&amp;Fuel'!$D$28,Tracks!$A$4:$AP$849,36,0)*VLOOKUP(C15,Tables!$B$94:$C$102,2,0)^Tables!AE24*Tables!B91/2</f>
        <v>#N/A</v>
      </c>
      <c r="I15" s="711" t="e">
        <f>IF(G9="Yes",H15/100*I9,0)</f>
        <v>#N/A</v>
      </c>
      <c r="J15" s="705" t="e">
        <f t="shared" si="1"/>
        <v>#N/A</v>
      </c>
      <c r="K15" s="721"/>
      <c r="L15" s="529" t="s">
        <v>10</v>
      </c>
      <c r="M15" s="715">
        <f t="shared" si="2"/>
        <v>8</v>
      </c>
      <c r="N15" s="716" t="e">
        <f t="shared" si="3"/>
        <v>#N/A</v>
      </c>
      <c r="O15" s="523" t="e">
        <f>VLOOKUP($L$8,Tracks!$A$4:$AP$886,36,0)*VLOOKUP(M15,Tables!$B$94:$C$102,2,0)^O9*Tables!$B$91</f>
        <v>#N/A</v>
      </c>
      <c r="P15" s="508" t="e">
        <f t="shared" si="4"/>
        <v>#N/A</v>
      </c>
      <c r="Q15" s="509"/>
      <c r="R15" s="510" t="e">
        <f>VLOOKUP('Tyre&amp;Fuel'!$D$28,Tracks!$A$4:$AP$849,36,0)*VLOOKUP(M15,Tables!$B$94:$C$102,2,0)^Tables!AE24*Tables!$B$91/2</f>
        <v>#N/A</v>
      </c>
      <c r="S15" s="711" t="e">
        <f>IF(Q9="Yes",R15/100*S9,0)</f>
        <v>#N/A</v>
      </c>
      <c r="T15" s="705" t="e">
        <f>IF($G$9="Yes",(MIN(100,(SUM(P15)))),(MIN(100,(SUM(P15)))))</f>
        <v>#N/A</v>
      </c>
      <c r="U15" s="721"/>
      <c r="V15" s="529" t="s">
        <v>10</v>
      </c>
      <c r="W15" s="715">
        <f t="shared" si="5"/>
        <v>8</v>
      </c>
      <c r="X15" s="716" t="e">
        <f t="shared" si="6"/>
        <v>#N/A</v>
      </c>
      <c r="Y15" s="523" t="e">
        <f>VLOOKUP($V$8,Tracks!$A$4:$AP$886,36,0)*VLOOKUP(W15,Tables!$B$94:$C$102,2,0)^Y9*Tables!$B$91</f>
        <v>#N/A</v>
      </c>
      <c r="Z15" s="508" t="e">
        <f t="shared" si="7"/>
        <v>#N/A</v>
      </c>
      <c r="AA15" s="509"/>
      <c r="AB15" s="510" t="e">
        <f>VLOOKUP('Tyre&amp;Fuel'!$D$28,Tracks!$A$4:$AP$849,36,0)*VLOOKUP(M15,Tables!$B$94:$C$102,2,0)^Tables!AE24*Tables!B91/2</f>
        <v>#N/A</v>
      </c>
      <c r="AC15" s="711">
        <f>IF(AA9="Yes",AB15/100*AC9,0)</f>
        <v>0</v>
      </c>
      <c r="AD15" s="705" t="e">
        <f t="shared" si="8"/>
        <v>#N/A</v>
      </c>
      <c r="AE15" s="721"/>
      <c r="AF15" s="529" t="s">
        <v>10</v>
      </c>
      <c r="AG15" s="715">
        <f t="shared" si="9"/>
        <v>8</v>
      </c>
      <c r="AH15" s="716" t="e">
        <f t="shared" si="10"/>
        <v>#N/A</v>
      </c>
      <c r="AI15" s="523" t="e">
        <f>VLOOKUP($AF$8,Tracks!$A$4:$AP$886,36,0)*VLOOKUP(AG15,Tables!$B$94:$C$102,2,0)^AI9*Tables!$B$91</f>
        <v>#N/A</v>
      </c>
      <c r="AJ15" s="508" t="e">
        <f t="shared" si="11"/>
        <v>#N/A</v>
      </c>
      <c r="AK15" s="509"/>
      <c r="AL15" s="510" t="e">
        <f>VLOOKUP('Tyre&amp;Fuel'!$D$28,Tracks!$A$4:$AP$849,36,0)*VLOOKUP(AG15,Tables!$B$94:$C$102,2,0)^Tables!$AE$24*Tables!$B$91/2</f>
        <v>#N/A</v>
      </c>
      <c r="AM15" s="711">
        <f>IF(AK9="Yes",AL15/100*AM9,0)</f>
        <v>0</v>
      </c>
      <c r="AN15" s="705" t="e">
        <f t="shared" si="12"/>
        <v>#N/A</v>
      </c>
      <c r="AO15" s="721"/>
      <c r="AP15" s="529" t="s">
        <v>10</v>
      </c>
      <c r="AQ15" s="715">
        <f t="shared" si="13"/>
        <v>8</v>
      </c>
      <c r="AR15" s="716" t="e">
        <f t="shared" si="14"/>
        <v>#N/A</v>
      </c>
      <c r="AS15" s="523" t="e">
        <f>VLOOKUP(AP8,Tracks!$A$4:$AP$886,36,0)*VLOOKUP(AQ15,Tables!$B$94:$C$102,2,0)^AS9*Tables!$B$91</f>
        <v>#N/A</v>
      </c>
      <c r="AT15" s="508" t="e">
        <f t="shared" si="15"/>
        <v>#N/A</v>
      </c>
      <c r="AU15" s="509"/>
      <c r="AV15" s="510" t="e">
        <f>VLOOKUP('Tyre&amp;Fuel'!$D$28,Tracks!$A$4:$AP$849,36,0)*VLOOKUP(AQ15,Tables!$B$94:$C$102,2,0)^Tables!$AE$24*Tables!$B$91/2</f>
        <v>#N/A</v>
      </c>
      <c r="AW15" s="711">
        <f>IF(AU9="Yes",AV15/100*AW9,0)</f>
        <v>0</v>
      </c>
      <c r="AX15" s="705" t="e">
        <f t="shared" si="16"/>
        <v>#N/A</v>
      </c>
      <c r="AY15" s="721"/>
      <c r="AZ15" s="529" t="s">
        <v>10</v>
      </c>
      <c r="BA15" s="715">
        <f t="shared" si="17"/>
        <v>8</v>
      </c>
      <c r="BB15" s="716" t="e">
        <f t="shared" si="20"/>
        <v>#N/A</v>
      </c>
      <c r="BC15" s="523" t="e">
        <f>VLOOKUP(AZ8,Tracks!$A$4:$AP$886,36,0)*VLOOKUP(BA15,Tables!$B$94:$C$102,2,0)^BC9*Tables!$B$91</f>
        <v>#N/A</v>
      </c>
      <c r="BD15" s="508" t="e">
        <f t="shared" si="18"/>
        <v>#N/A</v>
      </c>
      <c r="BE15" s="509"/>
      <c r="BF15" s="510" t="e">
        <f>VLOOKUP('Tyre&amp;Fuel'!$D$28,Tracks!$A$4:$AP$849,36,0)*VLOOKUP(BA15,Tables!$B$94:$C$102,2,0)^Tables!$AE$24*Tables!$B$91/2</f>
        <v>#N/A</v>
      </c>
      <c r="BG15" s="711">
        <f>IF(BE9="Yes",BF15/100*BG9,0)</f>
        <v>0</v>
      </c>
      <c r="BH15" s="705" t="e">
        <f t="shared" si="19"/>
        <v>#N/A</v>
      </c>
      <c r="BI15" s="721"/>
    </row>
    <row r="16" spans="1:61" x14ac:dyDescent="0.3">
      <c r="A16" s="721"/>
      <c r="B16" s="529" t="s">
        <v>12</v>
      </c>
      <c r="C16" s="511">
        <v>8</v>
      </c>
      <c r="D16" s="522">
        <v>0</v>
      </c>
      <c r="E16" s="523" t="e">
        <f>VLOOKUP($B$8,Tracks!$A$4:$AP$886,37,0)*VLOOKUP(C16,Tables!$B$94:$C$102,2,0)^E9*Tables!$B$91</f>
        <v>#N/A</v>
      </c>
      <c r="F16" s="508" t="e">
        <f t="shared" si="0"/>
        <v>#N/A</v>
      </c>
      <c r="G16" s="544"/>
      <c r="H16" s="510" t="e">
        <f>VLOOKUP('Tyre&amp;Fuel'!$D$28,Tracks!$A$4:$AP$849,37,0)*VLOOKUP(C16,Tables!$B$94:$C$102,2,0)^Tables!AE24*Tables!B91/2</f>
        <v>#N/A</v>
      </c>
      <c r="I16" s="711" t="e">
        <f>IF(G9="Yes",H16/100*I9,0)</f>
        <v>#N/A</v>
      </c>
      <c r="J16" s="705" t="e">
        <f t="shared" si="1"/>
        <v>#N/A</v>
      </c>
      <c r="K16" s="721"/>
      <c r="L16" s="529" t="s">
        <v>12</v>
      </c>
      <c r="M16" s="715">
        <f t="shared" si="2"/>
        <v>8</v>
      </c>
      <c r="N16" s="716" t="e">
        <f t="shared" si="3"/>
        <v>#N/A</v>
      </c>
      <c r="O16" s="523" t="e">
        <f>VLOOKUP($L$8,Tracks!$A$4:$AP$886,37,0)*VLOOKUP(M16,Tables!$B$94:$C$102,2,0)^O9*Tables!$B$91</f>
        <v>#N/A</v>
      </c>
      <c r="P16" s="508" t="e">
        <f t="shared" si="4"/>
        <v>#N/A</v>
      </c>
      <c r="Q16" s="509"/>
      <c r="R16" s="510" t="e">
        <f>VLOOKUP('Tyre&amp;Fuel'!$D$28,Tracks!$A$4:$AP$849,37,0)*VLOOKUP(M16,Tables!$B$94:$C$102,2,0)^Tables!AE24*Tables!$B$91/2</f>
        <v>#N/A</v>
      </c>
      <c r="S16" s="711" t="e">
        <f t="shared" ref="S16:S21" si="21">IF($Q$9="Yes",R16/100*$S$9,0)</f>
        <v>#N/A</v>
      </c>
      <c r="T16" s="705" t="e">
        <f t="shared" ref="T16:T21" si="22">IF($Q$9="Yes",(MIN(100,(SUM(P16)))),(MIN(100,(SUM(P16)))))</f>
        <v>#N/A</v>
      </c>
      <c r="U16" s="721"/>
      <c r="V16" s="529" t="s">
        <v>12</v>
      </c>
      <c r="W16" s="715">
        <f t="shared" si="5"/>
        <v>8</v>
      </c>
      <c r="X16" s="716" t="e">
        <f t="shared" si="6"/>
        <v>#N/A</v>
      </c>
      <c r="Y16" s="523" t="e">
        <f>VLOOKUP($V$8,Tracks!$A$4:$AP$886,37,0)*VLOOKUP(W16,Tables!$B$94:$C$102,2,0)^Y9*Tables!$B$91</f>
        <v>#N/A</v>
      </c>
      <c r="Z16" s="508" t="e">
        <f t="shared" si="7"/>
        <v>#N/A</v>
      </c>
      <c r="AA16" s="509"/>
      <c r="AB16" s="510" t="e">
        <f>VLOOKUP('Tyre&amp;Fuel'!$D$28,Tracks!$A$4:$AP$849,37,0)*VLOOKUP(M16,Tables!$B$94:$C$102,2,0)^Tables!AE24*Tables!B91/2</f>
        <v>#N/A</v>
      </c>
      <c r="AC16" s="711">
        <f>IF(AA9="Yes",AB16/100*AC9,0)</f>
        <v>0</v>
      </c>
      <c r="AD16" s="705" t="e">
        <f t="shared" si="8"/>
        <v>#N/A</v>
      </c>
      <c r="AE16" s="721"/>
      <c r="AF16" s="529" t="s">
        <v>12</v>
      </c>
      <c r="AG16" s="715">
        <f t="shared" si="9"/>
        <v>8</v>
      </c>
      <c r="AH16" s="716" t="e">
        <f t="shared" si="10"/>
        <v>#N/A</v>
      </c>
      <c r="AI16" s="523" t="e">
        <f>VLOOKUP($AF$8,Tracks!$A$4:$AP$886,37,0)*VLOOKUP(AG16,Tables!$B$94:$C$102,2,0)^AI9*Tables!$B$91</f>
        <v>#N/A</v>
      </c>
      <c r="AJ16" s="508" t="e">
        <f t="shared" si="11"/>
        <v>#N/A</v>
      </c>
      <c r="AK16" s="509"/>
      <c r="AL16" s="510" t="e">
        <f>VLOOKUP('Tyre&amp;Fuel'!$D$28,Tracks!$A$4:$AP$849,37,0)*VLOOKUP(AG16,Tables!$B$94:$C$102,2,0)^Tables!$AE$24*Tables!$B$91/2</f>
        <v>#N/A</v>
      </c>
      <c r="AM16" s="711">
        <f>IF(AK9="Yes",AL16/100*AM9,0)</f>
        <v>0</v>
      </c>
      <c r="AN16" s="705" t="e">
        <f t="shared" si="12"/>
        <v>#N/A</v>
      </c>
      <c r="AO16" s="721"/>
      <c r="AP16" s="529" t="s">
        <v>12</v>
      </c>
      <c r="AQ16" s="715">
        <f t="shared" si="13"/>
        <v>8</v>
      </c>
      <c r="AR16" s="716" t="e">
        <f t="shared" si="14"/>
        <v>#N/A</v>
      </c>
      <c r="AS16" s="523" t="e">
        <f>VLOOKUP(AP8,Tracks!$A$4:$AP$886,37,0)*VLOOKUP(AQ16,Tables!$B$94:$C$102,2,0)^AS9*Tables!$B$91</f>
        <v>#N/A</v>
      </c>
      <c r="AT16" s="508" t="e">
        <f t="shared" si="15"/>
        <v>#N/A</v>
      </c>
      <c r="AU16" s="509"/>
      <c r="AV16" s="510" t="e">
        <f>VLOOKUP('Tyre&amp;Fuel'!$D$28,Tracks!$A$4:$AP$849,37,0)*VLOOKUP(AQ16,Tables!$B$94:$C$102,2,0)^Tables!$AE$24*Tables!$B$91/2</f>
        <v>#N/A</v>
      </c>
      <c r="AW16" s="711">
        <f>IF(AU9="Yes",AV16/100*AW9,0)</f>
        <v>0</v>
      </c>
      <c r="AX16" s="705" t="e">
        <f t="shared" si="16"/>
        <v>#N/A</v>
      </c>
      <c r="AY16" s="721"/>
      <c r="AZ16" s="529" t="s">
        <v>12</v>
      </c>
      <c r="BA16" s="715">
        <f t="shared" si="17"/>
        <v>8</v>
      </c>
      <c r="BB16" s="716" t="e">
        <f t="shared" si="20"/>
        <v>#N/A</v>
      </c>
      <c r="BC16" s="523" t="e">
        <f>VLOOKUP(AZ8,Tracks!$A$4:$AP$886,37,0)*VLOOKUP(BA16,Tables!$B$94:$C$102,2,0)^BC9*Tables!$B$91</f>
        <v>#N/A</v>
      </c>
      <c r="BD16" s="508" t="e">
        <f t="shared" si="18"/>
        <v>#N/A</v>
      </c>
      <c r="BE16" s="509"/>
      <c r="BF16" s="510" t="e">
        <f>VLOOKUP('Tyre&amp;Fuel'!$D$28,Tracks!$A$4:$AP$849,37,0)*VLOOKUP(BA16,Tables!$B$94:$C$102,2,0)^Tables!$AE$24*Tables!$B$91/2</f>
        <v>#N/A</v>
      </c>
      <c r="BG16" s="711">
        <f>IF(BE9="Yes",BF16/100*BG9,0)</f>
        <v>0</v>
      </c>
      <c r="BH16" s="705" t="e">
        <f t="shared" si="19"/>
        <v>#N/A</v>
      </c>
      <c r="BI16" s="721"/>
    </row>
    <row r="17" spans="1:61" x14ac:dyDescent="0.3">
      <c r="A17" s="721"/>
      <c r="B17" s="529" t="s">
        <v>15</v>
      </c>
      <c r="C17" s="511">
        <v>7</v>
      </c>
      <c r="D17" s="522">
        <v>0</v>
      </c>
      <c r="E17" s="523" t="e">
        <f>VLOOKUP($B$8,Tracks!$A$4:$AP$886,38,0)*VLOOKUP(C17,Tables!$B$94:$C$102,2,0)^E9*Tables!$B$91</f>
        <v>#N/A</v>
      </c>
      <c r="F17" s="508" t="e">
        <f t="shared" si="0"/>
        <v>#N/A</v>
      </c>
      <c r="G17" s="544"/>
      <c r="H17" s="510" t="e">
        <f>VLOOKUP('Tyre&amp;Fuel'!$D$28,Tracks!$A$4:$AP$849,38,0)*VLOOKUP(C17,Tables!$B$94:$C$102,2,0)^Tables!AE24*Tables!B91/2</f>
        <v>#N/A</v>
      </c>
      <c r="I17" s="711" t="e">
        <f>IF(G9="Yes",H17/100*I9,0)</f>
        <v>#N/A</v>
      </c>
      <c r="J17" s="705" t="e">
        <f t="shared" si="1"/>
        <v>#N/A</v>
      </c>
      <c r="K17" s="721"/>
      <c r="L17" s="529" t="s">
        <v>15</v>
      </c>
      <c r="M17" s="715">
        <f t="shared" si="2"/>
        <v>7</v>
      </c>
      <c r="N17" s="716" t="e">
        <f t="shared" si="3"/>
        <v>#N/A</v>
      </c>
      <c r="O17" s="523" t="e">
        <f>VLOOKUP($L$8,Tracks!$A$4:$AP$886,38,0)*VLOOKUP(M17,Tables!$B$94:$C$102,2,0)^O9*Tables!$B$91</f>
        <v>#N/A</v>
      </c>
      <c r="P17" s="508" t="e">
        <f t="shared" si="4"/>
        <v>#N/A</v>
      </c>
      <c r="Q17" s="509"/>
      <c r="R17" s="510" t="e">
        <f>VLOOKUP('Tyre&amp;Fuel'!$D$28,Tracks!$A$4:$AP$849,38,0)*VLOOKUP(M17,Tables!$B$94:$C$102,2,0)^Tables!AE24*Tables!$B$91/2</f>
        <v>#N/A</v>
      </c>
      <c r="S17" s="711" t="e">
        <f t="shared" si="21"/>
        <v>#N/A</v>
      </c>
      <c r="T17" s="705" t="e">
        <f t="shared" si="22"/>
        <v>#N/A</v>
      </c>
      <c r="U17" s="721"/>
      <c r="V17" s="529" t="s">
        <v>15</v>
      </c>
      <c r="W17" s="715">
        <f t="shared" si="5"/>
        <v>7</v>
      </c>
      <c r="X17" s="716" t="e">
        <f t="shared" si="6"/>
        <v>#N/A</v>
      </c>
      <c r="Y17" s="523" t="e">
        <f>VLOOKUP($V$8,Tracks!$A$4:$AP$886,38,0)*VLOOKUP(W17,Tables!$B$94:$C$102,2,0)^Y9*Tables!$B$91</f>
        <v>#N/A</v>
      </c>
      <c r="Z17" s="508" t="e">
        <f t="shared" si="7"/>
        <v>#N/A</v>
      </c>
      <c r="AA17" s="509"/>
      <c r="AB17" s="510" t="e">
        <f>VLOOKUP('Tyre&amp;Fuel'!$D$28,Tracks!$A$4:$AP$849,38,0)*VLOOKUP(M17,Tables!$B$94:$C$102,2,0)^Tables!AE24*Tables!B91/2</f>
        <v>#N/A</v>
      </c>
      <c r="AC17" s="711">
        <f>IF(AA9="Yes",AB17/100*AC9,0)</f>
        <v>0</v>
      </c>
      <c r="AD17" s="705" t="e">
        <f t="shared" si="8"/>
        <v>#N/A</v>
      </c>
      <c r="AE17" s="721"/>
      <c r="AF17" s="529" t="s">
        <v>15</v>
      </c>
      <c r="AG17" s="715">
        <f t="shared" si="9"/>
        <v>7</v>
      </c>
      <c r="AH17" s="716" t="e">
        <f t="shared" si="10"/>
        <v>#N/A</v>
      </c>
      <c r="AI17" s="523" t="e">
        <f>VLOOKUP($AF$8,Tracks!$A$4:$AP$886,38,0)*VLOOKUP(AG17,Tables!$B$94:$C$102,2,0)^AI9*Tables!$B$91</f>
        <v>#N/A</v>
      </c>
      <c r="AJ17" s="508" t="e">
        <f t="shared" si="11"/>
        <v>#N/A</v>
      </c>
      <c r="AK17" s="509"/>
      <c r="AL17" s="510" t="e">
        <f>VLOOKUP('Tyre&amp;Fuel'!$D$28,Tracks!$A$4:$AP$849,38,0)*VLOOKUP(AG17,Tables!$B$94:$C$102,2,0)^Tables!$AE$24*Tables!$B$91/2</f>
        <v>#N/A</v>
      </c>
      <c r="AM17" s="711">
        <f>IF(AK9="Yes",AL17/100*AM9,0)</f>
        <v>0</v>
      </c>
      <c r="AN17" s="705" t="e">
        <f t="shared" si="12"/>
        <v>#N/A</v>
      </c>
      <c r="AO17" s="721"/>
      <c r="AP17" s="529" t="s">
        <v>15</v>
      </c>
      <c r="AQ17" s="715">
        <f t="shared" si="13"/>
        <v>7</v>
      </c>
      <c r="AR17" s="716" t="e">
        <f t="shared" si="14"/>
        <v>#N/A</v>
      </c>
      <c r="AS17" s="523" t="e">
        <f>VLOOKUP(AP8,Tracks!$A$4:$AP$886,38,0)*VLOOKUP(AQ17,Tables!$B$94:$C$102,2,0)^AS9*Tables!$B$91</f>
        <v>#N/A</v>
      </c>
      <c r="AT17" s="508" t="e">
        <f t="shared" si="15"/>
        <v>#N/A</v>
      </c>
      <c r="AU17" s="509"/>
      <c r="AV17" s="510" t="e">
        <f>VLOOKUP('Tyre&amp;Fuel'!$D$28,Tracks!$A$4:$AP$849,38,0)*VLOOKUP(AQ17,Tables!$B$94:$C$102,2,0)^Tables!$AE$24*Tables!$B$91/2</f>
        <v>#N/A</v>
      </c>
      <c r="AW17" s="711">
        <f>IF(AU9="Yes",AV17/100*AW9,0)</f>
        <v>0</v>
      </c>
      <c r="AX17" s="705" t="e">
        <f t="shared" si="16"/>
        <v>#N/A</v>
      </c>
      <c r="AY17" s="721"/>
      <c r="AZ17" s="529" t="s">
        <v>15</v>
      </c>
      <c r="BA17" s="715">
        <f t="shared" si="17"/>
        <v>7</v>
      </c>
      <c r="BB17" s="716" t="e">
        <f t="shared" si="20"/>
        <v>#N/A</v>
      </c>
      <c r="BC17" s="523" t="e">
        <f>VLOOKUP(AZ8,Tracks!$A$4:$AP$886,38,0)*VLOOKUP(BA17,Tables!$B$94:$C$102,2,0)^BC9*Tables!$B$91</f>
        <v>#N/A</v>
      </c>
      <c r="BD17" s="508" t="e">
        <f t="shared" si="18"/>
        <v>#N/A</v>
      </c>
      <c r="BE17" s="509"/>
      <c r="BF17" s="510" t="e">
        <f>VLOOKUP('Tyre&amp;Fuel'!$D$28,Tracks!$A$4:$AP$849,38,0)*VLOOKUP(BA17,Tables!$B$94:$C$102,2,0)^Tables!$AE$24*Tables!$B$91/2</f>
        <v>#N/A</v>
      </c>
      <c r="BG17" s="711">
        <f>IF(BE9="Yes",BF17/100*BG9,0)</f>
        <v>0</v>
      </c>
      <c r="BH17" s="705" t="e">
        <f t="shared" si="19"/>
        <v>#N/A</v>
      </c>
      <c r="BI17" s="721"/>
    </row>
    <row r="18" spans="1:61" x14ac:dyDescent="0.3">
      <c r="A18" s="721"/>
      <c r="B18" s="529" t="s">
        <v>17</v>
      </c>
      <c r="C18" s="511">
        <v>7</v>
      </c>
      <c r="D18" s="522">
        <v>0</v>
      </c>
      <c r="E18" s="523" t="e">
        <f>VLOOKUP($B$8,Tracks!$A$4:$AP$886,39,0)*VLOOKUP(C18,Tables!$B$94:$C$102,2,0)^E9*Tables!$B$91</f>
        <v>#N/A</v>
      </c>
      <c r="F18" s="508" t="e">
        <f t="shared" si="0"/>
        <v>#N/A</v>
      </c>
      <c r="G18" s="544"/>
      <c r="H18" s="510" t="e">
        <f>VLOOKUP('Tyre&amp;Fuel'!$D$28,Tracks!$A$4:$AP$849,39,0)*VLOOKUP(C18,Tables!$B$94:$C$102,2,0)^Tables!AE24*Tables!B91/2</f>
        <v>#N/A</v>
      </c>
      <c r="I18" s="711" t="e">
        <f>IF(G9="Yes",H18/100*I9,0)</f>
        <v>#N/A</v>
      </c>
      <c r="J18" s="705" t="e">
        <f t="shared" si="1"/>
        <v>#N/A</v>
      </c>
      <c r="K18" s="721"/>
      <c r="L18" s="529" t="s">
        <v>17</v>
      </c>
      <c r="M18" s="715">
        <f t="shared" si="2"/>
        <v>7</v>
      </c>
      <c r="N18" s="716" t="e">
        <f t="shared" si="3"/>
        <v>#N/A</v>
      </c>
      <c r="O18" s="523" t="e">
        <f>VLOOKUP($L$8,Tracks!$A$4:$AP$886,39,0)*VLOOKUP(M18,Tables!$B$94:$C$102,2,0)^O9*Tables!$B$91</f>
        <v>#N/A</v>
      </c>
      <c r="P18" s="508" t="e">
        <f t="shared" si="4"/>
        <v>#N/A</v>
      </c>
      <c r="Q18" s="509"/>
      <c r="R18" s="510" t="e">
        <f>VLOOKUP('Tyre&amp;Fuel'!$D$28,Tracks!$A$4:$AP$849,39,0)*VLOOKUP(M18,Tables!$B$94:$C$102,2,0)^Tables!AE24*Tables!$B$91/2</f>
        <v>#N/A</v>
      </c>
      <c r="S18" s="711" t="e">
        <f t="shared" si="21"/>
        <v>#N/A</v>
      </c>
      <c r="T18" s="705" t="e">
        <f t="shared" si="22"/>
        <v>#N/A</v>
      </c>
      <c r="U18" s="721"/>
      <c r="V18" s="529" t="s">
        <v>17</v>
      </c>
      <c r="W18" s="715">
        <f t="shared" si="5"/>
        <v>7</v>
      </c>
      <c r="X18" s="716" t="e">
        <f t="shared" si="6"/>
        <v>#N/A</v>
      </c>
      <c r="Y18" s="523" t="e">
        <f>VLOOKUP($V$8,Tracks!$A$4:$AP$886,39,0)*VLOOKUP(W18,Tables!$B$94:$C$102,2,0)^Y9*Tables!$B$91</f>
        <v>#N/A</v>
      </c>
      <c r="Z18" s="508" t="e">
        <f t="shared" si="7"/>
        <v>#N/A</v>
      </c>
      <c r="AA18" s="509"/>
      <c r="AB18" s="510" t="e">
        <f>VLOOKUP('Tyre&amp;Fuel'!$D$28,Tracks!$A$4:$AP$849,39,0)*VLOOKUP(M18,Tables!$B$94:$C$102,2,0)^Tables!AE24*Tables!B91/2</f>
        <v>#N/A</v>
      </c>
      <c r="AC18" s="711">
        <f>IF(AA9="Yes",AB18/100*AC9,0)</f>
        <v>0</v>
      </c>
      <c r="AD18" s="705" t="e">
        <f t="shared" si="8"/>
        <v>#N/A</v>
      </c>
      <c r="AE18" s="721"/>
      <c r="AF18" s="529" t="s">
        <v>17</v>
      </c>
      <c r="AG18" s="715">
        <f t="shared" si="9"/>
        <v>7</v>
      </c>
      <c r="AH18" s="716" t="e">
        <f t="shared" si="10"/>
        <v>#N/A</v>
      </c>
      <c r="AI18" s="523" t="e">
        <f>VLOOKUP($AF$8,Tracks!$A$4:$AP$886,39,0)*VLOOKUP(AG18,Tables!$B$94:$C$102,2,0)^AI9*Tables!$B$91</f>
        <v>#N/A</v>
      </c>
      <c r="AJ18" s="508" t="e">
        <f t="shared" si="11"/>
        <v>#N/A</v>
      </c>
      <c r="AK18" s="509"/>
      <c r="AL18" s="510" t="e">
        <f>VLOOKUP('Tyre&amp;Fuel'!$D$28,Tracks!$A$4:$AP$849,39,0)*VLOOKUP(AG18,Tables!$B$94:$C$102,2,0)^Tables!$AE$24*Tables!$B$91/2</f>
        <v>#N/A</v>
      </c>
      <c r="AM18" s="711">
        <f>IF(AK9="Yes",AL18/100*AM9,0)</f>
        <v>0</v>
      </c>
      <c r="AN18" s="705" t="e">
        <f t="shared" si="12"/>
        <v>#N/A</v>
      </c>
      <c r="AO18" s="721"/>
      <c r="AP18" s="529" t="s">
        <v>17</v>
      </c>
      <c r="AQ18" s="715">
        <f t="shared" si="13"/>
        <v>7</v>
      </c>
      <c r="AR18" s="716" t="e">
        <f t="shared" si="14"/>
        <v>#N/A</v>
      </c>
      <c r="AS18" s="523" t="e">
        <f>VLOOKUP(AP8,Tracks!$A$4:$AP$886,39,0)*VLOOKUP(AQ18,Tables!$B$94:$C$102,2,0)^AS9*Tables!$B$91</f>
        <v>#N/A</v>
      </c>
      <c r="AT18" s="508" t="e">
        <f t="shared" si="15"/>
        <v>#N/A</v>
      </c>
      <c r="AU18" s="509"/>
      <c r="AV18" s="510" t="e">
        <f>VLOOKUP('Tyre&amp;Fuel'!$D$28,Tracks!$A$4:$AP$849,39,0)*VLOOKUP(AQ18,Tables!$B$94:$C$102,2,0)^Tables!$AE$24*Tables!$B$91/2</f>
        <v>#N/A</v>
      </c>
      <c r="AW18" s="711">
        <f>IF(AU9="Yes",AV18/100*AW9,0)</f>
        <v>0</v>
      </c>
      <c r="AX18" s="705" t="e">
        <f t="shared" si="16"/>
        <v>#N/A</v>
      </c>
      <c r="AY18" s="721"/>
      <c r="AZ18" s="529" t="s">
        <v>17</v>
      </c>
      <c r="BA18" s="715">
        <f t="shared" si="17"/>
        <v>7</v>
      </c>
      <c r="BB18" s="716" t="e">
        <f t="shared" si="20"/>
        <v>#N/A</v>
      </c>
      <c r="BC18" s="523" t="e">
        <f>VLOOKUP(AZ8,Tracks!$A$4:$AP$886,39,0)*VLOOKUP(BA18,Tables!$B$94:$C$102,2,0)^BC9*Tables!$B$91</f>
        <v>#N/A</v>
      </c>
      <c r="BD18" s="508" t="e">
        <f t="shared" si="18"/>
        <v>#N/A</v>
      </c>
      <c r="BE18" s="509"/>
      <c r="BF18" s="510" t="e">
        <f>VLOOKUP('Tyre&amp;Fuel'!$D$28,Tracks!$A$4:$AP$849,39,0)*VLOOKUP(BA18,Tables!$B$94:$C$102,2,0)^Tables!$AE$24*Tables!$B$91/2</f>
        <v>#N/A</v>
      </c>
      <c r="BG18" s="711">
        <f>IF(BE9="Yes",BF18/100*BG9,0)</f>
        <v>0</v>
      </c>
      <c r="BH18" s="705" t="e">
        <f t="shared" si="19"/>
        <v>#N/A</v>
      </c>
      <c r="BI18" s="721"/>
    </row>
    <row r="19" spans="1:61" x14ac:dyDescent="0.3">
      <c r="A19" s="721"/>
      <c r="B19" s="529" t="s">
        <v>19</v>
      </c>
      <c r="C19" s="511">
        <v>8</v>
      </c>
      <c r="D19" s="522">
        <v>0</v>
      </c>
      <c r="E19" s="523" t="e">
        <f>VLOOKUP($B$8,Tracks!$A$4:$AP$886,40,0)*VLOOKUP(C19,Tables!$B$94:$C$102,2,0)^E9*Tables!$B$91</f>
        <v>#N/A</v>
      </c>
      <c r="F19" s="508" t="e">
        <f t="shared" si="0"/>
        <v>#N/A</v>
      </c>
      <c r="G19" s="544"/>
      <c r="H19" s="510" t="e">
        <f>VLOOKUP('Tyre&amp;Fuel'!$D$28,Tracks!$A$4:$AP$849,40,0)*VLOOKUP(C19,Tables!$B$94:$C$102,2,0)^Tables!AE24*Tables!B91/2</f>
        <v>#N/A</v>
      </c>
      <c r="I19" s="711" t="e">
        <f>IF(G9="Yes",H19/100*I9,0)</f>
        <v>#N/A</v>
      </c>
      <c r="J19" s="705" t="e">
        <f t="shared" si="1"/>
        <v>#N/A</v>
      </c>
      <c r="K19" s="721"/>
      <c r="L19" s="529" t="s">
        <v>19</v>
      </c>
      <c r="M19" s="715">
        <f t="shared" si="2"/>
        <v>8</v>
      </c>
      <c r="N19" s="716" t="e">
        <f t="shared" si="3"/>
        <v>#N/A</v>
      </c>
      <c r="O19" s="523" t="e">
        <f>VLOOKUP($L$8,Tracks!$A$4:$AP$886,40,0)*VLOOKUP(M19,Tables!$B$94:$C$102,2,0)^O9*Tables!$B$91</f>
        <v>#N/A</v>
      </c>
      <c r="P19" s="508" t="e">
        <f t="shared" si="4"/>
        <v>#N/A</v>
      </c>
      <c r="Q19" s="509"/>
      <c r="R19" s="510" t="e">
        <f>VLOOKUP('Tyre&amp;Fuel'!$D$28,Tracks!$A$4:$AP$849,40,0)*VLOOKUP(M19,Tables!$B$94:$C$102,2,0)^Tables!AE24*Tables!$B$91/2</f>
        <v>#N/A</v>
      </c>
      <c r="S19" s="711" t="e">
        <f t="shared" si="21"/>
        <v>#N/A</v>
      </c>
      <c r="T19" s="705" t="e">
        <f t="shared" si="22"/>
        <v>#N/A</v>
      </c>
      <c r="U19" s="721"/>
      <c r="V19" s="529" t="s">
        <v>19</v>
      </c>
      <c r="W19" s="715">
        <f t="shared" si="5"/>
        <v>8</v>
      </c>
      <c r="X19" s="716" t="e">
        <f t="shared" si="6"/>
        <v>#N/A</v>
      </c>
      <c r="Y19" s="523" t="e">
        <f>VLOOKUP($V$8,Tracks!$A$4:$AP$886,40,0)*VLOOKUP(W19,Tables!$B$94:$C$102,2,0)^Y9*Tables!$B$91</f>
        <v>#N/A</v>
      </c>
      <c r="Z19" s="508" t="e">
        <f t="shared" si="7"/>
        <v>#N/A</v>
      </c>
      <c r="AA19" s="509"/>
      <c r="AB19" s="510" t="e">
        <f>VLOOKUP('Tyre&amp;Fuel'!$D$28,Tracks!$A$4:$AP$849,40,0)*VLOOKUP(M19,Tables!$B$94:$C$102,2,0)^Tables!AE24*Tables!B91/2</f>
        <v>#N/A</v>
      </c>
      <c r="AC19" s="711">
        <f>IF(AA9="Yes",AB19/100*AC9,0)</f>
        <v>0</v>
      </c>
      <c r="AD19" s="705" t="e">
        <f t="shared" si="8"/>
        <v>#N/A</v>
      </c>
      <c r="AE19" s="721"/>
      <c r="AF19" s="529" t="s">
        <v>19</v>
      </c>
      <c r="AG19" s="715">
        <f t="shared" si="9"/>
        <v>8</v>
      </c>
      <c r="AH19" s="716" t="e">
        <f t="shared" si="10"/>
        <v>#N/A</v>
      </c>
      <c r="AI19" s="523" t="e">
        <f>VLOOKUP($AF$8,Tracks!$A$4:$AP$886,40,0)*VLOOKUP(AG19,Tables!$B$94:$C$102,2,0)^AI9*Tables!$B$91</f>
        <v>#N/A</v>
      </c>
      <c r="AJ19" s="508" t="e">
        <f t="shared" si="11"/>
        <v>#N/A</v>
      </c>
      <c r="AK19" s="509"/>
      <c r="AL19" s="510" t="e">
        <f>VLOOKUP('Tyre&amp;Fuel'!$D$28,Tracks!$A$4:$AP$849,40,0)*VLOOKUP(AG19,Tables!$B$94:$C$102,2,0)^Tables!$AE$24*Tables!$B$91/2</f>
        <v>#N/A</v>
      </c>
      <c r="AM19" s="711">
        <f>IF(AK9="Yes",AL19/100*AM9,0)</f>
        <v>0</v>
      </c>
      <c r="AN19" s="705" t="e">
        <f t="shared" si="12"/>
        <v>#N/A</v>
      </c>
      <c r="AO19" s="721"/>
      <c r="AP19" s="529" t="s">
        <v>19</v>
      </c>
      <c r="AQ19" s="715">
        <f t="shared" si="13"/>
        <v>8</v>
      </c>
      <c r="AR19" s="716" t="e">
        <f t="shared" si="14"/>
        <v>#N/A</v>
      </c>
      <c r="AS19" s="523" t="e">
        <f>VLOOKUP(AP8,Tracks!$A$4:$AP$886,40,0)*VLOOKUP(AQ19,Tables!$B$94:$C$102,2,0)^AS9*Tables!$B$91</f>
        <v>#N/A</v>
      </c>
      <c r="AT19" s="508" t="e">
        <f t="shared" si="15"/>
        <v>#N/A</v>
      </c>
      <c r="AU19" s="509"/>
      <c r="AV19" s="510" t="e">
        <f>VLOOKUP('Tyre&amp;Fuel'!$D$28,Tracks!$A$4:$AP$849,40,0)*VLOOKUP(AQ19,Tables!$B$94:$C$102,2,0)^Tables!$AE$24*Tables!$B$91/2</f>
        <v>#N/A</v>
      </c>
      <c r="AW19" s="711">
        <f>IF(AU9="Yes",AV19/100*AW9,0)</f>
        <v>0</v>
      </c>
      <c r="AX19" s="705" t="e">
        <f t="shared" si="16"/>
        <v>#N/A</v>
      </c>
      <c r="AY19" s="721"/>
      <c r="AZ19" s="529" t="s">
        <v>19</v>
      </c>
      <c r="BA19" s="715">
        <f t="shared" si="17"/>
        <v>8</v>
      </c>
      <c r="BB19" s="716" t="e">
        <f t="shared" si="20"/>
        <v>#N/A</v>
      </c>
      <c r="BC19" s="523" t="e">
        <f>VLOOKUP(AZ8,Tracks!$A$4:$AP$886,40,0)*VLOOKUP(BA19,Tables!$B$94:$C$102,2,0)^BC9*Tables!$B$91</f>
        <v>#N/A</v>
      </c>
      <c r="BD19" s="508" t="e">
        <f t="shared" si="18"/>
        <v>#N/A</v>
      </c>
      <c r="BE19" s="509"/>
      <c r="BF19" s="510" t="e">
        <f>VLOOKUP('Tyre&amp;Fuel'!$D$28,Tracks!$A$4:$AP$849,40,0)*VLOOKUP(BA19,Tables!$B$94:$C$102,2,0)^Tables!$AE$24*Tables!$B$91/2</f>
        <v>#N/A</v>
      </c>
      <c r="BG19" s="711">
        <f>IF(BE9="Yes",BF19/100*BG9,0)</f>
        <v>0</v>
      </c>
      <c r="BH19" s="705" t="e">
        <f t="shared" si="19"/>
        <v>#N/A</v>
      </c>
      <c r="BI19" s="721"/>
    </row>
    <row r="20" spans="1:61" x14ac:dyDescent="0.3">
      <c r="A20" s="721"/>
      <c r="B20" s="529" t="s">
        <v>21</v>
      </c>
      <c r="C20" s="511">
        <v>9</v>
      </c>
      <c r="D20" s="522">
        <v>0</v>
      </c>
      <c r="E20" s="523" t="e">
        <f>VLOOKUP($B$8,Tracks!$A$4:$AP$886,41,0)*VLOOKUP(C20,Tables!$B$94:$C$102,2,0)^E9*Tables!$B$91</f>
        <v>#N/A</v>
      </c>
      <c r="F20" s="508" t="e">
        <f t="shared" si="0"/>
        <v>#N/A</v>
      </c>
      <c r="G20" s="544"/>
      <c r="H20" s="510" t="e">
        <f>VLOOKUP('Tyre&amp;Fuel'!$D$28,Tracks!$A$4:$AP$849,41,0)*VLOOKUP(C20,Tables!$B$94:$C$102,2,0)^Tables!AE24*Tables!B91/2</f>
        <v>#N/A</v>
      </c>
      <c r="I20" s="711" t="e">
        <f>IF(G9="Yes",H20/100*I9,0)</f>
        <v>#N/A</v>
      </c>
      <c r="J20" s="705" t="e">
        <f t="shared" si="1"/>
        <v>#N/A</v>
      </c>
      <c r="K20" s="721"/>
      <c r="L20" s="529" t="s">
        <v>21</v>
      </c>
      <c r="M20" s="715">
        <f t="shared" si="2"/>
        <v>9</v>
      </c>
      <c r="N20" s="716" t="e">
        <f t="shared" si="3"/>
        <v>#N/A</v>
      </c>
      <c r="O20" s="523" t="e">
        <f>VLOOKUP($L$8,Tracks!$A$4:$AP$886,41,0)*VLOOKUP(M20,Tables!$B$94:$C$102,2,0)^O9*Tables!$B$91</f>
        <v>#N/A</v>
      </c>
      <c r="P20" s="508" t="e">
        <f t="shared" si="4"/>
        <v>#N/A</v>
      </c>
      <c r="Q20" s="509"/>
      <c r="R20" s="510" t="e">
        <f>VLOOKUP('Tyre&amp;Fuel'!$D$28,Tracks!$A$4:$AP$849,41,0)*VLOOKUP(M20,Tables!$B$94:$C$102,2,0)^Tables!AE24*Tables!$B$91/2</f>
        <v>#N/A</v>
      </c>
      <c r="S20" s="711" t="e">
        <f t="shared" si="21"/>
        <v>#N/A</v>
      </c>
      <c r="T20" s="705" t="e">
        <f t="shared" si="22"/>
        <v>#N/A</v>
      </c>
      <c r="U20" s="721"/>
      <c r="V20" s="529" t="s">
        <v>21</v>
      </c>
      <c r="W20" s="715">
        <f t="shared" si="5"/>
        <v>8</v>
      </c>
      <c r="X20" s="716" t="e">
        <f t="shared" si="6"/>
        <v>#N/A</v>
      </c>
      <c r="Y20" s="523" t="e">
        <f>VLOOKUP($V$8,Tracks!$A$4:$AP$886,41,0)*VLOOKUP(W20,Tables!$B$94:$C$102,2,0)^Y9*Tables!$B$91</f>
        <v>#N/A</v>
      </c>
      <c r="Z20" s="508" t="e">
        <f t="shared" si="7"/>
        <v>#N/A</v>
      </c>
      <c r="AA20" s="509" t="s">
        <v>314</v>
      </c>
      <c r="AB20" s="510" t="e">
        <f>VLOOKUP('Tyre&amp;Fuel'!$D$28,Tracks!$A$4:$AP$849,41,0)*VLOOKUP(M20,Tables!$B$94:$C$102,2,0)^Tables!AE24*Tables!B91/2</f>
        <v>#N/A</v>
      </c>
      <c r="AC20" s="711">
        <f>IF(AA9="Yes",AB20/100*AC9,0)</f>
        <v>0</v>
      </c>
      <c r="AD20" s="705" t="e">
        <f t="shared" si="8"/>
        <v>#N/A</v>
      </c>
      <c r="AE20" s="721"/>
      <c r="AF20" s="529" t="s">
        <v>21</v>
      </c>
      <c r="AG20" s="715">
        <f t="shared" si="9"/>
        <v>8</v>
      </c>
      <c r="AH20" s="716" t="e">
        <f t="shared" si="10"/>
        <v>#N/A</v>
      </c>
      <c r="AI20" s="523" t="e">
        <f>VLOOKUP($AF$8,Tracks!$A$4:$AP$886,41,0)*VLOOKUP(AG20,Tables!$B$94:$C$102,2,0)^AI9*Tables!$B$91</f>
        <v>#N/A</v>
      </c>
      <c r="AJ20" s="508" t="e">
        <f t="shared" si="11"/>
        <v>#N/A</v>
      </c>
      <c r="AK20" s="509"/>
      <c r="AL20" s="510" t="e">
        <f>VLOOKUP('Tyre&amp;Fuel'!$D$28,Tracks!$A$4:$AP$849,41,0)*VLOOKUP(AG20,Tables!$B$94:$C$102,2,0)^Tables!$AE$24*Tables!$B$91/2</f>
        <v>#N/A</v>
      </c>
      <c r="AM20" s="711">
        <f>IF(AK9="Yes",AL20/100*AM9,0)</f>
        <v>0</v>
      </c>
      <c r="AN20" s="705" t="e">
        <f t="shared" si="12"/>
        <v>#N/A</v>
      </c>
      <c r="AO20" s="721"/>
      <c r="AP20" s="529" t="s">
        <v>21</v>
      </c>
      <c r="AQ20" s="715">
        <f t="shared" si="13"/>
        <v>8</v>
      </c>
      <c r="AR20" s="716" t="e">
        <f t="shared" si="14"/>
        <v>#N/A</v>
      </c>
      <c r="AS20" s="523" t="e">
        <f>VLOOKUP(AP8,Tracks!$A$4:$AP$886,41,0)*VLOOKUP(AQ20,Tables!$B$94:$C$102,2,0)^AS9*Tables!$B$91</f>
        <v>#N/A</v>
      </c>
      <c r="AT20" s="508" t="e">
        <f t="shared" si="15"/>
        <v>#N/A</v>
      </c>
      <c r="AU20" s="509"/>
      <c r="AV20" s="510" t="e">
        <f>VLOOKUP('Tyre&amp;Fuel'!$D$28,Tracks!$A$4:$AP$849,41,0)*VLOOKUP(AQ20,Tables!$B$94:$C$102,2,0)^Tables!$AE$24*Tables!$B$91/2</f>
        <v>#N/A</v>
      </c>
      <c r="AW20" s="711">
        <f>IF(AU9="Yes",AV20/100*AW9,0)</f>
        <v>0</v>
      </c>
      <c r="AX20" s="705" t="e">
        <f t="shared" si="16"/>
        <v>#N/A</v>
      </c>
      <c r="AY20" s="721"/>
      <c r="AZ20" s="529" t="s">
        <v>21</v>
      </c>
      <c r="BA20" s="715">
        <f t="shared" si="17"/>
        <v>8</v>
      </c>
      <c r="BB20" s="716" t="e">
        <f t="shared" si="20"/>
        <v>#N/A</v>
      </c>
      <c r="BC20" s="523" t="e">
        <f>VLOOKUP(AZ8,Tracks!$A$4:$AP$886,41,0)*VLOOKUP(BA20,Tables!$B$94:$C$102,2,0)^BC9*Tables!$B$91</f>
        <v>#N/A</v>
      </c>
      <c r="BD20" s="508" t="e">
        <f t="shared" si="18"/>
        <v>#N/A</v>
      </c>
      <c r="BE20" s="509"/>
      <c r="BF20" s="510" t="e">
        <f>VLOOKUP('Tyre&amp;Fuel'!$D$28,Tracks!$A$4:$AP$849,41,0)*VLOOKUP(BA20,Tables!$B$94:$C$102,2,0)^Tables!$AE$24*Tables!$B$91/2</f>
        <v>#N/A</v>
      </c>
      <c r="BG20" s="711">
        <f>IF(BE9="Yes",BF20/100*BG9,0)</f>
        <v>0</v>
      </c>
      <c r="BH20" s="705" t="e">
        <f t="shared" si="19"/>
        <v>#N/A</v>
      </c>
      <c r="BI20" s="721"/>
    </row>
    <row r="21" spans="1:61" x14ac:dyDescent="0.3">
      <c r="A21" s="721"/>
      <c r="B21" s="529" t="s">
        <v>22</v>
      </c>
      <c r="C21" s="511">
        <v>7</v>
      </c>
      <c r="D21" s="522">
        <v>0</v>
      </c>
      <c r="E21" s="523" t="e">
        <f>VLOOKUP($B$8,Tracks!$A$4:$AP$886,42,0)*VLOOKUP(C21,Tables!$B$94:$C$102,2,0)^E9*Tables!$B$91</f>
        <v>#N/A</v>
      </c>
      <c r="F21" s="508" t="e">
        <f t="shared" si="0"/>
        <v>#N/A</v>
      </c>
      <c r="G21" s="544"/>
      <c r="H21" s="510" t="e">
        <f>VLOOKUP('Tyre&amp;Fuel'!$D$28,Tracks!$A$4:$AP$849,42,0)*VLOOKUP(C21,Tables!$B$94:$C$102,2,0)^Tables!AE24*Tables!B91/2</f>
        <v>#N/A</v>
      </c>
      <c r="I21" s="711" t="e">
        <f>IF(G9="Yes",H21/100*I9,0)</f>
        <v>#N/A</v>
      </c>
      <c r="J21" s="705" t="e">
        <f t="shared" si="1"/>
        <v>#N/A</v>
      </c>
      <c r="K21" s="721"/>
      <c r="L21" s="529" t="s">
        <v>22</v>
      </c>
      <c r="M21" s="715">
        <f t="shared" si="2"/>
        <v>7</v>
      </c>
      <c r="N21" s="716" t="e">
        <f>IF(Q21="Down",J21*84.5%,IF(Q21="2Down",J21*69%,IF(Q21="Up",J18-J18,IF(Q21="Same",J21-J21,J21))))</f>
        <v>#N/A</v>
      </c>
      <c r="O21" s="523" t="e">
        <f>VLOOKUP($L$8,Tracks!$A$4:$AP$886,42,0)*VLOOKUP(M21,Tables!$B$94:$C$102,2,0)^O9*Tables!$B$91</f>
        <v>#N/A</v>
      </c>
      <c r="P21" s="508" t="e">
        <f t="shared" si="4"/>
        <v>#N/A</v>
      </c>
      <c r="Q21" s="509"/>
      <c r="R21" s="510" t="e">
        <f>VLOOKUP('Tyre&amp;Fuel'!$D$28,Tracks!$A$4:$AP$849,42,0)*VLOOKUP(M21,Tables!$B$94:$C$102,2,0)^Tables!AE24*Tables!$B$91/2</f>
        <v>#N/A</v>
      </c>
      <c r="S21" s="711" t="e">
        <f t="shared" si="21"/>
        <v>#N/A</v>
      </c>
      <c r="T21" s="705" t="e">
        <f t="shared" si="22"/>
        <v>#N/A</v>
      </c>
      <c r="U21" s="721"/>
      <c r="V21" s="529" t="s">
        <v>22</v>
      </c>
      <c r="W21" s="715">
        <f t="shared" si="5"/>
        <v>7</v>
      </c>
      <c r="X21" s="716" t="e">
        <f>IF(AA21="Down",T21*84.5%,IF(AA21="2Down",T21*69%,IF(AA21="Up",T18-T18,IF(AA21="Same",T21-T21,T21))))</f>
        <v>#N/A</v>
      </c>
      <c r="Y21" s="523" t="e">
        <f>VLOOKUP($V$8,Tracks!$A$4:$AP$886,42,0)*VLOOKUP(W21,Tables!$B$94:$C$102,2,0)^Y9*Tables!$B$91</f>
        <v>#N/A</v>
      </c>
      <c r="Z21" s="508" t="e">
        <f t="shared" si="7"/>
        <v>#N/A</v>
      </c>
      <c r="AA21" s="509"/>
      <c r="AB21" s="510" t="e">
        <f>VLOOKUP('Tyre&amp;Fuel'!$D$28,Tracks!$A$4:$AP$849,42,0)*VLOOKUP(M21,Tables!$B$94:$C$102,2,0)^Tables!AE24*Tables!B91/2</f>
        <v>#N/A</v>
      </c>
      <c r="AC21" s="711">
        <f>IF(AA9="Yes",AB21/100*AC9,0)</f>
        <v>0</v>
      </c>
      <c r="AD21" s="705" t="e">
        <f t="shared" si="8"/>
        <v>#N/A</v>
      </c>
      <c r="AE21" s="721"/>
      <c r="AF21" s="529" t="s">
        <v>22</v>
      </c>
      <c r="AG21" s="715">
        <f t="shared" si="9"/>
        <v>7</v>
      </c>
      <c r="AH21" s="716" t="e">
        <f>IF(AK21="Down",AD21*84.5%,IF(AK21="2Down",AD21*69%,IF(AK21="Up",AD18-AD18,IF(AK21="Same",AD21-AD21,AD21))))</f>
        <v>#N/A</v>
      </c>
      <c r="AI21" s="523" t="e">
        <f>VLOOKUP($AF$8,Tracks!$A$4:$AP$886,42,0)*VLOOKUP(AG21,Tables!$B$94:$C$102,2,0)^AI9*Tables!$B$91</f>
        <v>#N/A</v>
      </c>
      <c r="AJ21" s="508" t="e">
        <f t="shared" si="11"/>
        <v>#N/A</v>
      </c>
      <c r="AK21" s="509"/>
      <c r="AL21" s="510" t="e">
        <f>VLOOKUP('Tyre&amp;Fuel'!$D$28,Tracks!$A$4:$AP$849,42,0)*VLOOKUP(AG21,Tables!$B$94:$C$102,2,0)^Tables!$AE$24*Tables!$B$91/2</f>
        <v>#N/A</v>
      </c>
      <c r="AM21" s="711">
        <f>IF(AK9="Yes",AL21/100*AM9,0)</f>
        <v>0</v>
      </c>
      <c r="AN21" s="705" t="e">
        <f t="shared" si="12"/>
        <v>#N/A</v>
      </c>
      <c r="AO21" s="721"/>
      <c r="AP21" s="529" t="s">
        <v>22</v>
      </c>
      <c r="AQ21" s="715">
        <f t="shared" si="13"/>
        <v>7</v>
      </c>
      <c r="AR21" s="716" t="e">
        <f>IF(AU21="Down",AN21*84.5%,IF(AU21="2Down",AN21*69%,IF(AU21="Up",AN18-AN18,IF(AU21="Same",AN21-AN21,AN21))))</f>
        <v>#N/A</v>
      </c>
      <c r="AS21" s="523" t="e">
        <f>VLOOKUP(AP8,Tracks!$A$4:$AP$886,42,0)*VLOOKUP(AQ21,Tables!$B$94:$C$102,2,0)^AS9*Tables!$B$91</f>
        <v>#N/A</v>
      </c>
      <c r="AT21" s="508" t="e">
        <f t="shared" si="15"/>
        <v>#N/A</v>
      </c>
      <c r="AU21" s="509"/>
      <c r="AV21" s="510" t="e">
        <f>VLOOKUP('Tyre&amp;Fuel'!$D$28,Tracks!$A$4:$AP$849,42,0)*VLOOKUP(AQ21,Tables!$B$94:$C$102,2,0)^Tables!$AE$24*Tables!$B$91/2</f>
        <v>#N/A</v>
      </c>
      <c r="AW21" s="711">
        <f>IF(AU9="Yes",AV21/100*AW9,0)</f>
        <v>0</v>
      </c>
      <c r="AX21" s="705" t="e">
        <f t="shared" si="16"/>
        <v>#N/A</v>
      </c>
      <c r="AY21" s="721"/>
      <c r="AZ21" s="529" t="s">
        <v>22</v>
      </c>
      <c r="BA21" s="715">
        <f t="shared" si="17"/>
        <v>7</v>
      </c>
      <c r="BB21" s="716" t="e">
        <f>IF(BE21="Down",AX21*84.5%,IF(BE21="2Down",AX21*69%,IF(BE21="Up",AX18-AX18,IF(BE21="Same",AX21-AX21,AX21))))</f>
        <v>#N/A</v>
      </c>
      <c r="BC21" s="523" t="e">
        <f>VLOOKUP(AZ8,Tracks!$A$4:$AP$886,42,0)*VLOOKUP(BA21,Tables!$B$94:$C$102,2,0)^BC9*Tables!$B$91</f>
        <v>#N/A</v>
      </c>
      <c r="BD21" s="508" t="e">
        <f t="shared" si="18"/>
        <v>#N/A</v>
      </c>
      <c r="BE21" s="509"/>
      <c r="BF21" s="510" t="e">
        <f>VLOOKUP('Tyre&amp;Fuel'!$D$28,Tracks!$A$4:$AP$849,42,0)*VLOOKUP(BA21,Tables!$B$94:$C$102,2,0)^Tables!$AE$24*Tables!$B$91/2</f>
        <v>#N/A</v>
      </c>
      <c r="BG21" s="711">
        <f>IF(BE9="Yes",BF21/100*BG9,0)</f>
        <v>0</v>
      </c>
      <c r="BH21" s="705" t="e">
        <f t="shared" si="19"/>
        <v>#N/A</v>
      </c>
      <c r="BI21" s="721"/>
    </row>
    <row r="22" spans="1:61" x14ac:dyDescent="0.3">
      <c r="A22" s="721"/>
      <c r="K22" s="721"/>
      <c r="U22" s="721"/>
      <c r="AE22" s="721"/>
      <c r="AO22" s="721"/>
      <c r="AY22" s="721"/>
      <c r="BI22" s="721"/>
    </row>
    <row r="23" spans="1:61" x14ac:dyDescent="0.3">
      <c r="A23" s="721"/>
      <c r="B23" s="1123" t="s">
        <v>863</v>
      </c>
      <c r="C23" s="1123"/>
      <c r="D23" s="1107">
        <f>O4</f>
        <v>10280829</v>
      </c>
      <c r="E23" s="1107"/>
      <c r="F23" s="1107"/>
      <c r="K23" s="721"/>
      <c r="L23" s="1112" t="s">
        <v>800</v>
      </c>
      <c r="M23" s="1112"/>
      <c r="N23" s="1125">
        <f>IF(Q11="Up",VLOOKUP(M11,Tables!A156:M164,2))+IF(Q12="Up",VLOOKUP(M12,Tables!A156:M164,3))+IF(Q13="Up",VLOOKUP(M13,Tables!A156:M164,4))+IF(Q14="Up",VLOOKUP(M14,Tables!A156:M164,5))+IF(Q15="Up",VLOOKUP(M15,Tables!A156:M164,6))+IF(Q16="Up",VLOOKUP(M16,Tables!A156:M164,7))+IF(Q17="Up",VLOOKUP(M17,Tables!A156:M164,8))+IF(Q18="Up",VLOOKUP(M18,Tables!A156:M164,9))+IF(Q19="Up",VLOOKUP(M19,Tables!A156:M164,10))+IF(Q20="Up",VLOOKUP(M20,Tables!A156:M164,11))+IF(Q21="Up",VLOOKUP(M21,Tables!A156:M164,12))+IF(Q11="Same",VLOOKUP(M11,Tables!A156:M164,2))+IF(Q12="Same",VLOOKUP(M12,Tables!A156:M164,3))+IF(Q13="Same",VLOOKUP(M13,Tables!A156:M164,4))+IF(Q14="Same",VLOOKUP(M14,Tables!A156:M164,5))+IF(Q15="Same",VLOOKUP(M15,Tables!A156:M164,6))+IF(Q16="Same",VLOOKUP(M16,Tables!A156:M164,7))+IF(Q17="Same",VLOOKUP(M17,Tables!A156:M164,8))+IF(Q18="Same",VLOOKUP(M18,Tables!A156:M164,9))+IF(Q19="Same",VLOOKUP(M19,Tables!A156:M164,10))+IF(Q20="Same",VLOOKUP(M20,Tables!A156:M164,11))+IF(Q21="Same",VLOOKUP(M21,Tables!A156:M164,12))</f>
        <v>0</v>
      </c>
      <c r="O23" s="1125"/>
      <c r="P23" s="1125"/>
      <c r="U23" s="721"/>
      <c r="V23" s="1112" t="s">
        <v>800</v>
      </c>
      <c r="W23" s="1112"/>
      <c r="X23" s="1107">
        <f>IF(AA11="Up",VLOOKUP(W11,Tables!A156:M164,2))+IF(AA12="Up",VLOOKUP(W12,Tables!A156:M164,3))+IF(AA13="Up",VLOOKUP(W13,Tables!A156:M164,4))+IF(AA14="Up",VLOOKUP(W14,Tables!A156:M164,5))+IF(AA15="Up",VLOOKUP(W15,Tables!A156:M164,6))+IF(AA16="Up",VLOOKUP(W16,Tables!A156:M164,7))+IF(AA17="Up",VLOOKUP(W17,Tables!A156:M164,8))+IF(AA18="Up",VLOOKUP(W18,Tables!A156:M164,9))+IF(AA19="Up",VLOOKUP(W19,Tables!A156:M164,10))+IF(AA20="Up",VLOOKUP(W20,Tables!A156:M164,11))+IF(AA21="Up",VLOOKUP(W21,Tables!A156:M164,12))+IF(AA11="Same",VLOOKUP(W11,Tables!A156:M164,2))+IF(AA12="Same",VLOOKUP(W12,Tables!A156:M164,3))+IF(AA13="Same",VLOOKUP(W13,Tables!A156:M164,4))+IF(AA14="Same",VLOOKUP(W14,Tables!A156:M164,5))+IF(AA15="Same",VLOOKUP(W15,Tables!A156:M164,6))+IF(AA16="Same",VLOOKUP(W16,Tables!A156:M164,7))+IF(AA17="Same",VLOOKUP(W17,Tables!A156:M164,8))+IF(AA18="Same",VLOOKUP(W18,Tables!A156:M164,9))+IF(AA19="Same",VLOOKUP(W19,Tables!A156:M164,10))+IF(AA20="Same",VLOOKUP(W20,Tables!A156:M164,11))+IF(AA21="Same",VLOOKUP(W21,Tables!A156:M164,12))</f>
        <v>0</v>
      </c>
      <c r="Y23" s="1107"/>
      <c r="Z23" s="1107"/>
      <c r="AE23" s="721"/>
      <c r="AF23" s="1123" t="s">
        <v>863</v>
      </c>
      <c r="AG23" s="1123"/>
      <c r="AH23" s="1107">
        <f>IF(AK11="Up",VLOOKUP(AG11,Tables!A156:M164,2))+IF(AK12="Up",VLOOKUP(AG12,Tables!A156:M164,3))+IF(AK13="Up",VLOOKUP(AG13,Tables!A156:M164,4))+IF(AK14="Up",VLOOKUP(AG14,Tables!A156:M164,5))+IF(AK15="Up",VLOOKUP(AG15,Tables!A156:M164,6))+IF(AK16="Up",VLOOKUP(AG16,Tables!A156:M164,7))+IF(AK17="Up",VLOOKUP(AG17,Tables!A156:M164,8))+IF(AK18="Up",VLOOKUP(AG18,Tables!A156:M164,9))+IF(AK19="Up",VLOOKUP(AG19,Tables!A156:M164,10))+IF(AK20="Up",VLOOKUP(AG20,Tables!A156:M164,11))+IF(AK21="Up",VLOOKUP(AG21,Tables!A156:M164,12))+IF(AK11="Same",VLOOKUP(AG11,Tables!A156:M164,2))+IF(AK12="Same",VLOOKUP(AG12,Tables!A156:M164,3))+IF(AK13="Same",VLOOKUP(AG13,Tables!A156:M164,4))+IF(AK14="Same",VLOOKUP(AG14,Tables!A156:M164,5))+IF(AK15="Same",VLOOKUP(AG15,Tables!A156:M164,6))+IF(AK16="Same",VLOOKUP(AG16,Tables!A156:M164,7))+IF(AK17="Same",VLOOKUP(AG17,Tables!A156:M164,8))+IF(AK18="Same",VLOOKUP(AG18,Tables!A156:M164,9))+IF(AK19="Same",VLOOKUP(AG19,Tables!A156:M164,10))+IF(AK20="Same",VLOOKUP(AG20,Tables!A156:M164,11))+IF(AK21="Same",VLOOKUP(AG21,Tables!A156:M164,12))</f>
        <v>0</v>
      </c>
      <c r="AI23" s="1107"/>
      <c r="AJ23" s="1107"/>
      <c r="AO23" s="721"/>
      <c r="AP23" s="1123" t="s">
        <v>863</v>
      </c>
      <c r="AQ23" s="1123"/>
      <c r="AR23" s="1107">
        <f>IF(AU11="Up",VLOOKUP(AQ11,Tables!$A$156:$M$164,2))+IF(AU12="Up",VLOOKUP(AQ12,Tables!$A$156:$M$164,3))+IF(AU13="Up",VLOOKUP(AQ13,Tables!$A$156:$M$164,4))+IF(AU14="Up",VLOOKUP(AQ14,Tables!$A$156:$M$164,5))+IF(AU15="Up",VLOOKUP(AQ15,Tables!$A$156:$M$164,6))+IF(AU16="Up",VLOOKUP(AQ16,Tables!$A$156:$M$164,7))+IF(AU17="Up",VLOOKUP(AQ17,Tables!$A$156:$M$164,8))+IF(AU18="Up",VLOOKUP(AQ18,Tables!$A$156:$M$164,9))+IF(AU19="Up",VLOOKUP(AQ19,Tables!$A$156:$M$164,10))+IF(AU20="Up",VLOOKUP(AQ20,Tables!$A$156:$M$164,11))+IF(AU21="Up",VLOOKUP(AQ21,Tables!$A$156:$M$164,12))+IF(AU11="Same",VLOOKUP(AQ11,Tables!$A$156:$M$164,2))+IF(AU12="Same",VLOOKUP(AQ12,Tables!$A$156:$M$164,3))+IF(AU13="Same",VLOOKUP(AQ13,Tables!$A$156:$M$164,4))+IF(AU14="Same",VLOOKUP(AQ14,Tables!$A$156:$M$164,5))+IF(AU15="Same",VLOOKUP(AQ15,Tables!$A$156:$M$164,6))+IF(AU16="Same",VLOOKUP(AQ16,Tables!$A$156:$M$164,7))+IF(AU17="Same",VLOOKUP(AQ17,Tables!$A$156:$M$164,8))+IF(AU18="Same",VLOOKUP(AQ18,Tables!$A$156:$M$164,9))+IF(AU19="Same",VLOOKUP(AQ19,Tables!$A$156:$M$164,10))+IF(AU20="Same",VLOOKUP(AQ20,Tables!$A$156:$M$164,11))+IF(AU21="Same",VLOOKUP(AQ21,Tables!$A$156:$M$164,12))</f>
        <v>0</v>
      </c>
      <c r="AS23" s="1107"/>
      <c r="AT23" s="1107"/>
      <c r="AY23" s="721"/>
      <c r="AZ23" s="1123" t="s">
        <v>863</v>
      </c>
      <c r="BA23" s="1123"/>
      <c r="BB23" s="1107">
        <f>IF(BE11="Up",VLOOKUP(BA11,Tables!$A$156:$M$164,2))+IF(BE12="Up",VLOOKUP(BA12,Tables!$A$156:$M$164,3))+IF(BE13="Up",VLOOKUP(BA13,Tables!$A$156:$M$164,4))+IF(BE14="Up",VLOOKUP(BA14,Tables!$A$156:$M$164,5))+IF(BE15="Up",VLOOKUP(BA15,Tables!$A$156:$M$164,6))+IF(BE16="Up",VLOOKUP(BA16,Tables!$A$156:$M$164,7))+IF(BE17="Up",VLOOKUP(BA17,Tables!$A$156:$M$164,8))+IF(BE18="Up",VLOOKUP(BA18,Tables!$A$156:$M$164,9))+IF(BE19="Up",VLOOKUP(BA19,Tables!$A$156:$M$164,10))+IF(BE20="Up",VLOOKUP(BA20,Tables!$A$156:$M$164,11))+IF(BE21="Up",VLOOKUP(BA21,Tables!$A$156:$M$164,12))+IF(BE11="Same",VLOOKUP(BA11,Tables!$A$156:$M$164,2))+IF(BE12="Same",VLOOKUP(BA12,Tables!$A$156:$M$164,3))+IF(BE13="Same",VLOOKUP(BA13,Tables!$A$156:$M$164,4))+IF(BE14="Same",VLOOKUP(BA14,Tables!$A$156:$M$164,5))+IF(BE15="Same",VLOOKUP(BA15,Tables!$A$156:$M$164,6))+IF(BE16="Same",VLOOKUP(BA16,Tables!$A$156:$M$164,7))+IF(BE17="Same",VLOOKUP(BA17,Tables!$A$156:$M$164,8))+IF(BE18="Same",VLOOKUP(BA18,Tables!$A$156:$M$164,9))+IF(BE19="Same",VLOOKUP(BA19,Tables!$A$156:$M$164,10))+IF(BE20="Same",VLOOKUP(BA20,Tables!$A$156:$M$164,11))+IF(BE21="Same",VLOOKUP(BA21,Tables!$A$156:$M$164,12))</f>
        <v>0</v>
      </c>
      <c r="BC23" s="1107"/>
      <c r="BD23" s="1107"/>
      <c r="BI23" s="721"/>
    </row>
    <row r="24" spans="1:61" x14ac:dyDescent="0.3">
      <c r="A24" s="721"/>
      <c r="B24" s="1112" t="s">
        <v>856</v>
      </c>
      <c r="C24" s="1112"/>
      <c r="D24" s="676">
        <v>1</v>
      </c>
      <c r="E24" s="1124">
        <f>VLOOKUP(D24,Tables!$P$155:$R$165,2,0)</f>
        <v>250000</v>
      </c>
      <c r="F24" s="1124"/>
      <c r="K24" s="721"/>
      <c r="L24" s="1112" t="s">
        <v>856</v>
      </c>
      <c r="M24" s="1112"/>
      <c r="N24" s="676" t="s">
        <v>849</v>
      </c>
      <c r="O24" s="1124">
        <f>VLOOKUP(N24,Tables!$P$155:$R$165,2,0)</f>
        <v>0</v>
      </c>
      <c r="P24" s="1124"/>
      <c r="U24" s="721"/>
      <c r="V24" s="1112" t="s">
        <v>856</v>
      </c>
      <c r="W24" s="1112"/>
      <c r="X24" s="676" t="s">
        <v>849</v>
      </c>
      <c r="Y24" s="1124">
        <f>VLOOKUP(X24,Tables!$P$155:$R$165,2,0)</f>
        <v>0</v>
      </c>
      <c r="Z24" s="1124"/>
      <c r="AE24" s="721"/>
      <c r="AF24" s="1112" t="s">
        <v>856</v>
      </c>
      <c r="AG24" s="1112"/>
      <c r="AH24" s="676" t="s">
        <v>849</v>
      </c>
      <c r="AI24" s="1124">
        <f>VLOOKUP(AH24,Tables!$P$155:$R$165,2,0)</f>
        <v>0</v>
      </c>
      <c r="AJ24" s="1124"/>
      <c r="AO24" s="721"/>
      <c r="AP24" s="1112" t="s">
        <v>856</v>
      </c>
      <c r="AQ24" s="1112"/>
      <c r="AR24" s="676" t="s">
        <v>849</v>
      </c>
      <c r="AS24" s="1124">
        <f>VLOOKUP(AR24,Tables!$P$155:$R$165,2,0)</f>
        <v>0</v>
      </c>
      <c r="AT24" s="1124"/>
      <c r="AY24" s="721"/>
      <c r="AZ24" s="1112" t="s">
        <v>856</v>
      </c>
      <c r="BA24" s="1112"/>
      <c r="BB24" s="676" t="s">
        <v>849</v>
      </c>
      <c r="BC24" s="1124">
        <f>VLOOKUP(BB24,Tables!$P$155:$R$165,2,0)</f>
        <v>0</v>
      </c>
      <c r="BD24" s="1124"/>
      <c r="BI24" s="721"/>
    </row>
    <row r="25" spans="1:61" x14ac:dyDescent="0.3">
      <c r="A25" s="721"/>
      <c r="B25" s="1112" t="s">
        <v>855</v>
      </c>
      <c r="C25" s="1112"/>
      <c r="D25" s="1134">
        <f>IF(D36&lt;&gt;"Não largou",VLOOKUP($L$4,Tables!$K$186:$L$194,2,0))+IF(D36&lt;&gt;"Não largou",$B$4,0)</f>
        <v>1900000</v>
      </c>
      <c r="E25" s="1135"/>
      <c r="F25" s="1135"/>
      <c r="K25" s="721"/>
      <c r="L25" s="1112" t="s">
        <v>855</v>
      </c>
      <c r="M25" s="1112"/>
      <c r="N25" s="1134">
        <f>IF(N36&lt;&gt;"Não largou",VLOOKUP(L4,Tables!K186:L194,2,0))+IF(N36&lt;&gt;"Não largou",B4,0)</f>
        <v>0</v>
      </c>
      <c r="O25" s="1135"/>
      <c r="P25" s="1135"/>
      <c r="U25" s="721"/>
      <c r="V25" s="1112" t="s">
        <v>855</v>
      </c>
      <c r="W25" s="1112"/>
      <c r="X25" s="1134">
        <f>IF(X36&lt;&gt;"Não largou",VLOOKUP(L4,Tables!$K$186:$L$194,2,0))+IF(X36&lt;&gt;"Não largou",$B$4,0)</f>
        <v>0</v>
      </c>
      <c r="Y25" s="1135"/>
      <c r="Z25" s="1135"/>
      <c r="AE25" s="721"/>
      <c r="AF25" s="1112" t="s">
        <v>855</v>
      </c>
      <c r="AG25" s="1112"/>
      <c r="AH25" s="1134">
        <f>IF(AH36&lt;&gt;"Não largou",VLOOKUP($L$4,Tables!$K$186:$L$194,2,0))+IF(AH36&lt;&gt;"Não largou",$B$4,0)</f>
        <v>0</v>
      </c>
      <c r="AI25" s="1135"/>
      <c r="AJ25" s="1135"/>
      <c r="AO25" s="721"/>
      <c r="AP25" s="1112" t="s">
        <v>855</v>
      </c>
      <c r="AQ25" s="1112"/>
      <c r="AR25" s="1134">
        <f>IF(AR36&lt;&gt;"Não largou",VLOOKUP($L$4,Tables!$K$186:$L$194,2,0))+IF(AR36&lt;&gt;"Não largou",$B$4,0)</f>
        <v>0</v>
      </c>
      <c r="AS25" s="1135"/>
      <c r="AT25" s="1135"/>
      <c r="AY25" s="721"/>
      <c r="AZ25" s="1112" t="s">
        <v>855</v>
      </c>
      <c r="BA25" s="1112"/>
      <c r="BB25" s="1134">
        <f>IF(BB36&lt;&gt;"Não largou",VLOOKUP($L$4,Tables!$K$186:$L$194,2,0))+IF(BB36&lt;&gt;"Não largou",$B$4,0)</f>
        <v>0</v>
      </c>
      <c r="BC25" s="1135"/>
      <c r="BD25" s="1135"/>
      <c r="BI25" s="721"/>
    </row>
    <row r="26" spans="1:61" x14ac:dyDescent="0.3">
      <c r="A26" s="721"/>
      <c r="B26" s="1106" t="s">
        <v>860</v>
      </c>
      <c r="C26" s="1106"/>
      <c r="D26" s="728" t="s">
        <v>864</v>
      </c>
      <c r="E26" s="1113" t="str">
        <f>IF(D26="Com D.T.",$F$4,"R$ 0")</f>
        <v>R$ 0</v>
      </c>
      <c r="F26" s="1113"/>
      <c r="K26" s="721"/>
      <c r="L26" s="1106" t="s">
        <v>860</v>
      </c>
      <c r="M26" s="1106"/>
      <c r="N26" s="728" t="s">
        <v>864</v>
      </c>
      <c r="O26" s="1113" t="str">
        <f>IF(N26="Com D.T.",$F$4,"R$ 0")</f>
        <v>R$ 0</v>
      </c>
      <c r="P26" s="1113"/>
      <c r="U26" s="721"/>
      <c r="V26" s="1106" t="s">
        <v>860</v>
      </c>
      <c r="W26" s="1106"/>
      <c r="X26" s="728" t="s">
        <v>864</v>
      </c>
      <c r="Y26" s="1113" t="str">
        <f>IF(X26="Com D.T.",$F$4,"R$ 0")</f>
        <v>R$ 0</v>
      </c>
      <c r="Z26" s="1113"/>
      <c r="AE26" s="721"/>
      <c r="AF26" s="1106" t="s">
        <v>860</v>
      </c>
      <c r="AG26" s="1106"/>
      <c r="AH26" s="728" t="s">
        <v>864</v>
      </c>
      <c r="AI26" s="1113" t="str">
        <f>IF(AH26="Com D.T.",$F$4,"R$ 0")</f>
        <v>R$ 0</v>
      </c>
      <c r="AJ26" s="1113"/>
      <c r="AO26" s="721"/>
      <c r="AP26" s="1106" t="s">
        <v>860</v>
      </c>
      <c r="AQ26" s="1106"/>
      <c r="AR26" s="728" t="s">
        <v>864</v>
      </c>
      <c r="AS26" s="1113" t="str">
        <f>IF(AR26="Com D.T.",$F$4,"R$ 0")</f>
        <v>R$ 0</v>
      </c>
      <c r="AT26" s="1113"/>
      <c r="AY26" s="721"/>
      <c r="AZ26" s="1106" t="s">
        <v>860</v>
      </c>
      <c r="BA26" s="1106"/>
      <c r="BB26" s="728" t="s">
        <v>864</v>
      </c>
      <c r="BC26" s="1113" t="str">
        <f>IF(BB26="Com D.T.",$F$4,"R$ 0")</f>
        <v>R$ 0</v>
      </c>
      <c r="BD26" s="1113"/>
      <c r="BI26" s="721"/>
    </row>
    <row r="27" spans="1:61" x14ac:dyDescent="0.3">
      <c r="A27" s="721"/>
      <c r="B27" s="1106" t="s">
        <v>222</v>
      </c>
      <c r="C27" s="1106"/>
      <c r="D27" s="1103">
        <f>IF(G9="Yes",VLOOKUP(Tables!$H$166,Tables!$P$1:Q2,2),"R$ 0")</f>
        <v>1000000</v>
      </c>
      <c r="E27" s="1103"/>
      <c r="F27" s="1103"/>
      <c r="K27" s="721"/>
      <c r="L27" s="1106" t="s">
        <v>222</v>
      </c>
      <c r="M27" s="1106"/>
      <c r="N27" s="1103">
        <f>IF(Q9="Yes",VLOOKUP(Tables!$H$166,Tables!$P$1:AA2,2),"R$ 0")</f>
        <v>1000000</v>
      </c>
      <c r="O27" s="1103"/>
      <c r="P27" s="1103"/>
      <c r="U27" s="721"/>
      <c r="V27" s="1106" t="s">
        <v>222</v>
      </c>
      <c r="W27" s="1106"/>
      <c r="X27" s="1103" t="str">
        <f>IF(AA9="Yes",VLOOKUP(Tables!$H$166,Tables!$P$1:AK2,2),"R$ 0")</f>
        <v>R$ 0</v>
      </c>
      <c r="Y27" s="1103"/>
      <c r="Z27" s="1103"/>
      <c r="AE27" s="721"/>
      <c r="AF27" s="1106" t="s">
        <v>222</v>
      </c>
      <c r="AG27" s="1106"/>
      <c r="AH27" s="1103" t="str">
        <f>IF(AK9="Yes",VLOOKUP(Tables!$H$166,Tables!$P$1:AU2,2),"R$ 0")</f>
        <v>R$ 0</v>
      </c>
      <c r="AI27" s="1103"/>
      <c r="AJ27" s="1103"/>
      <c r="AO27" s="721"/>
      <c r="AP27" s="1106" t="s">
        <v>222</v>
      </c>
      <c r="AQ27" s="1106"/>
      <c r="AR27" s="1103" t="str">
        <f>IF(AU9="Yes",VLOOKUP(Tables!$H$166,Tables!$P$1:BE2,2),"R$ 0")</f>
        <v>R$ 0</v>
      </c>
      <c r="AS27" s="1103"/>
      <c r="AT27" s="1103"/>
      <c r="AY27" s="721"/>
      <c r="AZ27" s="1106" t="s">
        <v>222</v>
      </c>
      <c r="BA27" s="1106"/>
      <c r="BB27" s="1103" t="str">
        <f>IF(BE9="Yes",VLOOKUP(Tables!$H$166,Tables!$P$1:BO2,2),"R$ 0")</f>
        <v>R$ 0</v>
      </c>
      <c r="BC27" s="1103"/>
      <c r="BD27" s="1103"/>
      <c r="BI27" s="721"/>
    </row>
    <row r="28" spans="1:61" x14ac:dyDescent="0.3">
      <c r="A28" s="721"/>
      <c r="B28" s="1106" t="s">
        <v>841</v>
      </c>
      <c r="C28" s="1106"/>
      <c r="D28" s="727" t="s">
        <v>843</v>
      </c>
      <c r="E28" s="1104">
        <f>VLOOKUP(D28,Tables!$K$173:$L$180,2,0)</f>
        <v>750000</v>
      </c>
      <c r="F28" s="1105"/>
      <c r="G28" s="706"/>
      <c r="K28" s="721"/>
      <c r="L28" s="1106" t="s">
        <v>841</v>
      </c>
      <c r="M28" s="1106"/>
      <c r="N28" s="727" t="s">
        <v>889</v>
      </c>
      <c r="O28" s="1104">
        <f>VLOOKUP(N28,Tables!$K$173:$L$180,2,0)</f>
        <v>0</v>
      </c>
      <c r="P28" s="1105"/>
      <c r="U28" s="721"/>
      <c r="V28" s="1106" t="s">
        <v>841</v>
      </c>
      <c r="W28" s="1106"/>
      <c r="X28" s="727" t="s">
        <v>889</v>
      </c>
      <c r="Y28" s="1104">
        <f>VLOOKUP(X28,Tables!$K$173:$L$180,2,0)</f>
        <v>0</v>
      </c>
      <c r="Z28" s="1105"/>
      <c r="AE28" s="721"/>
      <c r="AF28" s="1106" t="s">
        <v>841</v>
      </c>
      <c r="AG28" s="1106"/>
      <c r="AH28" s="727" t="s">
        <v>889</v>
      </c>
      <c r="AI28" s="1104">
        <f>VLOOKUP(AH28,Tables!$K$173:$L$180,2,0)</f>
        <v>0</v>
      </c>
      <c r="AJ28" s="1105"/>
      <c r="AK28" s="706"/>
      <c r="AO28" s="721"/>
      <c r="AP28" s="1106" t="s">
        <v>841</v>
      </c>
      <c r="AQ28" s="1106"/>
      <c r="AR28" s="727" t="s">
        <v>889</v>
      </c>
      <c r="AS28" s="1104">
        <f>VLOOKUP(AR28,Tables!$K$173:$L$180,2,0)</f>
        <v>0</v>
      </c>
      <c r="AT28" s="1105"/>
      <c r="AU28" s="706"/>
      <c r="AY28" s="721"/>
      <c r="AZ28" s="1106" t="s">
        <v>841</v>
      </c>
      <c r="BA28" s="1106"/>
      <c r="BB28" s="727" t="s">
        <v>889</v>
      </c>
      <c r="BC28" s="1104">
        <f>VLOOKUP(BB28,Tables!$K$173:$L$180,2,0)</f>
        <v>0</v>
      </c>
      <c r="BD28" s="1105"/>
      <c r="BE28" s="706"/>
      <c r="BI28" s="721"/>
    </row>
    <row r="29" spans="1:61" x14ac:dyDescent="0.3">
      <c r="A29" s="721"/>
      <c r="B29" s="1106" t="s">
        <v>857</v>
      </c>
      <c r="C29" s="1106"/>
      <c r="D29" s="707" t="s">
        <v>837</v>
      </c>
      <c r="E29" s="1108">
        <f>VLOOKUP(D29,Tables!$N$166:$P$169,3,0)</f>
        <v>0</v>
      </c>
      <c r="F29" s="1108"/>
      <c r="K29" s="721"/>
      <c r="L29" s="1106" t="s">
        <v>857</v>
      </c>
      <c r="M29" s="1106"/>
      <c r="N29" s="707" t="s">
        <v>837</v>
      </c>
      <c r="O29" s="1108">
        <f>VLOOKUP(N29,Tables!$N$166:$P$169,3,0)</f>
        <v>0</v>
      </c>
      <c r="P29" s="1108"/>
      <c r="U29" s="721"/>
      <c r="V29" s="1106" t="s">
        <v>857</v>
      </c>
      <c r="W29" s="1106"/>
      <c r="X29" s="707" t="s">
        <v>837</v>
      </c>
      <c r="Y29" s="1108">
        <f>VLOOKUP(X29,Tables!$N$166:$P$169,3,0)</f>
        <v>0</v>
      </c>
      <c r="Z29" s="1108"/>
      <c r="AE29" s="721"/>
      <c r="AF29" s="1106" t="s">
        <v>857</v>
      </c>
      <c r="AG29" s="1106"/>
      <c r="AH29" s="707" t="s">
        <v>837</v>
      </c>
      <c r="AI29" s="1108">
        <f>VLOOKUP(AH29,Tables!$N$166:$P$169,3,0)</f>
        <v>0</v>
      </c>
      <c r="AJ29" s="1108"/>
      <c r="AO29" s="721"/>
      <c r="AP29" s="1106" t="s">
        <v>857</v>
      </c>
      <c r="AQ29" s="1106"/>
      <c r="AR29" s="707" t="s">
        <v>837</v>
      </c>
      <c r="AS29" s="1108">
        <f>VLOOKUP(AR29,Tables!$N$166:$P$169,3,0)</f>
        <v>0</v>
      </c>
      <c r="AT29" s="1108"/>
      <c r="AY29" s="721"/>
      <c r="AZ29" s="1106" t="s">
        <v>857</v>
      </c>
      <c r="BA29" s="1106"/>
      <c r="BB29" s="707" t="s">
        <v>837</v>
      </c>
      <c r="BC29" s="1108">
        <f>VLOOKUP(BB29,Tables!$N$166:$P$169,3,0)</f>
        <v>0</v>
      </c>
      <c r="BD29" s="1108"/>
      <c r="BI29" s="721"/>
    </row>
    <row r="30" spans="1:61" x14ac:dyDescent="0.3">
      <c r="A30" s="721"/>
      <c r="B30" s="1106" t="s">
        <v>858</v>
      </c>
      <c r="C30" s="1106"/>
      <c r="D30" s="1108">
        <v>0</v>
      </c>
      <c r="E30" s="1108"/>
      <c r="F30" s="1108"/>
      <c r="I30" s="731"/>
      <c r="K30" s="721"/>
      <c r="L30" s="1106" t="s">
        <v>858</v>
      </c>
      <c r="M30" s="1106"/>
      <c r="N30" s="1108">
        <v>0</v>
      </c>
      <c r="O30" s="1108"/>
      <c r="P30" s="1108"/>
      <c r="U30" s="721"/>
      <c r="V30" s="1106" t="s">
        <v>858</v>
      </c>
      <c r="W30" s="1106"/>
      <c r="X30" s="1108">
        <v>0</v>
      </c>
      <c r="Y30" s="1108"/>
      <c r="Z30" s="1108"/>
      <c r="AE30" s="721"/>
      <c r="AF30" s="1106" t="s">
        <v>858</v>
      </c>
      <c r="AG30" s="1106"/>
      <c r="AH30" s="1108">
        <v>0</v>
      </c>
      <c r="AI30" s="1108"/>
      <c r="AJ30" s="1108"/>
      <c r="AO30" s="721"/>
      <c r="AP30" s="1106" t="s">
        <v>858</v>
      </c>
      <c r="AQ30" s="1106"/>
      <c r="AR30" s="1108">
        <v>0</v>
      </c>
      <c r="AS30" s="1108"/>
      <c r="AT30" s="1108"/>
      <c r="AY30" s="721"/>
      <c r="AZ30" s="1106" t="s">
        <v>858</v>
      </c>
      <c r="BA30" s="1106"/>
      <c r="BB30" s="1108">
        <v>0</v>
      </c>
      <c r="BC30" s="1108"/>
      <c r="BD30" s="1108"/>
      <c r="BI30" s="721"/>
    </row>
    <row r="31" spans="1:61" x14ac:dyDescent="0.3">
      <c r="A31" s="721"/>
      <c r="B31" s="1106" t="s">
        <v>865</v>
      </c>
      <c r="C31" s="1106"/>
      <c r="D31" s="1108">
        <v>0</v>
      </c>
      <c r="E31" s="1108"/>
      <c r="F31" s="1108"/>
      <c r="K31" s="721"/>
      <c r="L31" s="1106" t="s">
        <v>865</v>
      </c>
      <c r="M31" s="1106"/>
      <c r="N31" s="1108">
        <v>0</v>
      </c>
      <c r="O31" s="1108"/>
      <c r="P31" s="1108"/>
      <c r="U31" s="721"/>
      <c r="V31" s="1106" t="s">
        <v>865</v>
      </c>
      <c r="W31" s="1106"/>
      <c r="X31" s="1108">
        <v>0</v>
      </c>
      <c r="Y31" s="1108"/>
      <c r="Z31" s="1108"/>
      <c r="AE31" s="721"/>
      <c r="AF31" s="1106" t="s">
        <v>865</v>
      </c>
      <c r="AG31" s="1106"/>
      <c r="AH31" s="1108">
        <v>0</v>
      </c>
      <c r="AI31" s="1108"/>
      <c r="AJ31" s="1108"/>
      <c r="AO31" s="721"/>
      <c r="AP31" s="1106" t="s">
        <v>865</v>
      </c>
      <c r="AQ31" s="1106"/>
      <c r="AR31" s="1108">
        <v>0</v>
      </c>
      <c r="AS31" s="1108"/>
      <c r="AT31" s="1108"/>
      <c r="AY31" s="721"/>
      <c r="AZ31" s="1106" t="s">
        <v>865</v>
      </c>
      <c r="BA31" s="1106"/>
      <c r="BB31" s="1108">
        <v>0</v>
      </c>
      <c r="BC31" s="1108"/>
      <c r="BD31" s="1108"/>
      <c r="BG31" s="732"/>
      <c r="BI31" s="721"/>
    </row>
    <row r="32" spans="1:61" x14ac:dyDescent="0.3">
      <c r="A32" s="721"/>
      <c r="B32" s="1106" t="s">
        <v>859</v>
      </c>
      <c r="C32" s="1106"/>
      <c r="D32" s="1108">
        <v>0</v>
      </c>
      <c r="E32" s="1108"/>
      <c r="F32" s="1108"/>
      <c r="K32" s="721"/>
      <c r="L32" s="1106" t="s">
        <v>859</v>
      </c>
      <c r="M32" s="1106"/>
      <c r="N32" s="1108">
        <v>0</v>
      </c>
      <c r="O32" s="1108"/>
      <c r="P32" s="1108"/>
      <c r="U32" s="721"/>
      <c r="V32" s="1106" t="s">
        <v>859</v>
      </c>
      <c r="W32" s="1106"/>
      <c r="X32" s="1108">
        <v>0</v>
      </c>
      <c r="Y32" s="1108"/>
      <c r="Z32" s="1108"/>
      <c r="AE32" s="721"/>
      <c r="AF32" s="1106" t="s">
        <v>859</v>
      </c>
      <c r="AG32" s="1106"/>
      <c r="AH32" s="1108">
        <v>0</v>
      </c>
      <c r="AI32" s="1108"/>
      <c r="AJ32" s="1108"/>
      <c r="AO32" s="721"/>
      <c r="AP32" s="1106" t="s">
        <v>859</v>
      </c>
      <c r="AQ32" s="1106"/>
      <c r="AR32" s="1108">
        <v>0</v>
      </c>
      <c r="AS32" s="1108"/>
      <c r="AT32" s="1108"/>
      <c r="AY32" s="721"/>
      <c r="AZ32" s="1106" t="s">
        <v>859</v>
      </c>
      <c r="BA32" s="1106"/>
      <c r="BB32" s="1108">
        <v>0</v>
      </c>
      <c r="BC32" s="1108"/>
      <c r="BD32" s="1108"/>
      <c r="BI32" s="721"/>
    </row>
    <row r="33" spans="1:61" x14ac:dyDescent="0.3">
      <c r="A33" s="721"/>
      <c r="B33" s="1117" t="s">
        <v>850</v>
      </c>
      <c r="C33" s="1118"/>
      <c r="D33" s="1119">
        <v>0</v>
      </c>
      <c r="E33" s="1120"/>
      <c r="F33" s="1120"/>
      <c r="K33" s="721"/>
      <c r="L33" s="1117" t="s">
        <v>850</v>
      </c>
      <c r="M33" s="1118"/>
      <c r="N33" s="1103">
        <v>0</v>
      </c>
      <c r="O33" s="1103"/>
      <c r="P33" s="1103"/>
      <c r="U33" s="721"/>
      <c r="V33" s="1117" t="s">
        <v>850</v>
      </c>
      <c r="W33" s="1118"/>
      <c r="X33" s="1103">
        <v>0</v>
      </c>
      <c r="Y33" s="1103"/>
      <c r="Z33" s="1103"/>
      <c r="AE33" s="721"/>
      <c r="AF33" s="1117" t="s">
        <v>850</v>
      </c>
      <c r="AG33" s="1118"/>
      <c r="AH33" s="1103">
        <v>0</v>
      </c>
      <c r="AI33" s="1103"/>
      <c r="AJ33" s="1103"/>
      <c r="AO33" s="721"/>
      <c r="AP33" s="1117" t="s">
        <v>850</v>
      </c>
      <c r="AQ33" s="1118"/>
      <c r="AR33" s="1103">
        <v>0</v>
      </c>
      <c r="AS33" s="1103"/>
      <c r="AT33" s="1103"/>
      <c r="AY33" s="721"/>
      <c r="AZ33" s="1117" t="s">
        <v>850</v>
      </c>
      <c r="BA33" s="1118"/>
      <c r="BB33" s="1103">
        <v>0</v>
      </c>
      <c r="BC33" s="1103"/>
      <c r="BD33" s="1103"/>
      <c r="BI33" s="721"/>
    </row>
    <row r="34" spans="1:61" x14ac:dyDescent="0.3">
      <c r="A34" s="721"/>
      <c r="B34" s="1117" t="s">
        <v>799</v>
      </c>
      <c r="C34" s="1118"/>
      <c r="D34" s="709" t="s">
        <v>109</v>
      </c>
      <c r="E34" s="1101" t="str">
        <f>IF(D34="yes",VLOOKUP(B34,Tables!$H$230:$I$230,2,0),"R$ 0")</f>
        <v>R$ 0</v>
      </c>
      <c r="F34" s="1102"/>
      <c r="K34" s="721"/>
      <c r="L34" s="1117" t="s">
        <v>799</v>
      </c>
      <c r="M34" s="1118"/>
      <c r="N34" s="709" t="s">
        <v>109</v>
      </c>
      <c r="O34" s="1101" t="str">
        <f>IF(N34="yes",VLOOKUP(L34,Tables!$H$230:$I$230,2,0),"R$ 0")</f>
        <v>R$ 0</v>
      </c>
      <c r="P34" s="1102"/>
      <c r="U34" s="721"/>
      <c r="V34" s="1117" t="s">
        <v>799</v>
      </c>
      <c r="W34" s="1118"/>
      <c r="X34" s="709" t="s">
        <v>109</v>
      </c>
      <c r="Y34" s="1101" t="str">
        <f>IF(X34="yes",VLOOKUP(V34,Tables!$H$230:$I$230,2,0),"R$ 0")</f>
        <v>R$ 0</v>
      </c>
      <c r="Z34" s="1102"/>
      <c r="AE34" s="721"/>
      <c r="AF34" s="1117" t="s">
        <v>799</v>
      </c>
      <c r="AG34" s="1118"/>
      <c r="AH34" s="709" t="s">
        <v>109</v>
      </c>
      <c r="AI34" s="1101" t="str">
        <f>IF(AH34="yes",VLOOKUP(AF34,Tables!$H$230:$I$230,2,0),"R$ 0")</f>
        <v>R$ 0</v>
      </c>
      <c r="AJ34" s="1102"/>
      <c r="AO34" s="721"/>
      <c r="AP34" s="1117" t="s">
        <v>799</v>
      </c>
      <c r="AQ34" s="1118"/>
      <c r="AR34" s="709" t="s">
        <v>109</v>
      </c>
      <c r="AS34" s="1101" t="str">
        <f>IF(AR34="yes",VLOOKUP(AP34,Tables!$H$230:$I$230,2,0),"R$ 0")</f>
        <v>R$ 0</v>
      </c>
      <c r="AT34" s="1102"/>
      <c r="AY34" s="721"/>
      <c r="AZ34" s="1117" t="s">
        <v>799</v>
      </c>
      <c r="BA34" s="1118"/>
      <c r="BB34" s="709" t="s">
        <v>109</v>
      </c>
      <c r="BC34" s="1101" t="str">
        <f>IF(BB34="yes",VLOOKUP(AZ34,Tables!$H$230:$I$230,2,0),"R$ 0")</f>
        <v>R$ 0</v>
      </c>
      <c r="BD34" s="1102"/>
      <c r="BI34" s="721"/>
    </row>
    <row r="35" spans="1:61" x14ac:dyDescent="0.3">
      <c r="A35" s="721"/>
      <c r="B35" s="1117" t="s">
        <v>861</v>
      </c>
      <c r="C35" s="1118"/>
      <c r="D35" s="708" t="s">
        <v>583</v>
      </c>
      <c r="E35" s="1103">
        <f>VLOOKUP(D35,Tables!$A$167:$C$367,2,0)</f>
        <v>570000</v>
      </c>
      <c r="F35" s="1103"/>
      <c r="K35" s="721"/>
      <c r="L35" s="1117" t="s">
        <v>861</v>
      </c>
      <c r="M35" s="1118"/>
      <c r="N35" s="729" t="s">
        <v>797</v>
      </c>
      <c r="O35" s="1103">
        <f>VLOOKUP(N35,Tables!$A$167:$C$367,2,0)</f>
        <v>0</v>
      </c>
      <c r="P35" s="1103"/>
      <c r="U35" s="721"/>
      <c r="V35" s="1117" t="s">
        <v>861</v>
      </c>
      <c r="W35" s="1118"/>
      <c r="X35" s="729" t="s">
        <v>797</v>
      </c>
      <c r="Y35" s="1103">
        <f>VLOOKUP(X35,Tables!$A$167:$C$367,2,0)</f>
        <v>0</v>
      </c>
      <c r="Z35" s="1103"/>
      <c r="AE35" s="721"/>
      <c r="AF35" s="1117" t="s">
        <v>861</v>
      </c>
      <c r="AG35" s="1118"/>
      <c r="AH35" s="729" t="s">
        <v>797</v>
      </c>
      <c r="AI35" s="1103">
        <f>VLOOKUP(AH35,Tables!$A$167:$C$367,2,0)</f>
        <v>0</v>
      </c>
      <c r="AJ35" s="1103"/>
      <c r="AO35" s="721"/>
      <c r="AP35" s="1117" t="s">
        <v>861</v>
      </c>
      <c r="AQ35" s="1118"/>
      <c r="AR35" s="729" t="s">
        <v>797</v>
      </c>
      <c r="AS35" s="1103">
        <f>VLOOKUP(AR35,Tables!$A$167:$C$367,2,0)</f>
        <v>0</v>
      </c>
      <c r="AT35" s="1103"/>
      <c r="AY35" s="721"/>
      <c r="AZ35" s="1117" t="s">
        <v>861</v>
      </c>
      <c r="BA35" s="1118"/>
      <c r="BB35" s="729" t="s">
        <v>797</v>
      </c>
      <c r="BC35" s="1103">
        <f>VLOOKUP(BB35,Tables!$A$167:$C$367,2,0)</f>
        <v>0</v>
      </c>
      <c r="BD35" s="1103"/>
      <c r="BI35" s="721"/>
    </row>
    <row r="36" spans="1:61" x14ac:dyDescent="0.3">
      <c r="A36" s="721"/>
      <c r="B36" s="1117" t="s">
        <v>862</v>
      </c>
      <c r="C36" s="1118"/>
      <c r="D36" s="710" t="s">
        <v>581</v>
      </c>
      <c r="E36" s="1116">
        <f>VLOOKUP(D36,Tables!$A$167:$C$367,3,0)</f>
        <v>11294872.000000006</v>
      </c>
      <c r="F36" s="1103"/>
      <c r="K36" s="721"/>
      <c r="L36" s="1117" t="s">
        <v>862</v>
      </c>
      <c r="M36" s="1118"/>
      <c r="N36" s="730" t="s">
        <v>797</v>
      </c>
      <c r="O36" s="1116">
        <f>VLOOKUP(N36,Tables!$A$167:$C$367,3,0)</f>
        <v>0</v>
      </c>
      <c r="P36" s="1103"/>
      <c r="U36" s="721"/>
      <c r="V36" s="1117" t="s">
        <v>862</v>
      </c>
      <c r="W36" s="1118"/>
      <c r="X36" s="730" t="s">
        <v>797</v>
      </c>
      <c r="Y36" s="1103">
        <f>VLOOKUP(X36,Tables!$A$167:$C$367,3,0)</f>
        <v>0</v>
      </c>
      <c r="Z36" s="1103"/>
      <c r="AE36" s="721"/>
      <c r="AF36" s="1117" t="s">
        <v>862</v>
      </c>
      <c r="AG36" s="1118"/>
      <c r="AH36" s="730" t="s">
        <v>797</v>
      </c>
      <c r="AI36" s="1116">
        <f>VLOOKUP(AH36,Tables!$A$167:$C$367,3,0)</f>
        <v>0</v>
      </c>
      <c r="AJ36" s="1103"/>
      <c r="AO36" s="721"/>
      <c r="AP36" s="1117" t="s">
        <v>862</v>
      </c>
      <c r="AQ36" s="1118"/>
      <c r="AR36" s="730" t="s">
        <v>797</v>
      </c>
      <c r="AS36" s="1116">
        <f>VLOOKUP(AR36,Tables!$A$167:$C$367,3,0)</f>
        <v>0</v>
      </c>
      <c r="AT36" s="1103"/>
      <c r="AY36" s="721"/>
      <c r="AZ36" s="1117" t="s">
        <v>862</v>
      </c>
      <c r="BA36" s="1118"/>
      <c r="BB36" s="730" t="s">
        <v>797</v>
      </c>
      <c r="BC36" s="1103">
        <f>VLOOKUP(BB36,Tables!$A$167:$C$367,3,0)</f>
        <v>0</v>
      </c>
      <c r="BD36" s="1103"/>
      <c r="BI36" s="721"/>
    </row>
    <row r="37" spans="1:61" x14ac:dyDescent="0.3">
      <c r="A37" s="721"/>
      <c r="B37" s="1121" t="s">
        <v>866</v>
      </c>
      <c r="C37" s="1121"/>
      <c r="D37" s="1122" t="s">
        <v>867</v>
      </c>
      <c r="E37" s="1122"/>
      <c r="K37" s="721"/>
      <c r="L37" s="1121" t="s">
        <v>866</v>
      </c>
      <c r="M37" s="1121"/>
      <c r="N37" s="714" t="s">
        <v>849</v>
      </c>
      <c r="O37" s="1131">
        <f>VLOOKUP(N37,Tables!$H$168:$I$173,2,0)</f>
        <v>0</v>
      </c>
      <c r="P37" s="1131"/>
      <c r="U37" s="721"/>
      <c r="V37" s="1121" t="s">
        <v>866</v>
      </c>
      <c r="W37" s="1121"/>
      <c r="X37" s="1122" t="s">
        <v>867</v>
      </c>
      <c r="Y37" s="1132"/>
      <c r="Z37" s="717"/>
      <c r="AE37" s="721"/>
      <c r="AF37" s="1121" t="s">
        <v>866</v>
      </c>
      <c r="AG37" s="1121"/>
      <c r="AH37" s="1122" t="s">
        <v>867</v>
      </c>
      <c r="AI37" s="1122"/>
      <c r="AO37" s="721"/>
      <c r="AP37" s="1121" t="s">
        <v>866</v>
      </c>
      <c r="AQ37" s="1121"/>
      <c r="AR37" s="714" t="s">
        <v>849</v>
      </c>
      <c r="AS37" s="1131">
        <f>VLOOKUP(AR37,Tables!$H$168:$I$173,2,0)</f>
        <v>0</v>
      </c>
      <c r="AT37" s="1131"/>
      <c r="AY37" s="721"/>
      <c r="AZ37" s="1121" t="s">
        <v>866</v>
      </c>
      <c r="BA37" s="1121"/>
      <c r="BB37" s="1122" t="s">
        <v>867</v>
      </c>
      <c r="BC37" s="1133"/>
      <c r="BD37" s="717"/>
      <c r="BI37" s="721"/>
    </row>
    <row r="38" spans="1:61" x14ac:dyDescent="0.3">
      <c r="A38" s="721"/>
      <c r="K38" s="721"/>
      <c r="U38" s="721"/>
      <c r="AE38" s="721"/>
      <c r="AO38" s="721"/>
      <c r="AY38" s="721"/>
      <c r="BI38" s="721"/>
    </row>
    <row r="39" spans="1:61" x14ac:dyDescent="0.3">
      <c r="A39" s="721"/>
      <c r="B39" s="721"/>
      <c r="C39" s="721"/>
      <c r="D39" s="721"/>
      <c r="E39" s="721"/>
      <c r="F39" s="721"/>
      <c r="G39" s="721"/>
      <c r="H39" s="721"/>
      <c r="I39" s="721"/>
      <c r="J39" s="721"/>
      <c r="K39" s="721"/>
      <c r="L39" s="721"/>
      <c r="M39" s="721"/>
      <c r="N39" s="721"/>
      <c r="O39" s="721"/>
      <c r="P39" s="721"/>
      <c r="Q39" s="721"/>
      <c r="R39" s="721"/>
      <c r="S39" s="721"/>
      <c r="T39" s="721"/>
      <c r="U39" s="721"/>
      <c r="V39" s="721"/>
      <c r="W39" s="721"/>
      <c r="X39" s="721"/>
      <c r="Y39" s="721"/>
      <c r="Z39" s="721"/>
      <c r="AA39" s="721"/>
      <c r="AB39" s="721"/>
      <c r="AC39" s="721"/>
      <c r="AD39" s="721"/>
      <c r="AE39" s="721"/>
      <c r="AF39" s="721"/>
      <c r="AG39" s="721"/>
      <c r="AH39" s="721"/>
      <c r="AI39" s="721"/>
      <c r="AJ39" s="721"/>
      <c r="AK39" s="721"/>
      <c r="AL39" s="721"/>
      <c r="AM39" s="721"/>
      <c r="AN39" s="721"/>
      <c r="AO39" s="721"/>
      <c r="AP39" s="721"/>
      <c r="AQ39" s="721"/>
      <c r="AR39" s="721"/>
      <c r="AS39" s="721"/>
      <c r="AT39" s="721"/>
      <c r="AU39" s="721"/>
      <c r="AV39" s="721"/>
      <c r="AW39" s="721"/>
      <c r="AX39" s="721"/>
      <c r="AY39" s="721"/>
      <c r="AZ39" s="721"/>
      <c r="BA39" s="721"/>
      <c r="BB39" s="721"/>
      <c r="BC39" s="721"/>
      <c r="BD39" s="721"/>
      <c r="BE39" s="721"/>
      <c r="BF39" s="721"/>
      <c r="BG39" s="721"/>
      <c r="BH39" s="721"/>
      <c r="BI39" s="721"/>
    </row>
    <row r="40" spans="1:61" x14ac:dyDescent="0.3">
      <c r="A40" s="721"/>
      <c r="B40" s="1128" t="s">
        <v>246</v>
      </c>
      <c r="C40" s="1128"/>
      <c r="D40" s="1128"/>
      <c r="E40" s="1128"/>
      <c r="F40" s="1128"/>
      <c r="G40" s="1129" t="s">
        <v>875</v>
      </c>
      <c r="H40" s="1129"/>
      <c r="I40" s="1129"/>
      <c r="J40" s="1130"/>
      <c r="K40" s="721"/>
      <c r="L40" s="1128" t="s">
        <v>268</v>
      </c>
      <c r="M40" s="1128"/>
      <c r="N40" s="1128"/>
      <c r="O40" s="1128"/>
      <c r="P40" s="1128"/>
      <c r="Q40" s="1129" t="s">
        <v>876</v>
      </c>
      <c r="R40" s="1129"/>
      <c r="S40" s="1129"/>
      <c r="T40" s="1130"/>
      <c r="U40" s="721"/>
      <c r="V40" s="1128" t="s">
        <v>260</v>
      </c>
      <c r="W40" s="1128"/>
      <c r="X40" s="1128"/>
      <c r="Y40" s="1128"/>
      <c r="Z40" s="1128"/>
      <c r="AA40" s="1129" t="s">
        <v>877</v>
      </c>
      <c r="AB40" s="1129"/>
      <c r="AC40" s="1129"/>
      <c r="AD40" s="1130"/>
      <c r="AE40" s="721"/>
      <c r="AF40" s="1128" t="s">
        <v>253</v>
      </c>
      <c r="AG40" s="1128"/>
      <c r="AH40" s="1128"/>
      <c r="AI40" s="1128"/>
      <c r="AJ40" s="1128"/>
      <c r="AK40" s="1129" t="s">
        <v>878</v>
      </c>
      <c r="AL40" s="1129"/>
      <c r="AM40" s="1129"/>
      <c r="AN40" s="1130"/>
      <c r="AO40" s="721"/>
      <c r="AP40" s="1128" t="s">
        <v>233</v>
      </c>
      <c r="AQ40" s="1128"/>
      <c r="AR40" s="1128"/>
      <c r="AS40" s="1128"/>
      <c r="AT40" s="1128"/>
      <c r="AU40" s="1129" t="s">
        <v>879</v>
      </c>
      <c r="AV40" s="1129"/>
      <c r="AW40" s="1129"/>
      <c r="AX40" s="1130"/>
      <c r="AY40" s="721"/>
      <c r="AZ40" s="1128" t="s">
        <v>234</v>
      </c>
      <c r="BA40" s="1128"/>
      <c r="BB40" s="1128"/>
      <c r="BC40" s="1128"/>
      <c r="BD40" s="1128"/>
      <c r="BE40" s="1129" t="s">
        <v>880</v>
      </c>
      <c r="BF40" s="1129"/>
      <c r="BG40" s="1129"/>
      <c r="BH40" s="1130"/>
      <c r="BI40" s="721"/>
    </row>
    <row r="41" spans="1:61" x14ac:dyDescent="0.3">
      <c r="A41" s="721"/>
      <c r="D41" s="519" t="s">
        <v>25</v>
      </c>
      <c r="E41" s="520"/>
      <c r="F41" s="524" t="s">
        <v>801</v>
      </c>
      <c r="G41" s="1114"/>
      <c r="H41" s="1115"/>
      <c r="I41" s="521"/>
      <c r="K41" s="721"/>
      <c r="N41" s="519" t="s">
        <v>25</v>
      </c>
      <c r="O41" s="520"/>
      <c r="P41" s="524" t="s">
        <v>801</v>
      </c>
      <c r="Q41" s="1114"/>
      <c r="R41" s="1115"/>
      <c r="S41" s="521"/>
      <c r="U41" s="721"/>
      <c r="X41" s="519" t="s">
        <v>25</v>
      </c>
      <c r="Y41" s="520"/>
      <c r="Z41" s="524" t="s">
        <v>801</v>
      </c>
      <c r="AA41" s="1114"/>
      <c r="AB41" s="1115"/>
      <c r="AC41" s="521"/>
      <c r="AE41" s="721"/>
      <c r="AH41" s="519" t="s">
        <v>25</v>
      </c>
      <c r="AI41" s="520"/>
      <c r="AJ41" s="524" t="s">
        <v>801</v>
      </c>
      <c r="AK41" s="1114"/>
      <c r="AL41" s="1115"/>
      <c r="AM41" s="521"/>
      <c r="AO41" s="721"/>
      <c r="AR41" s="519" t="s">
        <v>25</v>
      </c>
      <c r="AS41" s="520"/>
      <c r="AT41" s="524" t="s">
        <v>801</v>
      </c>
      <c r="AU41" s="1114"/>
      <c r="AV41" s="1115"/>
      <c r="AW41" s="521"/>
      <c r="AY41" s="721"/>
      <c r="BB41" s="519" t="s">
        <v>25</v>
      </c>
      <c r="BC41" s="520"/>
      <c r="BD41" s="524" t="s">
        <v>801</v>
      </c>
      <c r="BE41" s="1114"/>
      <c r="BF41" s="1115"/>
      <c r="BG41" s="521"/>
      <c r="BI41" s="721"/>
    </row>
    <row r="42" spans="1:61" x14ac:dyDescent="0.3">
      <c r="A42" s="721"/>
      <c r="B42" s="528"/>
      <c r="C42" s="516" t="s">
        <v>368</v>
      </c>
      <c r="D42" s="516" t="s">
        <v>754</v>
      </c>
      <c r="E42" s="516" t="s">
        <v>311</v>
      </c>
      <c r="F42" s="516" t="s">
        <v>755</v>
      </c>
      <c r="G42" s="516" t="s">
        <v>756</v>
      </c>
      <c r="H42" s="516" t="s">
        <v>703</v>
      </c>
      <c r="I42" s="516" t="s">
        <v>703</v>
      </c>
      <c r="J42" s="527" t="s">
        <v>757</v>
      </c>
      <c r="K42" s="721"/>
      <c r="L42" s="528"/>
      <c r="M42" s="516" t="s">
        <v>368</v>
      </c>
      <c r="N42" s="516" t="s">
        <v>754</v>
      </c>
      <c r="O42" s="516" t="s">
        <v>311</v>
      </c>
      <c r="P42" s="516" t="s">
        <v>755</v>
      </c>
      <c r="Q42" s="516" t="s">
        <v>756</v>
      </c>
      <c r="R42" s="516" t="s">
        <v>703</v>
      </c>
      <c r="S42" s="516" t="s">
        <v>703</v>
      </c>
      <c r="T42" s="527" t="s">
        <v>757</v>
      </c>
      <c r="U42" s="721"/>
      <c r="V42" s="528"/>
      <c r="W42" s="516" t="s">
        <v>368</v>
      </c>
      <c r="X42" s="516" t="s">
        <v>754</v>
      </c>
      <c r="Y42" s="516" t="s">
        <v>311</v>
      </c>
      <c r="Z42" s="516" t="s">
        <v>755</v>
      </c>
      <c r="AA42" s="516" t="s">
        <v>756</v>
      </c>
      <c r="AB42" s="516" t="s">
        <v>703</v>
      </c>
      <c r="AC42" s="516" t="s">
        <v>703</v>
      </c>
      <c r="AD42" s="527" t="s">
        <v>757</v>
      </c>
      <c r="AE42" s="721"/>
      <c r="AF42" s="528"/>
      <c r="AG42" s="516" t="s">
        <v>368</v>
      </c>
      <c r="AH42" s="516" t="s">
        <v>754</v>
      </c>
      <c r="AI42" s="516" t="s">
        <v>311</v>
      </c>
      <c r="AJ42" s="516" t="s">
        <v>755</v>
      </c>
      <c r="AK42" s="516" t="s">
        <v>756</v>
      </c>
      <c r="AL42" s="516" t="s">
        <v>703</v>
      </c>
      <c r="AM42" s="516" t="s">
        <v>703</v>
      </c>
      <c r="AN42" s="527" t="s">
        <v>757</v>
      </c>
      <c r="AO42" s="721"/>
      <c r="AP42" s="528"/>
      <c r="AQ42" s="516" t="s">
        <v>368</v>
      </c>
      <c r="AR42" s="516" t="s">
        <v>754</v>
      </c>
      <c r="AS42" s="516" t="s">
        <v>311</v>
      </c>
      <c r="AT42" s="516" t="s">
        <v>755</v>
      </c>
      <c r="AU42" s="516" t="s">
        <v>756</v>
      </c>
      <c r="AV42" s="516" t="s">
        <v>703</v>
      </c>
      <c r="AW42" s="516" t="s">
        <v>703</v>
      </c>
      <c r="AX42" s="527" t="s">
        <v>757</v>
      </c>
      <c r="AY42" s="721"/>
      <c r="AZ42" s="528"/>
      <c r="BA42" s="516" t="s">
        <v>368</v>
      </c>
      <c r="BB42" s="516" t="s">
        <v>754</v>
      </c>
      <c r="BC42" s="516" t="s">
        <v>311</v>
      </c>
      <c r="BD42" s="516" t="s">
        <v>755</v>
      </c>
      <c r="BE42" s="516" t="s">
        <v>756</v>
      </c>
      <c r="BF42" s="516" t="s">
        <v>703</v>
      </c>
      <c r="BG42" s="516" t="s">
        <v>703</v>
      </c>
      <c r="BH42" s="527" t="s">
        <v>757</v>
      </c>
      <c r="BI42" s="721"/>
    </row>
    <row r="43" spans="1:61" x14ac:dyDescent="0.3">
      <c r="A43" s="721"/>
      <c r="B43" s="529" t="s">
        <v>4</v>
      </c>
      <c r="C43" s="512">
        <f>IF(G43="Up",BA11+1,IF(G43="Down",BA11-1,IF(G43="2Down",BA11-2,BA11)))</f>
        <v>7</v>
      </c>
      <c r="D43" s="507" t="e">
        <f>IF(G43="Down",BH11*84.5%,IF(G43="2Down",BH11*69%,IF(G43="Up",BH11-BH11,IF(G43="Same",BH11-BH11,BH11))))</f>
        <v>#N/A</v>
      </c>
      <c r="E43" s="523" t="e">
        <f>VLOOKUP(B40,Tracks!$A$4:$AP$849,32,0)*VLOOKUP(C43,Tables!$B$94:$C$102,2,0)^E41*Tables!$B$91</f>
        <v>#N/A</v>
      </c>
      <c r="F43" s="508" t="e">
        <f>E43+D43+I43</f>
        <v>#N/A</v>
      </c>
      <c r="G43" s="509"/>
      <c r="H43" s="510" t="e">
        <f>VLOOKUP('Tyre&amp;Fuel'!$D$28,Tracks!$A$4:$AP$849,32,0)*VLOOKUP(C43,Tables!$B$94:$C$102,2,0)^Tables!AE24*Tables!$B$91/2</f>
        <v>#N/A</v>
      </c>
      <c r="I43" s="711">
        <f>IF(G41="Yes",H43/100*I41,0)</f>
        <v>0</v>
      </c>
      <c r="J43" s="705" t="e">
        <f>IF($G$9="Yes",(MIN(100,(SUM(F43)))),(MIN(100,(SUM(F43)))))</f>
        <v>#N/A</v>
      </c>
      <c r="K43" s="721"/>
      <c r="L43" s="529" t="s">
        <v>4</v>
      </c>
      <c r="M43" s="512">
        <f>IF(Q43="Up",C43+1,IF(Q43="Down",C43-1,IF(Q43="2Down",C43-2,C43)))</f>
        <v>6</v>
      </c>
      <c r="N43" s="507" t="e">
        <f>IF(Q43="Down",J43*84.5%,IF(Q43="2Down",J43*69%,IF(Q43="Up",J43-J43,IF(Q43="Same",J43-J43,J43))))</f>
        <v>#N/A</v>
      </c>
      <c r="O43" s="523" t="e">
        <f>VLOOKUP(L40,Tracks!$A$4:$AP$849,32,0)*VLOOKUP(M43,Tables!$B$94:$C$102,2,0)^O41*Tables!$B$91</f>
        <v>#N/A</v>
      </c>
      <c r="P43" s="508" t="e">
        <f>O43+N43+S43</f>
        <v>#N/A</v>
      </c>
      <c r="Q43" s="509" t="s">
        <v>314</v>
      </c>
      <c r="R43" s="510" t="e">
        <f>VLOOKUP('Tyre&amp;Fuel'!$D$28,Tracks!$A$4:$AP$849,32,0)*VLOOKUP(M43,Tables!$B$94:$C$102,2,0)^Tables!AE24*Tables!$B$91/2</f>
        <v>#N/A</v>
      </c>
      <c r="S43" s="711">
        <f>IF(Q41="Yes",R43/100*S41,0)</f>
        <v>0</v>
      </c>
      <c r="T43" s="705" t="e">
        <f>IF($G$9="Yes",(MIN(100,(SUM(P43)))),(MIN(100,(SUM(P43)))))</f>
        <v>#N/A</v>
      </c>
      <c r="U43" s="721"/>
      <c r="V43" s="529" t="s">
        <v>4</v>
      </c>
      <c r="W43" s="512">
        <f>IF(AA43="Up",M43+1,IF(AA43="Down",M43-1,IF(AA43="2Down",M43-2,M43)))</f>
        <v>6</v>
      </c>
      <c r="X43" s="507" t="e">
        <f>IF(AA43="Down",T43*84.5%,IF(AA43="2Down",T43*69%,IF(AA43="Up",T43-T43,IF(AA43="Same",T43-T43,T43))))</f>
        <v>#N/A</v>
      </c>
      <c r="Y43" s="523" t="e">
        <f>VLOOKUP(V40,Tracks!$A$4:$AP$849,32,0)*VLOOKUP(W43,Tables!$B$94:$C$102,2,0)^Y41*Tables!$B$91</f>
        <v>#N/A</v>
      </c>
      <c r="Z43" s="508" t="e">
        <f>Y43+X43+AC43</f>
        <v>#N/A</v>
      </c>
      <c r="AA43" s="509"/>
      <c r="AB43" s="510" t="e">
        <f>VLOOKUP('Tyre&amp;Fuel'!$D$28,Tracks!$A$4:$AP$849,32,0)*VLOOKUP(W43,Tables!$B$94:$C$102,2,0)^Tables!AE24*Tables!$B$91/2</f>
        <v>#N/A</v>
      </c>
      <c r="AC43" s="711">
        <f>IF(AA41="Yes",AB43/100*AC41,0)</f>
        <v>0</v>
      </c>
      <c r="AD43" s="705" t="e">
        <f>IF($G$9="Yes",(MIN(100,(SUM(Z43)))),(MIN(100,(SUM(Z43)))))</f>
        <v>#N/A</v>
      </c>
      <c r="AE43" s="721"/>
      <c r="AF43" s="529" t="s">
        <v>4</v>
      </c>
      <c r="AG43" s="512">
        <f>IF(AK43="Up",W43+1,IF(AK43="Down",W43-1,IF(AK43="2Down",W43-2,W43)))</f>
        <v>6</v>
      </c>
      <c r="AH43" s="507" t="e">
        <f>IF(AK43="Down",AD43*84.5%,IF(AK43="2Down",AD43*69%,IF(AK43="Up",AD43-AD43,IF(AK43="Same",AD43-AD43,AD43))))</f>
        <v>#N/A</v>
      </c>
      <c r="AI43" s="523" t="e">
        <f>VLOOKUP(AF40,Tracks!$A$4:$AP$849,32,0)*VLOOKUP(AG43,Tables!$B$94:$C$102,2,0)^AI41*Tables!$B$91</f>
        <v>#N/A</v>
      </c>
      <c r="AJ43" s="508" t="e">
        <f>AI43+AH43+AM43</f>
        <v>#N/A</v>
      </c>
      <c r="AK43" s="509"/>
      <c r="AL43" s="510" t="e">
        <f>VLOOKUP('Tyre&amp;Fuel'!$D$28,Tracks!$A$4:$AP$849,32,0)*VLOOKUP(AG43,Tables!$B$94:$C$102,2,0)^Tables!$AE$24*Tables!$B$91/2</f>
        <v>#N/A</v>
      </c>
      <c r="AM43" s="711">
        <f>IF(AK41="Yes",AL43/100*AM41,0)</f>
        <v>0</v>
      </c>
      <c r="AN43" s="705" t="e">
        <f>IF($G$9="Yes",(MIN(100,(SUM(AJ43)))),(MIN(100,(SUM(AJ43)))))</f>
        <v>#N/A</v>
      </c>
      <c r="AO43" s="721"/>
      <c r="AP43" s="529" t="s">
        <v>4</v>
      </c>
      <c r="AQ43" s="512">
        <f>IF(AU43="Up",AG43+1,IF(AU43="Down",AG43-1,IF(AU43="2Down",AG43-2,AG43)))</f>
        <v>6</v>
      </c>
      <c r="AR43" s="507" t="e">
        <f>IF(AU43="Down",AN43*84.5%,IF(AU43="2Down",AN43*69%,IF(AU43="Up",AN43-AN43,IF(AU43="Same",AN43-AN43,AN43))))</f>
        <v>#N/A</v>
      </c>
      <c r="AS43" s="523" t="e">
        <f>VLOOKUP(AP40,Tracks!$A$4:$AP$849,32,0)*VLOOKUP(AQ43,Tables!$B$94:$C$102,2,0)^AS41*Tables!$B$91</f>
        <v>#N/A</v>
      </c>
      <c r="AT43" s="508" t="e">
        <f>AS43+AR43+AW43</f>
        <v>#N/A</v>
      </c>
      <c r="AU43" s="509"/>
      <c r="AV43" s="510" t="e">
        <f>VLOOKUP('Tyre&amp;Fuel'!$D$28,Tracks!$A$4:$AP$849,32,0)*VLOOKUP(AQ43,Tables!$B$94:$C$102,2,0)^Tables!$AE$24*Tables!$B$91/2</f>
        <v>#N/A</v>
      </c>
      <c r="AW43" s="711">
        <f>IF(AU41="Yes",AV43/100*AW41,0)</f>
        <v>0</v>
      </c>
      <c r="AX43" s="705" t="e">
        <f>IF($G$9="Yes",(MIN(100,(SUM(AT43)))),(MIN(100,(SUM(AT43)))))</f>
        <v>#N/A</v>
      </c>
      <c r="AY43" s="721"/>
      <c r="AZ43" s="529" t="s">
        <v>4</v>
      </c>
      <c r="BA43" s="512">
        <f>IF(BE43="Up",AQ43+1,IF(BE43="Down",AQ43-1,IF(BE43="2Down",AQ43-2,AQ43)))</f>
        <v>6</v>
      </c>
      <c r="BB43" s="507" t="e">
        <f>IF(BE43="Down",AX43*84.5%,IF(BE43="2Down",AX43*69%,IF(BE43="Up",AX43-AX43,IF(BE43="Same",AX43-AX43,AX43))))</f>
        <v>#N/A</v>
      </c>
      <c r="BC43" s="523" t="e">
        <f>VLOOKUP(AZ40,Tracks!$A$4:$AP$849,32,0)*VLOOKUP(BA43,Tables!$B$94:$C$102,2,0)^BC41*Tables!$B$91</f>
        <v>#N/A</v>
      </c>
      <c r="BD43" s="508" t="e">
        <f>BC43+BB43+BG43</f>
        <v>#N/A</v>
      </c>
      <c r="BE43" s="509"/>
      <c r="BF43" s="510" t="e">
        <f>VLOOKUP('Tyre&amp;Fuel'!$D$28,Tracks!$A$4:$AP$849,32,0)*VLOOKUP(BA43,Tables!$B$94:$C$102,2,0)^Tables!$AE$24*Tables!$B$91/2</f>
        <v>#N/A</v>
      </c>
      <c r="BG43" s="711">
        <f>IF(BE41="Yes",BF43/100*BG41,0)</f>
        <v>0</v>
      </c>
      <c r="BH43" s="705" t="e">
        <f>IF($G$9="Yes",(MIN(100,(SUM(BD43)))),(MIN(100,(SUM(BD43)))))</f>
        <v>#N/A</v>
      </c>
      <c r="BI43" s="721"/>
    </row>
    <row r="44" spans="1:61" x14ac:dyDescent="0.3">
      <c r="A44" s="721"/>
      <c r="B44" s="529" t="s">
        <v>6</v>
      </c>
      <c r="C44" s="512">
        <f t="shared" ref="C44:C53" si="23">IF(G44="Up",BA12+1,IF(G44="Down",BA12-1,IF(G44="2Down",BA12-2,BA12)))</f>
        <v>7</v>
      </c>
      <c r="D44" s="507" t="e">
        <f t="shared" ref="D44:D53" si="24">IF(G44="Down",BH12*84.5%,IF(G44="2Down",BH12*69%,IF(G44="Up",BH12-BH12,IF(G44="Same",BH12-BH12,BH12))))</f>
        <v>#N/A</v>
      </c>
      <c r="E44" s="523" t="e">
        <f>VLOOKUP(B40,Tracks!$A$4:$AP$886,33,0)*VLOOKUP(C44,Tables!$B$94:$C$102,2,0)^E41*Tables!$B$91</f>
        <v>#N/A</v>
      </c>
      <c r="F44" s="508" t="e">
        <f t="shared" ref="F44:F53" si="25">E44+D44+I44</f>
        <v>#N/A</v>
      </c>
      <c r="G44" s="509"/>
      <c r="H44" s="510" t="e">
        <f>VLOOKUP('Tyre&amp;Fuel'!$D$28,Tracks!$A$4:$AP$849,33,0)*VLOOKUP(C44,Tables!$B$94:$C$102,2,0)^Tables!AE24*Tables!$B$91/2</f>
        <v>#N/A</v>
      </c>
      <c r="I44" s="711">
        <f>IF(G41="Yes",H44/100*I41,0)</f>
        <v>0</v>
      </c>
      <c r="J44" s="705" t="e">
        <f t="shared" ref="J44:J53" si="26">IF($G$9="Yes",(MIN(100,(SUM(F44)))),(MIN(100,(SUM(F44)))))</f>
        <v>#N/A</v>
      </c>
      <c r="K44" s="721"/>
      <c r="L44" s="529" t="s">
        <v>6</v>
      </c>
      <c r="M44" s="512">
        <f t="shared" ref="M44:M53" si="27">IF(Q44="Up",C44+1,IF(Q44="Down",C44-1,IF(Q44="2Down",C44-2,C44)))</f>
        <v>6</v>
      </c>
      <c r="N44" s="507" t="e">
        <f t="shared" ref="N44:N53" si="28">IF(Q44="Down",J44*84.5%,IF(Q44="2Down",J44*69%,IF(Q44="Up",J44-J44,IF(Q44="Same",J44-J44,J44))))</f>
        <v>#N/A</v>
      </c>
      <c r="O44" s="523" t="e">
        <f>VLOOKUP(L40,Tracks!$A$4:$AP$886,33,0)*VLOOKUP(M44,Tables!$B$94:$C$102,2,0)^O41*Tables!$B$91</f>
        <v>#N/A</v>
      </c>
      <c r="P44" s="508" t="e">
        <f t="shared" ref="P44:P53" si="29">O44+N44+S44</f>
        <v>#N/A</v>
      </c>
      <c r="Q44" s="509" t="s">
        <v>314</v>
      </c>
      <c r="R44" s="510" t="e">
        <f>VLOOKUP('Tyre&amp;Fuel'!$D$28,Tracks!$A$4:$AP$849,33,0)*VLOOKUP(M44,Tables!$B$94:$C$102,2,0)^Tables!AE24*Tables!$B$91/2</f>
        <v>#N/A</v>
      </c>
      <c r="S44" s="711">
        <f>IF(Q41="Yes",R44/100*S41,0)</f>
        <v>0</v>
      </c>
      <c r="T44" s="705" t="e">
        <f t="shared" ref="T44:T53" si="30">IF($G$9="Yes",(MIN(100,(SUM(P44)))),(MIN(100,(SUM(P44)))))</f>
        <v>#N/A</v>
      </c>
      <c r="U44" s="721"/>
      <c r="V44" s="529" t="s">
        <v>6</v>
      </c>
      <c r="W44" s="512">
        <f t="shared" ref="W44:W53" si="31">IF(AA44="Up",M44+1,IF(AA44="Down",M44-1,IF(AA44="2Down",M44-2,M44)))</f>
        <v>6</v>
      </c>
      <c r="X44" s="507" t="e">
        <f t="shared" ref="X44:X53" si="32">IF(AA44="Down",T44*84.5%,IF(AA44="2Down",T44*69%,IF(AA44="Up",T44-T44,IF(AA44="Same",T44-T44,T44))))</f>
        <v>#N/A</v>
      </c>
      <c r="Y44" s="523" t="e">
        <f>VLOOKUP(V40,Tracks!$A$4:$AP$886,33,0)*VLOOKUP(W44,Tables!$B$94:$C$102,2,0)^Y41*Tables!$B$91</f>
        <v>#N/A</v>
      </c>
      <c r="Z44" s="508" t="e">
        <f t="shared" ref="Z44:Z53" si="33">Y44+X44+AC44</f>
        <v>#N/A</v>
      </c>
      <c r="AA44" s="509"/>
      <c r="AB44" s="510" t="e">
        <f>VLOOKUP('Tyre&amp;Fuel'!$D$28,Tracks!$A$4:$AP$849,33,0)*VLOOKUP(W44,Tables!$B$94:$C$102,2,0)^Tables!AE24*Tables!$B$91/2</f>
        <v>#N/A</v>
      </c>
      <c r="AC44" s="711">
        <f>IF(AA41="Yes",AB44/100*AC41,0)</f>
        <v>0</v>
      </c>
      <c r="AD44" s="705" t="e">
        <f t="shared" ref="AD44:AD53" si="34">IF($G$9="Yes",(MIN(100,(SUM(Z44)))),(MIN(100,(SUM(Z44)))))</f>
        <v>#N/A</v>
      </c>
      <c r="AE44" s="721"/>
      <c r="AF44" s="529" t="s">
        <v>6</v>
      </c>
      <c r="AG44" s="512">
        <f t="shared" ref="AG44:AG53" si="35">IF(AK44="Up",W44+1,IF(AK44="Down",W44-1,IF(AK44="2Down",W44-2,W44)))</f>
        <v>6</v>
      </c>
      <c r="AH44" s="507" t="e">
        <f t="shared" ref="AH44:AH53" si="36">IF(AK44="Down",AD44*84.5%,IF(AK44="2Down",AD44*69%,IF(AK44="Up",AD44-AD44,IF(AK44="Same",AD44-AD44,AD44))))</f>
        <v>#N/A</v>
      </c>
      <c r="AI44" s="523" t="e">
        <f>VLOOKUP(AF40,Tracks!$A$4:$AP$886,33,0)*VLOOKUP(AG44,Tables!$B$94:$C$102,2,0)^AI41*Tables!$B$91</f>
        <v>#N/A</v>
      </c>
      <c r="AJ44" s="508" t="e">
        <f t="shared" ref="AJ44:AJ53" si="37">AI44+AH44+AM44</f>
        <v>#N/A</v>
      </c>
      <c r="AK44" s="509"/>
      <c r="AL44" s="510" t="e">
        <f>VLOOKUP('Tyre&amp;Fuel'!$D$28,Tracks!$A$4:$AP$849,33,0)*VLOOKUP(AG44,Tables!$B$94:$C$102,2,0)^Tables!$AE$24*Tables!$B$91/2</f>
        <v>#N/A</v>
      </c>
      <c r="AM44" s="711">
        <f>IF(AK41="Yes",AL44/100*AM41,0)</f>
        <v>0</v>
      </c>
      <c r="AN44" s="705" t="e">
        <f t="shared" ref="AN44:AN53" si="38">IF($G$9="Yes",(MIN(100,(SUM(AJ44)))),(MIN(100,(SUM(AJ44)))))</f>
        <v>#N/A</v>
      </c>
      <c r="AO44" s="721"/>
      <c r="AP44" s="529" t="s">
        <v>6</v>
      </c>
      <c r="AQ44" s="512">
        <f t="shared" ref="AQ44:AQ53" si="39">IF(AU44="Up",AG44+1,IF(AU44="Down",AG44-1,IF(AU44="2Down",AG44-2,AG44)))</f>
        <v>6</v>
      </c>
      <c r="AR44" s="507" t="e">
        <f t="shared" ref="AR44:AR53" si="40">IF(AU44="Down",AN44*84.5%,IF(AU44="2Down",AN44*69%,IF(AU44="Up",AN44-AN44,IF(AU44="Same",AN44-AN44,AN44))))</f>
        <v>#N/A</v>
      </c>
      <c r="AS44" s="523" t="e">
        <f>VLOOKUP(AP40,Tracks!$A$4:$AP$886,33,0)*VLOOKUP(AQ44,Tables!$B$94:$C$102,2,0)^AS41*Tables!$B$91</f>
        <v>#N/A</v>
      </c>
      <c r="AT44" s="508" t="e">
        <f t="shared" ref="AT44:AT53" si="41">AS44+AR44+AW44</f>
        <v>#N/A</v>
      </c>
      <c r="AU44" s="509"/>
      <c r="AV44" s="510" t="e">
        <f>VLOOKUP('Tyre&amp;Fuel'!$D$28,Tracks!$A$4:$AP$849,33,0)*VLOOKUP(AQ44,Tables!$B$94:$C$102,2,0)^Tables!$AE$24*Tables!$B$91/2</f>
        <v>#N/A</v>
      </c>
      <c r="AW44" s="711">
        <f>IF(AU41="Yes",AV44/100*AW41,0)</f>
        <v>0</v>
      </c>
      <c r="AX44" s="705" t="e">
        <f t="shared" ref="AX44:AX53" si="42">IF($G$9="Yes",(MIN(100,(SUM(AT44)))),(MIN(100,(SUM(AT44)))))</f>
        <v>#N/A</v>
      </c>
      <c r="AY44" s="721"/>
      <c r="AZ44" s="529" t="s">
        <v>6</v>
      </c>
      <c r="BA44" s="512">
        <f t="shared" ref="BA44:BA53" si="43">IF(BE44="Up",AQ44+1,IF(BE44="Down",AQ44-1,IF(BE44="2Down",AQ44-2,AQ44)))</f>
        <v>6</v>
      </c>
      <c r="BB44" s="507" t="e">
        <f t="shared" ref="BB44:BB53" si="44">IF(BE44="Down",AX44*84.5%,IF(BE44="2Down",AX44*69%,IF(BE44="Up",AX44-AX44,IF(BE44="Same",AX44-AX44,AX44))))</f>
        <v>#N/A</v>
      </c>
      <c r="BC44" s="523" t="e">
        <f>VLOOKUP(AZ40,Tracks!$A$4:$AP$886,33,0)*VLOOKUP(BA44,Tables!$B$94:$C$102,2,0)^BC41*Tables!$B$91</f>
        <v>#N/A</v>
      </c>
      <c r="BD44" s="508" t="e">
        <f t="shared" ref="BD44:BD53" si="45">BC44+BB44+BG44</f>
        <v>#N/A</v>
      </c>
      <c r="BE44" s="509"/>
      <c r="BF44" s="510" t="e">
        <f>VLOOKUP('Tyre&amp;Fuel'!$D$28,Tracks!$A$4:$AP$849,33,0)*VLOOKUP(BA44,Tables!$B$94:$C$102,2,0)^Tables!$AE$24*Tables!$B$91/2</f>
        <v>#N/A</v>
      </c>
      <c r="BG44" s="711">
        <f>IF(BE41="Yes",BF44/100*BG41,0)</f>
        <v>0</v>
      </c>
      <c r="BH44" s="705" t="e">
        <f t="shared" ref="BH44:BH53" si="46">IF($G$9="Yes",(MIN(100,(SUM(BD44)))),(MIN(100,(SUM(BD44)))))</f>
        <v>#N/A</v>
      </c>
      <c r="BI44" s="721"/>
    </row>
    <row r="45" spans="1:61" x14ac:dyDescent="0.3">
      <c r="A45" s="721"/>
      <c r="B45" s="529" t="s">
        <v>795</v>
      </c>
      <c r="C45" s="512">
        <f t="shared" si="23"/>
        <v>7</v>
      </c>
      <c r="D45" s="507" t="e">
        <f t="shared" si="24"/>
        <v>#N/A</v>
      </c>
      <c r="E45" s="523" t="e">
        <f>VLOOKUP(B40,Tracks!$A$4:$AP$886,34,0)*VLOOKUP(C45,Tables!$B$94:$C$102,2,0)^E41*Tables!$B$91</f>
        <v>#N/A</v>
      </c>
      <c r="F45" s="508" t="e">
        <f t="shared" si="25"/>
        <v>#N/A</v>
      </c>
      <c r="G45" s="509"/>
      <c r="H45" s="510" t="e">
        <f>VLOOKUP('Tyre&amp;Fuel'!$D$28,Tracks!$A$4:$AP$849,34,0)*VLOOKUP(C45,Tables!$B$94:$C$102,2,0)^Tables!AE24*Tables!$B$91/2</f>
        <v>#N/A</v>
      </c>
      <c r="I45" s="711">
        <f>IF(G41="Yes",H45/100*I41,0)</f>
        <v>0</v>
      </c>
      <c r="J45" s="705" t="e">
        <f t="shared" si="26"/>
        <v>#N/A</v>
      </c>
      <c r="K45" s="721"/>
      <c r="L45" s="529" t="s">
        <v>795</v>
      </c>
      <c r="M45" s="512">
        <f t="shared" si="27"/>
        <v>7</v>
      </c>
      <c r="N45" s="507" t="e">
        <f t="shared" si="28"/>
        <v>#N/A</v>
      </c>
      <c r="O45" s="523" t="e">
        <f>VLOOKUP(L40,Tracks!$A$4:$AP$886,34,0)*VLOOKUP(M45,Tables!$B$94:$C$102,2,0)^O41*Tables!$B$91</f>
        <v>#N/A</v>
      </c>
      <c r="P45" s="508" t="e">
        <f t="shared" si="29"/>
        <v>#N/A</v>
      </c>
      <c r="Q45" s="509"/>
      <c r="R45" s="510" t="e">
        <f>VLOOKUP('Tyre&amp;Fuel'!$D$28,Tracks!$A$4:$AP$849,34,0)*VLOOKUP(M45,Tables!$B$94:$C$102,2,0)^Tables!AE24*Tables!$B$91/2</f>
        <v>#N/A</v>
      </c>
      <c r="S45" s="711">
        <f>IF(Q41="Yes",R45/100*S41,0)</f>
        <v>0</v>
      </c>
      <c r="T45" s="705" t="e">
        <f t="shared" si="30"/>
        <v>#N/A</v>
      </c>
      <c r="U45" s="721"/>
      <c r="V45" s="529" t="s">
        <v>795</v>
      </c>
      <c r="W45" s="512">
        <f t="shared" si="31"/>
        <v>5</v>
      </c>
      <c r="X45" s="507" t="e">
        <f t="shared" si="32"/>
        <v>#N/A</v>
      </c>
      <c r="Y45" s="523" t="e">
        <f>VLOOKUP(V40,Tracks!$A$4:$AP$886,34,0)*VLOOKUP(W45,Tables!$B$94:$C$102,2,0)^Y41*Tables!$B$91</f>
        <v>#N/A</v>
      </c>
      <c r="Z45" s="508" t="e">
        <f t="shared" si="33"/>
        <v>#N/A</v>
      </c>
      <c r="AA45" s="509" t="s">
        <v>812</v>
      </c>
      <c r="AB45" s="510" t="e">
        <f>VLOOKUP('Tyre&amp;Fuel'!$D$28,Tracks!$A$4:$AP$849,34,0)*VLOOKUP(W45,Tables!$B$94:$C$102,2,0)^Tables!AE24*Tables!$B$91/2</f>
        <v>#N/A</v>
      </c>
      <c r="AC45" s="711">
        <f>IF(AA41="Yes",AB45/100*AC41,0)</f>
        <v>0</v>
      </c>
      <c r="AD45" s="705" t="e">
        <f t="shared" si="34"/>
        <v>#N/A</v>
      </c>
      <c r="AE45" s="721"/>
      <c r="AF45" s="529" t="s">
        <v>795</v>
      </c>
      <c r="AG45" s="512">
        <f t="shared" si="35"/>
        <v>5</v>
      </c>
      <c r="AH45" s="507" t="e">
        <f t="shared" si="36"/>
        <v>#N/A</v>
      </c>
      <c r="AI45" s="523" t="e">
        <f>VLOOKUP(AF40,Tracks!$A$4:$AP$886,34,0)*VLOOKUP(AG45,Tables!$B$94:$C$102,2,0)^AI41*Tables!$B$91</f>
        <v>#N/A</v>
      </c>
      <c r="AJ45" s="508" t="e">
        <f t="shared" si="37"/>
        <v>#N/A</v>
      </c>
      <c r="AK45" s="509"/>
      <c r="AL45" s="510" t="e">
        <f>VLOOKUP('Tyre&amp;Fuel'!$D$28,Tracks!$A$4:$AP$849,34,0)*VLOOKUP(AG45,Tables!$B$94:$C$102,2,0)^Tables!$AE$24*Tables!$B$91/2</f>
        <v>#N/A</v>
      </c>
      <c r="AM45" s="711">
        <f>IF(AK41="Yes",AL45/100*AM41,0)</f>
        <v>0</v>
      </c>
      <c r="AN45" s="705" t="e">
        <f t="shared" si="38"/>
        <v>#N/A</v>
      </c>
      <c r="AO45" s="721"/>
      <c r="AP45" s="529" t="s">
        <v>795</v>
      </c>
      <c r="AQ45" s="512">
        <f t="shared" si="39"/>
        <v>5</v>
      </c>
      <c r="AR45" s="507" t="e">
        <f t="shared" si="40"/>
        <v>#N/A</v>
      </c>
      <c r="AS45" s="523" t="e">
        <f>VLOOKUP(AP40,Tracks!$A$4:$AP$886,34,0)*VLOOKUP(AQ45,Tables!$B$94:$C$102,2,0)^AS41*Tables!$B$91</f>
        <v>#N/A</v>
      </c>
      <c r="AT45" s="508" t="e">
        <f t="shared" si="41"/>
        <v>#N/A</v>
      </c>
      <c r="AU45" s="509"/>
      <c r="AV45" s="510" t="e">
        <f>VLOOKUP('Tyre&amp;Fuel'!$D$28,Tracks!$A$4:$AP$849,34,0)*VLOOKUP(AQ45,Tables!$B$94:$C$102,2,0)^Tables!$AE$24*Tables!$B$91/2</f>
        <v>#N/A</v>
      </c>
      <c r="AW45" s="711">
        <f>IF(AU41="Yes",AV45/100*AW41,0)</f>
        <v>0</v>
      </c>
      <c r="AX45" s="705" t="e">
        <f t="shared" si="42"/>
        <v>#N/A</v>
      </c>
      <c r="AY45" s="721"/>
      <c r="AZ45" s="529" t="s">
        <v>795</v>
      </c>
      <c r="BA45" s="512">
        <f t="shared" si="43"/>
        <v>5</v>
      </c>
      <c r="BB45" s="507" t="e">
        <f t="shared" si="44"/>
        <v>#N/A</v>
      </c>
      <c r="BC45" s="523" t="e">
        <f>VLOOKUP(AZ40,Tracks!$A$4:$AP$886,34,0)*VLOOKUP(BA45,Tables!$B$94:$C$102,2,0)^BC41*Tables!$B$91</f>
        <v>#N/A</v>
      </c>
      <c r="BD45" s="508" t="e">
        <f t="shared" si="45"/>
        <v>#N/A</v>
      </c>
      <c r="BE45" s="509"/>
      <c r="BF45" s="510" t="e">
        <f>VLOOKUP('Tyre&amp;Fuel'!$D$28,Tracks!$A$4:$AP$849,34,0)*VLOOKUP(BA45,Tables!$B$94:$C$102,2,0)^Tables!$AE$24*Tables!$B$91/2</f>
        <v>#N/A</v>
      </c>
      <c r="BG45" s="711">
        <f>IF(BE41="Yes",BF45/100*BG41,0)</f>
        <v>0</v>
      </c>
      <c r="BH45" s="705" t="e">
        <f t="shared" si="46"/>
        <v>#N/A</v>
      </c>
      <c r="BI45" s="721"/>
    </row>
    <row r="46" spans="1:61" x14ac:dyDescent="0.3">
      <c r="A46" s="721"/>
      <c r="B46" s="529" t="s">
        <v>796</v>
      </c>
      <c r="C46" s="512">
        <f t="shared" si="23"/>
        <v>7</v>
      </c>
      <c r="D46" s="507" t="e">
        <f t="shared" si="24"/>
        <v>#N/A</v>
      </c>
      <c r="E46" s="523" t="e">
        <f>VLOOKUP(B40,Tracks!$A$4:$AP$886,35,0)*VLOOKUP(C46,Tables!$B$94:$C$102,2,0)^E41*Tables!$B$91</f>
        <v>#N/A</v>
      </c>
      <c r="F46" s="508" t="e">
        <f t="shared" si="25"/>
        <v>#N/A</v>
      </c>
      <c r="G46" s="509"/>
      <c r="H46" s="510" t="e">
        <f>VLOOKUP('Tyre&amp;Fuel'!$D$28,Tracks!$A$4:$AP$849,35,0)*VLOOKUP(C46,Tables!$B$94:$C$102,2,0)^Tables!AE24*Tables!$B$91/2</f>
        <v>#N/A</v>
      </c>
      <c r="I46" s="711">
        <f>IF(G41="Yes",H46/100*I41,0)</f>
        <v>0</v>
      </c>
      <c r="J46" s="705" t="e">
        <f t="shared" si="26"/>
        <v>#N/A</v>
      </c>
      <c r="K46" s="721"/>
      <c r="L46" s="529" t="s">
        <v>796</v>
      </c>
      <c r="M46" s="512">
        <f t="shared" si="27"/>
        <v>7</v>
      </c>
      <c r="N46" s="507" t="e">
        <f t="shared" si="28"/>
        <v>#N/A</v>
      </c>
      <c r="O46" s="523" t="e">
        <f>VLOOKUP(L40,Tracks!$A$4:$AP$886,35,0)*VLOOKUP(M46,Tables!$B$94:$C$102,2,0)^O41*Tables!$B$91</f>
        <v>#N/A</v>
      </c>
      <c r="P46" s="508" t="e">
        <f t="shared" si="29"/>
        <v>#N/A</v>
      </c>
      <c r="Q46" s="509"/>
      <c r="R46" s="510" t="e">
        <f>VLOOKUP('Tyre&amp;Fuel'!$D$28,Tracks!$A$4:$AP$849,35,0)*VLOOKUP(M46,Tables!$B$94:$C$102,2,0)^Tables!AE24*Tables!$B$91/2</f>
        <v>#N/A</v>
      </c>
      <c r="S46" s="711">
        <f>IF(Q41="Yes",R46/100*S41,0)</f>
        <v>0</v>
      </c>
      <c r="T46" s="705" t="e">
        <f t="shared" si="30"/>
        <v>#N/A</v>
      </c>
      <c r="U46" s="721"/>
      <c r="V46" s="529" t="s">
        <v>796</v>
      </c>
      <c r="W46" s="512">
        <f t="shared" si="31"/>
        <v>5</v>
      </c>
      <c r="X46" s="507" t="e">
        <f t="shared" si="32"/>
        <v>#N/A</v>
      </c>
      <c r="Y46" s="523" t="e">
        <f>VLOOKUP(V40,Tracks!$A$4:$AP$886,35,0)*VLOOKUP(W46,Tables!$B$94:$C$102,2,0)^Y41*Tables!$B$91</f>
        <v>#N/A</v>
      </c>
      <c r="Z46" s="508" t="e">
        <f t="shared" si="33"/>
        <v>#N/A</v>
      </c>
      <c r="AA46" s="509" t="s">
        <v>812</v>
      </c>
      <c r="AB46" s="510" t="e">
        <f>VLOOKUP('Tyre&amp;Fuel'!$D$28,Tracks!$A$4:$AP$849,35,0)*VLOOKUP(W46,Tables!$B$94:$C$102,2,0)^Tables!AE24*Tables!$B$91/2</f>
        <v>#N/A</v>
      </c>
      <c r="AC46" s="711">
        <f>IF(AA41="Yes",AB46/100*AC41,0)</f>
        <v>0</v>
      </c>
      <c r="AD46" s="705" t="e">
        <f t="shared" si="34"/>
        <v>#N/A</v>
      </c>
      <c r="AE46" s="721"/>
      <c r="AF46" s="529" t="s">
        <v>796</v>
      </c>
      <c r="AG46" s="512">
        <f t="shared" si="35"/>
        <v>5</v>
      </c>
      <c r="AH46" s="507" t="e">
        <f t="shared" si="36"/>
        <v>#N/A</v>
      </c>
      <c r="AI46" s="523" t="e">
        <f>VLOOKUP(AF40,Tracks!$A$4:$AP$886,35,0)*VLOOKUP(AG46,Tables!$B$94:$C$102,2,0)^AI41*Tables!$B$91</f>
        <v>#N/A</v>
      </c>
      <c r="AJ46" s="508" t="e">
        <f t="shared" si="37"/>
        <v>#N/A</v>
      </c>
      <c r="AK46" s="509"/>
      <c r="AL46" s="510" t="e">
        <f>VLOOKUP('Tyre&amp;Fuel'!$D$28,Tracks!$A$4:$AP$849,35,0)*VLOOKUP(AG46,Tables!$B$94:$C$102,2,0)^Tables!$AE$24*Tables!$B$91/2</f>
        <v>#N/A</v>
      </c>
      <c r="AM46" s="711">
        <f>IF(AK41="Yes",AL46/100*AM41,0)</f>
        <v>0</v>
      </c>
      <c r="AN46" s="705" t="e">
        <f t="shared" si="38"/>
        <v>#N/A</v>
      </c>
      <c r="AO46" s="721"/>
      <c r="AP46" s="529" t="s">
        <v>796</v>
      </c>
      <c r="AQ46" s="512">
        <f t="shared" si="39"/>
        <v>5</v>
      </c>
      <c r="AR46" s="507" t="e">
        <f t="shared" si="40"/>
        <v>#N/A</v>
      </c>
      <c r="AS46" s="523" t="e">
        <f>VLOOKUP(AP40,Tracks!$A$4:$AP$886,35,0)*VLOOKUP(AQ46,Tables!$B$94:$C$102,2,0)^AS41*Tables!$B$91</f>
        <v>#N/A</v>
      </c>
      <c r="AT46" s="508" t="e">
        <f t="shared" si="41"/>
        <v>#N/A</v>
      </c>
      <c r="AU46" s="509"/>
      <c r="AV46" s="510" t="e">
        <f>VLOOKUP('Tyre&amp;Fuel'!$D$28,Tracks!$A$4:$AP$849,35,0)*VLOOKUP(AQ46,Tables!$B$94:$C$102,2,0)^Tables!$AE$24*Tables!$B$91/2</f>
        <v>#N/A</v>
      </c>
      <c r="AW46" s="711">
        <f>IF(AU41="Yes",AV46/100*AW41,0)</f>
        <v>0</v>
      </c>
      <c r="AX46" s="705" t="e">
        <f t="shared" si="42"/>
        <v>#N/A</v>
      </c>
      <c r="AY46" s="721"/>
      <c r="AZ46" s="529" t="s">
        <v>796</v>
      </c>
      <c r="BA46" s="512">
        <f t="shared" si="43"/>
        <v>5</v>
      </c>
      <c r="BB46" s="507" t="e">
        <f t="shared" si="44"/>
        <v>#N/A</v>
      </c>
      <c r="BC46" s="523" t="e">
        <f>VLOOKUP(AZ40,Tracks!$A$4:$AP$886,35,0)*VLOOKUP(BA46,Tables!$B$94:$C$102,2,0)^BC41*Tables!$B$91</f>
        <v>#N/A</v>
      </c>
      <c r="BD46" s="508" t="e">
        <f t="shared" si="45"/>
        <v>#N/A</v>
      </c>
      <c r="BE46" s="509"/>
      <c r="BF46" s="510" t="e">
        <f>VLOOKUP('Tyre&amp;Fuel'!$D$28,Tracks!$A$4:$AP$849,35,0)*VLOOKUP(BA46,Tables!$B$94:$C$102,2,0)^Tables!$AE$24*Tables!$B$91/2</f>
        <v>#N/A</v>
      </c>
      <c r="BG46" s="711">
        <f>IF(BE41="Yes",BF46/100*BG41,0)</f>
        <v>0</v>
      </c>
      <c r="BH46" s="705" t="e">
        <f t="shared" si="46"/>
        <v>#N/A</v>
      </c>
      <c r="BI46" s="721"/>
    </row>
    <row r="47" spans="1:61" x14ac:dyDescent="0.3">
      <c r="A47" s="721"/>
      <c r="B47" s="529" t="s">
        <v>10</v>
      </c>
      <c r="C47" s="512">
        <f t="shared" si="23"/>
        <v>8</v>
      </c>
      <c r="D47" s="507" t="e">
        <f t="shared" si="24"/>
        <v>#N/A</v>
      </c>
      <c r="E47" s="523" t="e">
        <f>VLOOKUP(B40,Tracks!$A$4:$AP$886,36,0)*VLOOKUP(C47,Tables!$B$94:$C$102,2,0)^E41*Tables!$B$91</f>
        <v>#N/A</v>
      </c>
      <c r="F47" s="508" t="e">
        <f t="shared" si="25"/>
        <v>#N/A</v>
      </c>
      <c r="G47" s="509"/>
      <c r="H47" s="510" t="e">
        <f>VLOOKUP('Tyre&amp;Fuel'!$D$28,Tracks!$A$4:$AP$849,36,0)*VLOOKUP(C47,Tables!$B$94:$C$102,2,0)^Tables!AE24*Tables!$B$91/2</f>
        <v>#N/A</v>
      </c>
      <c r="I47" s="711">
        <f>IF(G41="Yes",H47/100*I41,0)</f>
        <v>0</v>
      </c>
      <c r="J47" s="705" t="e">
        <f t="shared" si="26"/>
        <v>#N/A</v>
      </c>
      <c r="K47" s="721"/>
      <c r="L47" s="529" t="s">
        <v>10</v>
      </c>
      <c r="M47" s="512">
        <f t="shared" si="27"/>
        <v>6</v>
      </c>
      <c r="N47" s="507" t="e">
        <f t="shared" si="28"/>
        <v>#N/A</v>
      </c>
      <c r="O47" s="523" t="e">
        <f>VLOOKUP(L40,Tracks!$A$4:$AP$886,36,0)*VLOOKUP(M47,Tables!$B$94:$C$102,2,0)^O41*Tables!$B$91</f>
        <v>#N/A</v>
      </c>
      <c r="P47" s="508" t="e">
        <f t="shared" si="29"/>
        <v>#N/A</v>
      </c>
      <c r="Q47" s="509" t="s">
        <v>812</v>
      </c>
      <c r="R47" s="510" t="e">
        <f>VLOOKUP('Tyre&amp;Fuel'!$D$28,Tracks!$A$4:$AP$849,36,0)*VLOOKUP(M47,Tables!$B$94:$C$102,2,0)^Tables!AE24*Tables!$B$91/2</f>
        <v>#N/A</v>
      </c>
      <c r="S47" s="711">
        <f>IF(Q41="Yes",R47/100*S41,0)</f>
        <v>0</v>
      </c>
      <c r="T47" s="705" t="e">
        <f t="shared" si="30"/>
        <v>#N/A</v>
      </c>
      <c r="U47" s="721"/>
      <c r="V47" s="529" t="s">
        <v>10</v>
      </c>
      <c r="W47" s="512">
        <f t="shared" si="31"/>
        <v>5</v>
      </c>
      <c r="X47" s="507" t="e">
        <f t="shared" si="32"/>
        <v>#N/A</v>
      </c>
      <c r="Y47" s="523" t="e">
        <f>VLOOKUP(V40,Tracks!$A$4:$AP$886,36,0)*VLOOKUP(W47,Tables!$B$94:$C$102,2,0)^Y41*Tables!$B$91</f>
        <v>#N/A</v>
      </c>
      <c r="Z47" s="508" t="e">
        <f t="shared" si="33"/>
        <v>#N/A</v>
      </c>
      <c r="AA47" s="509" t="s">
        <v>314</v>
      </c>
      <c r="AB47" s="510" t="e">
        <f>VLOOKUP('Tyre&amp;Fuel'!$D$28,Tracks!$A$4:$AP$849,36,0)*VLOOKUP(W47,Tables!$B$94:$C$102,2,0)^Tables!AE24*Tables!$B$91/2</f>
        <v>#N/A</v>
      </c>
      <c r="AC47" s="711">
        <f>IF(AA41="Yes",AB47/100*AC41,0)</f>
        <v>0</v>
      </c>
      <c r="AD47" s="705" t="e">
        <f t="shared" si="34"/>
        <v>#N/A</v>
      </c>
      <c r="AE47" s="721"/>
      <c r="AF47" s="529" t="s">
        <v>10</v>
      </c>
      <c r="AG47" s="512">
        <f t="shared" si="35"/>
        <v>5</v>
      </c>
      <c r="AH47" s="507" t="e">
        <f t="shared" si="36"/>
        <v>#N/A</v>
      </c>
      <c r="AI47" s="523" t="e">
        <f>VLOOKUP(AF40,Tracks!$A$4:$AP$886,36,0)*VLOOKUP(AG47,Tables!$B$94:$C$102,2,0)^AI41*Tables!$B$91</f>
        <v>#N/A</v>
      </c>
      <c r="AJ47" s="508" t="e">
        <f t="shared" si="37"/>
        <v>#N/A</v>
      </c>
      <c r="AK47" s="509"/>
      <c r="AL47" s="510" t="e">
        <f>VLOOKUP('Tyre&amp;Fuel'!$D$28,Tracks!$A$4:$AP$849,36,0)*VLOOKUP(AG47,Tables!$B$94:$C$102,2,0)^Tables!$AE$24*Tables!$B$91/2</f>
        <v>#N/A</v>
      </c>
      <c r="AM47" s="711">
        <f>IF(AK41="Yes",AL47/100*AM41,0)</f>
        <v>0</v>
      </c>
      <c r="AN47" s="705" t="e">
        <f t="shared" si="38"/>
        <v>#N/A</v>
      </c>
      <c r="AO47" s="721"/>
      <c r="AP47" s="529" t="s">
        <v>10</v>
      </c>
      <c r="AQ47" s="512">
        <f t="shared" si="39"/>
        <v>5</v>
      </c>
      <c r="AR47" s="507" t="e">
        <f t="shared" si="40"/>
        <v>#N/A</v>
      </c>
      <c r="AS47" s="523" t="e">
        <f>VLOOKUP(AP40,Tracks!$A$4:$AP$886,36,0)*VLOOKUP(AQ47,Tables!$B$94:$C$102,2,0)^AS41*Tables!$B$91</f>
        <v>#N/A</v>
      </c>
      <c r="AT47" s="508" t="e">
        <f t="shared" si="41"/>
        <v>#N/A</v>
      </c>
      <c r="AU47" s="509"/>
      <c r="AV47" s="510" t="e">
        <f>VLOOKUP('Tyre&amp;Fuel'!$D$28,Tracks!$A$4:$AP$849,36,0)*VLOOKUP(AQ47,Tables!$B$94:$C$102,2,0)^Tables!$AE$24*Tables!$B$91/2</f>
        <v>#N/A</v>
      </c>
      <c r="AW47" s="711">
        <f>IF(AU41="Yes",AV47/100*AW41,0)</f>
        <v>0</v>
      </c>
      <c r="AX47" s="705" t="e">
        <f t="shared" si="42"/>
        <v>#N/A</v>
      </c>
      <c r="AY47" s="721"/>
      <c r="AZ47" s="529" t="s">
        <v>10</v>
      </c>
      <c r="BA47" s="512">
        <f t="shared" si="43"/>
        <v>5</v>
      </c>
      <c r="BB47" s="507" t="e">
        <f t="shared" si="44"/>
        <v>#N/A</v>
      </c>
      <c r="BC47" s="523" t="e">
        <f>VLOOKUP(AZ40,Tracks!$A$4:$AP$886,36,0)*VLOOKUP(BA47,Tables!$B$94:$C$102,2,0)^BC41*Tables!$B$91</f>
        <v>#N/A</v>
      </c>
      <c r="BD47" s="508" t="e">
        <f t="shared" si="45"/>
        <v>#N/A</v>
      </c>
      <c r="BE47" s="509"/>
      <c r="BF47" s="510" t="e">
        <f>VLOOKUP('Tyre&amp;Fuel'!$D$28,Tracks!$A$4:$AP$849,36,0)*VLOOKUP(BA47,Tables!$B$94:$C$102,2,0)^Tables!$AE$24*Tables!$B$91/2</f>
        <v>#N/A</v>
      </c>
      <c r="BG47" s="711">
        <f>IF(BE41="Yes",BF47/100*BG41,0)</f>
        <v>0</v>
      </c>
      <c r="BH47" s="705" t="e">
        <f t="shared" si="46"/>
        <v>#N/A</v>
      </c>
      <c r="BI47" s="721"/>
    </row>
    <row r="48" spans="1:61" x14ac:dyDescent="0.3">
      <c r="A48" s="721"/>
      <c r="B48" s="529" t="s">
        <v>12</v>
      </c>
      <c r="C48" s="512">
        <f t="shared" si="23"/>
        <v>8</v>
      </c>
      <c r="D48" s="507" t="e">
        <f t="shared" si="24"/>
        <v>#N/A</v>
      </c>
      <c r="E48" s="523" t="e">
        <f>VLOOKUP(B40,Tracks!$A$4:$AP$886,37,0)*VLOOKUP(C48,Tables!$B$94:$C$102,2,0)^E41*Tables!$B$91</f>
        <v>#N/A</v>
      </c>
      <c r="F48" s="508" t="e">
        <f t="shared" si="25"/>
        <v>#N/A</v>
      </c>
      <c r="G48" s="509"/>
      <c r="H48" s="510" t="e">
        <f>VLOOKUP('Tyre&amp;Fuel'!$D$28,Tracks!$A$4:$AP$849,37,0)*VLOOKUP(C48,Tables!$B$94:$C$102,2,0)^Tables!AE24*Tables!$B$91/2</f>
        <v>#N/A</v>
      </c>
      <c r="I48" s="711">
        <f>IF(G41="Yes",H48/100*I41,0)</f>
        <v>0</v>
      </c>
      <c r="J48" s="705" t="e">
        <f t="shared" si="26"/>
        <v>#N/A</v>
      </c>
      <c r="K48" s="721"/>
      <c r="L48" s="529" t="s">
        <v>12</v>
      </c>
      <c r="M48" s="512">
        <f t="shared" si="27"/>
        <v>6</v>
      </c>
      <c r="N48" s="507" t="e">
        <f t="shared" si="28"/>
        <v>#N/A</v>
      </c>
      <c r="O48" s="523" t="e">
        <f>VLOOKUP(L40,Tracks!$A$4:$AP$886,37,0)*VLOOKUP(M48,Tables!$B$94:$C$102,2,0)^O41*Tables!$B$91</f>
        <v>#N/A</v>
      </c>
      <c r="P48" s="508" t="e">
        <f t="shared" si="29"/>
        <v>#N/A</v>
      </c>
      <c r="Q48" s="509" t="s">
        <v>812</v>
      </c>
      <c r="R48" s="510" t="e">
        <f>VLOOKUP('Tyre&amp;Fuel'!$D$28,Tracks!$A$4:$AP$849,37,0)*VLOOKUP(M48,Tables!$B$94:$C$102,2,0)^Tables!AE24*Tables!$B$91/2</f>
        <v>#N/A</v>
      </c>
      <c r="S48" s="711">
        <f>IF(Q41="Yes",R48/100*S41,0)</f>
        <v>0</v>
      </c>
      <c r="T48" s="705" t="e">
        <f t="shared" si="30"/>
        <v>#N/A</v>
      </c>
      <c r="U48" s="721"/>
      <c r="V48" s="529" t="s">
        <v>12</v>
      </c>
      <c r="W48" s="512">
        <f t="shared" si="31"/>
        <v>5</v>
      </c>
      <c r="X48" s="507" t="e">
        <f t="shared" si="32"/>
        <v>#N/A</v>
      </c>
      <c r="Y48" s="523" t="e">
        <f>VLOOKUP(V40,Tracks!$A$4:$AP$886,37,0)*VLOOKUP(W48,Tables!$B$94:$C$102,2,0)^Y41*Tables!$B$91</f>
        <v>#N/A</v>
      </c>
      <c r="Z48" s="508" t="e">
        <f t="shared" si="33"/>
        <v>#N/A</v>
      </c>
      <c r="AA48" s="509" t="s">
        <v>314</v>
      </c>
      <c r="AB48" s="510" t="e">
        <f>VLOOKUP('Tyre&amp;Fuel'!$D$28,Tracks!$A$4:$AP$849,37,0)*VLOOKUP(W48,Tables!$B$94:$C$102,2,0)^Tables!AE24*Tables!$B$91/2</f>
        <v>#N/A</v>
      </c>
      <c r="AC48" s="711">
        <f>IF(AA41="Yes",AB48/100*AC41,0)</f>
        <v>0</v>
      </c>
      <c r="AD48" s="705" t="e">
        <f t="shared" si="34"/>
        <v>#N/A</v>
      </c>
      <c r="AE48" s="721"/>
      <c r="AF48" s="529" t="s">
        <v>12</v>
      </c>
      <c r="AG48" s="512">
        <f t="shared" si="35"/>
        <v>5</v>
      </c>
      <c r="AH48" s="507" t="e">
        <f t="shared" si="36"/>
        <v>#N/A</v>
      </c>
      <c r="AI48" s="523" t="e">
        <f>VLOOKUP(AF40,Tracks!$A$4:$AP$886,37,0)*VLOOKUP(AG48,Tables!$B$94:$C$102,2,0)^AI41*Tables!$B$91</f>
        <v>#N/A</v>
      </c>
      <c r="AJ48" s="508" t="e">
        <f t="shared" si="37"/>
        <v>#N/A</v>
      </c>
      <c r="AK48" s="509"/>
      <c r="AL48" s="510" t="e">
        <f>VLOOKUP('Tyre&amp;Fuel'!$D$28,Tracks!$A$4:$AP$849,37,0)*VLOOKUP(AG48,Tables!$B$94:$C$102,2,0)^Tables!$AE$24*Tables!$B$91/2</f>
        <v>#N/A</v>
      </c>
      <c r="AM48" s="711">
        <f>IF(AK41="Yes",AL48/100*AM41,0)</f>
        <v>0</v>
      </c>
      <c r="AN48" s="705" t="e">
        <f t="shared" si="38"/>
        <v>#N/A</v>
      </c>
      <c r="AO48" s="721"/>
      <c r="AP48" s="529" t="s">
        <v>12</v>
      </c>
      <c r="AQ48" s="512">
        <f t="shared" si="39"/>
        <v>5</v>
      </c>
      <c r="AR48" s="507" t="e">
        <f t="shared" si="40"/>
        <v>#N/A</v>
      </c>
      <c r="AS48" s="523" t="e">
        <f>VLOOKUP(AP40,Tracks!$A$4:$AP$886,37,0)*VLOOKUP(AQ48,Tables!$B$94:$C$102,2,0)^AS41*Tables!$B$91</f>
        <v>#N/A</v>
      </c>
      <c r="AT48" s="508" t="e">
        <f t="shared" si="41"/>
        <v>#N/A</v>
      </c>
      <c r="AU48" s="509"/>
      <c r="AV48" s="510" t="e">
        <f>VLOOKUP('Tyre&amp;Fuel'!$D$28,Tracks!$A$4:$AP$849,37,0)*VLOOKUP(AQ48,Tables!$B$94:$C$102,2,0)^Tables!$AE$24*Tables!$B$91/2</f>
        <v>#N/A</v>
      </c>
      <c r="AW48" s="711">
        <f>IF(AU41="Yes",AV48/100*AW41,0)</f>
        <v>0</v>
      </c>
      <c r="AX48" s="705" t="e">
        <f t="shared" si="42"/>
        <v>#N/A</v>
      </c>
      <c r="AY48" s="721"/>
      <c r="AZ48" s="529" t="s">
        <v>12</v>
      </c>
      <c r="BA48" s="512">
        <f t="shared" si="43"/>
        <v>5</v>
      </c>
      <c r="BB48" s="507" t="e">
        <f t="shared" si="44"/>
        <v>#N/A</v>
      </c>
      <c r="BC48" s="523" t="e">
        <f>VLOOKUP(AZ40,Tracks!$A$4:$AP$886,37,0)*VLOOKUP(BA48,Tables!$B$94:$C$102,2,0)^BC41*Tables!$B$91</f>
        <v>#N/A</v>
      </c>
      <c r="BD48" s="508" t="e">
        <f t="shared" si="45"/>
        <v>#N/A</v>
      </c>
      <c r="BE48" s="509"/>
      <c r="BF48" s="510" t="e">
        <f>VLOOKUP('Tyre&amp;Fuel'!$D$28,Tracks!$A$4:$AP$849,37,0)*VLOOKUP(BA48,Tables!$B$94:$C$102,2,0)^Tables!$AE$24*Tables!$B$91/2</f>
        <v>#N/A</v>
      </c>
      <c r="BG48" s="711">
        <f>IF(BE41="Yes",BF48/100*BG41,0)</f>
        <v>0</v>
      </c>
      <c r="BH48" s="705" t="e">
        <f t="shared" si="46"/>
        <v>#N/A</v>
      </c>
      <c r="BI48" s="721"/>
    </row>
    <row r="49" spans="1:61" x14ac:dyDescent="0.3">
      <c r="A49" s="721"/>
      <c r="B49" s="529" t="s">
        <v>15</v>
      </c>
      <c r="C49" s="512">
        <f t="shared" si="23"/>
        <v>7</v>
      </c>
      <c r="D49" s="507" t="e">
        <f t="shared" si="24"/>
        <v>#N/A</v>
      </c>
      <c r="E49" s="523" t="e">
        <f>VLOOKUP(B40,Tracks!$A$4:$AP$886,38,0)*VLOOKUP(C49,Tables!$B$94:$C$102,2,0)^E41*Tables!$B$91</f>
        <v>#N/A</v>
      </c>
      <c r="F49" s="508" t="e">
        <f t="shared" si="25"/>
        <v>#N/A</v>
      </c>
      <c r="G49" s="509"/>
      <c r="H49" s="510" t="e">
        <f>VLOOKUP('Tyre&amp;Fuel'!$D$28,Tracks!$A$4:$AP$849,38,0)*VLOOKUP(C49,Tables!$B$94:$C$102,2,0)^Tables!AE24*Tables!$B$91/2</f>
        <v>#N/A</v>
      </c>
      <c r="I49" s="711">
        <f>IF(G41="Yes",H49/100*I41,0)</f>
        <v>0</v>
      </c>
      <c r="J49" s="705" t="e">
        <f t="shared" si="26"/>
        <v>#N/A</v>
      </c>
      <c r="K49" s="721"/>
      <c r="L49" s="529" t="s">
        <v>15</v>
      </c>
      <c r="M49" s="512">
        <f t="shared" si="27"/>
        <v>6</v>
      </c>
      <c r="N49" s="507" t="e">
        <f t="shared" si="28"/>
        <v>#N/A</v>
      </c>
      <c r="O49" s="523" t="e">
        <f>VLOOKUP(L40,Tracks!$A$4:$AP$886,38,0)*VLOOKUP(M49,Tables!$B$94:$C$102,2,0)^O41*Tables!$B$91</f>
        <v>#N/A</v>
      </c>
      <c r="P49" s="508" t="e">
        <f t="shared" si="29"/>
        <v>#N/A</v>
      </c>
      <c r="Q49" s="509" t="s">
        <v>314</v>
      </c>
      <c r="R49" s="510" t="e">
        <f>VLOOKUP('Tyre&amp;Fuel'!$D$28,Tracks!$A$4:$AP$849,38,0)*VLOOKUP(M49,Tables!$B$94:$C$102,2,0)^Tables!AE24*Tables!$B$91/2</f>
        <v>#N/A</v>
      </c>
      <c r="S49" s="711">
        <f>IF(Q41="Yes",R49/100*S41,0)</f>
        <v>0</v>
      </c>
      <c r="T49" s="705" t="e">
        <f t="shared" si="30"/>
        <v>#N/A</v>
      </c>
      <c r="U49" s="721"/>
      <c r="V49" s="529" t="s">
        <v>15</v>
      </c>
      <c r="W49" s="512">
        <f t="shared" si="31"/>
        <v>6</v>
      </c>
      <c r="X49" s="507" t="e">
        <f t="shared" si="32"/>
        <v>#N/A</v>
      </c>
      <c r="Y49" s="523" t="e">
        <f>VLOOKUP(V40,Tracks!$A$4:$AP$886,38,0)*VLOOKUP(W49,Tables!$B$94:$C$102,2,0)^Y41*Tables!$B$91</f>
        <v>#N/A</v>
      </c>
      <c r="Z49" s="508" t="e">
        <f t="shared" si="33"/>
        <v>#N/A</v>
      </c>
      <c r="AA49" s="509"/>
      <c r="AB49" s="510" t="e">
        <f>VLOOKUP('Tyre&amp;Fuel'!$D$28,Tracks!$A$4:$AP$849,38,0)*VLOOKUP(W49,Tables!$B$94:$C$102,2,0)^Tables!AE24*Tables!$B$91/2</f>
        <v>#N/A</v>
      </c>
      <c r="AC49" s="711">
        <f>IF(AA41="Yes",AB49/100*AC41,0)</f>
        <v>0</v>
      </c>
      <c r="AD49" s="705" t="e">
        <f t="shared" si="34"/>
        <v>#N/A</v>
      </c>
      <c r="AE49" s="721"/>
      <c r="AF49" s="529" t="s">
        <v>15</v>
      </c>
      <c r="AG49" s="512">
        <f t="shared" si="35"/>
        <v>6</v>
      </c>
      <c r="AH49" s="507" t="e">
        <f t="shared" si="36"/>
        <v>#N/A</v>
      </c>
      <c r="AI49" s="523" t="e">
        <f>VLOOKUP(AF40,Tracks!$A$4:$AP$886,38,0)*VLOOKUP(AG49,Tables!$B$94:$C$102,2,0)^AI41*Tables!$B$91</f>
        <v>#N/A</v>
      </c>
      <c r="AJ49" s="508" t="e">
        <f t="shared" si="37"/>
        <v>#N/A</v>
      </c>
      <c r="AK49" s="509"/>
      <c r="AL49" s="510" t="e">
        <f>VLOOKUP('Tyre&amp;Fuel'!$D$28,Tracks!$A$4:$AP$849,38,0)*VLOOKUP(AG49,Tables!$B$94:$C$102,2,0)^Tables!$AE$24*Tables!$B$91/2</f>
        <v>#N/A</v>
      </c>
      <c r="AM49" s="711">
        <f>IF(AK41="Yes",AL49/100*AM41,0)</f>
        <v>0</v>
      </c>
      <c r="AN49" s="705" t="e">
        <f t="shared" si="38"/>
        <v>#N/A</v>
      </c>
      <c r="AO49" s="721"/>
      <c r="AP49" s="529" t="s">
        <v>15</v>
      </c>
      <c r="AQ49" s="512">
        <f t="shared" si="39"/>
        <v>6</v>
      </c>
      <c r="AR49" s="507" t="e">
        <f t="shared" si="40"/>
        <v>#N/A</v>
      </c>
      <c r="AS49" s="523" t="e">
        <f>VLOOKUP(AP40,Tracks!$A$4:$AP$886,38,0)*VLOOKUP(AQ49,Tables!$B$94:$C$102,2,0)^AS41*Tables!$B$91</f>
        <v>#N/A</v>
      </c>
      <c r="AT49" s="508" t="e">
        <f t="shared" si="41"/>
        <v>#N/A</v>
      </c>
      <c r="AU49" s="509"/>
      <c r="AV49" s="510" t="e">
        <f>VLOOKUP('Tyre&amp;Fuel'!$D$28,Tracks!$A$4:$AP$849,38,0)*VLOOKUP(AQ49,Tables!$B$94:$C$102,2,0)^Tables!$AE$24*Tables!$B$91/2</f>
        <v>#N/A</v>
      </c>
      <c r="AW49" s="711">
        <f>IF(AU41="Yes",AV49/100*AW41,0)</f>
        <v>0</v>
      </c>
      <c r="AX49" s="705" t="e">
        <f t="shared" si="42"/>
        <v>#N/A</v>
      </c>
      <c r="AY49" s="721"/>
      <c r="AZ49" s="529" t="s">
        <v>15</v>
      </c>
      <c r="BA49" s="512">
        <f t="shared" si="43"/>
        <v>6</v>
      </c>
      <c r="BB49" s="507" t="e">
        <f t="shared" si="44"/>
        <v>#N/A</v>
      </c>
      <c r="BC49" s="523" t="e">
        <f>VLOOKUP(AZ40,Tracks!$A$4:$AP$886,38,0)*VLOOKUP(BA49,Tables!$B$94:$C$102,2,0)^BC41*Tables!$B$91</f>
        <v>#N/A</v>
      </c>
      <c r="BD49" s="508" t="e">
        <f t="shared" si="45"/>
        <v>#N/A</v>
      </c>
      <c r="BE49" s="509"/>
      <c r="BF49" s="510" t="e">
        <f>VLOOKUP('Tyre&amp;Fuel'!$D$28,Tracks!$A$4:$AP$849,38,0)*VLOOKUP(BA49,Tables!$B$94:$C$102,2,0)^Tables!$AE$24*Tables!$B$91/2</f>
        <v>#N/A</v>
      </c>
      <c r="BG49" s="711">
        <f>IF(BE41="Yes",BF49/100*BG41,0)</f>
        <v>0</v>
      </c>
      <c r="BH49" s="705" t="e">
        <f t="shared" si="46"/>
        <v>#N/A</v>
      </c>
      <c r="BI49" s="721"/>
    </row>
    <row r="50" spans="1:61" x14ac:dyDescent="0.3">
      <c r="A50" s="721"/>
      <c r="B50" s="529" t="s">
        <v>17</v>
      </c>
      <c r="C50" s="512">
        <f t="shared" si="23"/>
        <v>7</v>
      </c>
      <c r="D50" s="507" t="e">
        <f t="shared" si="24"/>
        <v>#N/A</v>
      </c>
      <c r="E50" s="523" t="e">
        <f>VLOOKUP(B40,Tracks!$A$4:$AP$886,39,0)*VLOOKUP(C50,Tables!$B$94:$C$102,2,0)^E41*Tables!$B$91</f>
        <v>#N/A</v>
      </c>
      <c r="F50" s="508" t="e">
        <f t="shared" si="25"/>
        <v>#N/A</v>
      </c>
      <c r="G50" s="509"/>
      <c r="H50" s="510" t="e">
        <f>VLOOKUP('Tyre&amp;Fuel'!$D$28,Tracks!$A$4:$AP$849,39,0)*VLOOKUP(C50,Tables!$B$94:$C$102,2,0)^Tables!AE24*Tables!$B$91/2</f>
        <v>#N/A</v>
      </c>
      <c r="I50" s="711">
        <f>IF(G41="Yes",H50/100*I41,0)</f>
        <v>0</v>
      </c>
      <c r="J50" s="705" t="e">
        <f t="shared" si="26"/>
        <v>#N/A</v>
      </c>
      <c r="K50" s="721"/>
      <c r="L50" s="529" t="s">
        <v>17</v>
      </c>
      <c r="M50" s="512">
        <f t="shared" si="27"/>
        <v>6</v>
      </c>
      <c r="N50" s="507" t="e">
        <f t="shared" si="28"/>
        <v>#N/A</v>
      </c>
      <c r="O50" s="523" t="e">
        <f>VLOOKUP(L40,Tracks!$A$4:$AP$886,39,0)*VLOOKUP(M50,Tables!$B$94:$C$102,2,0)^O41*Tables!$B$91</f>
        <v>#N/A</v>
      </c>
      <c r="P50" s="508" t="e">
        <f t="shared" si="29"/>
        <v>#N/A</v>
      </c>
      <c r="Q50" s="509" t="s">
        <v>314</v>
      </c>
      <c r="R50" s="510" t="e">
        <f>VLOOKUP('Tyre&amp;Fuel'!$D$28,Tracks!$A$4:$AP$849,39,0)*VLOOKUP(M50,Tables!$B$94:$C$102,2,0)^Tables!AE24*Tables!$B$91/2</f>
        <v>#N/A</v>
      </c>
      <c r="S50" s="711">
        <f>IF(Q41="Yes",R50/100*S41,0)</f>
        <v>0</v>
      </c>
      <c r="T50" s="705" t="e">
        <f t="shared" si="30"/>
        <v>#N/A</v>
      </c>
      <c r="U50" s="721"/>
      <c r="V50" s="529" t="s">
        <v>17</v>
      </c>
      <c r="W50" s="512">
        <f t="shared" si="31"/>
        <v>6</v>
      </c>
      <c r="X50" s="507" t="e">
        <f t="shared" si="32"/>
        <v>#N/A</v>
      </c>
      <c r="Y50" s="523" t="e">
        <f>VLOOKUP(V40,Tracks!$A$4:$AP$886,39,0)*VLOOKUP(W50,Tables!$B$94:$C$102,2,0)^Y41*Tables!$B$91</f>
        <v>#N/A</v>
      </c>
      <c r="Z50" s="508" t="e">
        <f t="shared" si="33"/>
        <v>#N/A</v>
      </c>
      <c r="AA50" s="509"/>
      <c r="AB50" s="510" t="e">
        <f>VLOOKUP('Tyre&amp;Fuel'!$D$28,Tracks!$A$4:$AP$849,39,0)*VLOOKUP(W50,Tables!$B$94:$C$102,2,0)^Tables!AE24*Tables!$B$91/2</f>
        <v>#N/A</v>
      </c>
      <c r="AC50" s="711">
        <f>IF(AA41="Yes",AB50/100*AC41,0)</f>
        <v>0</v>
      </c>
      <c r="AD50" s="705" t="e">
        <f t="shared" si="34"/>
        <v>#N/A</v>
      </c>
      <c r="AE50" s="721"/>
      <c r="AF50" s="529" t="s">
        <v>17</v>
      </c>
      <c r="AG50" s="512">
        <f t="shared" si="35"/>
        <v>6</v>
      </c>
      <c r="AH50" s="507" t="e">
        <f t="shared" si="36"/>
        <v>#N/A</v>
      </c>
      <c r="AI50" s="523" t="e">
        <f>VLOOKUP(AF40,Tracks!$A$4:$AP$886,39,0)*VLOOKUP(AG50,Tables!$B$94:$C$102,2,0)^AI41*Tables!$B$91</f>
        <v>#N/A</v>
      </c>
      <c r="AJ50" s="508" t="e">
        <f t="shared" si="37"/>
        <v>#N/A</v>
      </c>
      <c r="AK50" s="509"/>
      <c r="AL50" s="510" t="e">
        <f>VLOOKUP('Tyre&amp;Fuel'!$D$28,Tracks!$A$4:$AP$849,39,0)*VLOOKUP(AG50,Tables!$B$94:$C$102,2,0)^Tables!$AE$24*Tables!$B$91/2</f>
        <v>#N/A</v>
      </c>
      <c r="AM50" s="711">
        <f>IF(AK41="Yes",AL50/100*AM41,0)</f>
        <v>0</v>
      </c>
      <c r="AN50" s="705" t="e">
        <f t="shared" si="38"/>
        <v>#N/A</v>
      </c>
      <c r="AO50" s="721"/>
      <c r="AP50" s="529" t="s">
        <v>17</v>
      </c>
      <c r="AQ50" s="512">
        <f t="shared" si="39"/>
        <v>6</v>
      </c>
      <c r="AR50" s="507" t="e">
        <f t="shared" si="40"/>
        <v>#N/A</v>
      </c>
      <c r="AS50" s="523" t="e">
        <f>VLOOKUP(AP40,Tracks!$A$4:$AP$886,39,0)*VLOOKUP(AQ50,Tables!$B$94:$C$102,2,0)^AS41*Tables!$B$91</f>
        <v>#N/A</v>
      </c>
      <c r="AT50" s="508" t="e">
        <f t="shared" si="41"/>
        <v>#N/A</v>
      </c>
      <c r="AU50" s="509"/>
      <c r="AV50" s="510" t="e">
        <f>VLOOKUP('Tyre&amp;Fuel'!$D$28,Tracks!$A$4:$AP$849,39,0)*VLOOKUP(AQ50,Tables!$B$94:$C$102,2,0)^Tables!$AE$24*Tables!$B$91/2</f>
        <v>#N/A</v>
      </c>
      <c r="AW50" s="711">
        <f>IF(AU41="Yes",AV50/100*AW41,0)</f>
        <v>0</v>
      </c>
      <c r="AX50" s="705" t="e">
        <f t="shared" si="42"/>
        <v>#N/A</v>
      </c>
      <c r="AY50" s="721"/>
      <c r="AZ50" s="529" t="s">
        <v>17</v>
      </c>
      <c r="BA50" s="512">
        <f t="shared" si="43"/>
        <v>6</v>
      </c>
      <c r="BB50" s="507" t="e">
        <f t="shared" si="44"/>
        <v>#N/A</v>
      </c>
      <c r="BC50" s="523" t="e">
        <f>VLOOKUP(AZ40,Tracks!$A$4:$AP$886,39,0)*VLOOKUP(BA50,Tables!$B$94:$C$102,2,0)^BC41*Tables!$B$91</f>
        <v>#N/A</v>
      </c>
      <c r="BD50" s="508" t="e">
        <f t="shared" si="45"/>
        <v>#N/A</v>
      </c>
      <c r="BE50" s="509"/>
      <c r="BF50" s="510" t="e">
        <f>VLOOKUP('Tyre&amp;Fuel'!$D$28,Tracks!$A$4:$AP$849,39,0)*VLOOKUP(BA50,Tables!$B$94:$C$102,2,0)^Tables!$AE$24*Tables!$B$91/2</f>
        <v>#N/A</v>
      </c>
      <c r="BG50" s="711">
        <f>IF(BE41="Yes",BF50/100*BG41,0)</f>
        <v>0</v>
      </c>
      <c r="BH50" s="705" t="e">
        <f t="shared" si="46"/>
        <v>#N/A</v>
      </c>
      <c r="BI50" s="721"/>
    </row>
    <row r="51" spans="1:61" x14ac:dyDescent="0.3">
      <c r="A51" s="721"/>
      <c r="B51" s="529" t="s">
        <v>19</v>
      </c>
      <c r="C51" s="512">
        <f t="shared" si="23"/>
        <v>8</v>
      </c>
      <c r="D51" s="507" t="e">
        <f t="shared" si="24"/>
        <v>#N/A</v>
      </c>
      <c r="E51" s="523" t="e">
        <f>VLOOKUP(B40,Tracks!$A$4:$AP$886,40,0)*VLOOKUP(C51,Tables!$B$94:$C$102,2,0)^E41*Tables!$B$91</f>
        <v>#N/A</v>
      </c>
      <c r="F51" s="508" t="e">
        <f t="shared" si="25"/>
        <v>#N/A</v>
      </c>
      <c r="G51" s="509"/>
      <c r="H51" s="510" t="e">
        <f>VLOOKUP('Tyre&amp;Fuel'!$D$28,Tracks!$A$4:$AP$849,40,0)*VLOOKUP(C51,Tables!$B$94:$C$102,2,0)^Tables!AE24*Tables!$B$91/2</f>
        <v>#N/A</v>
      </c>
      <c r="I51" s="711">
        <f>IF(G41="Yes",H51/100*I41,0)</f>
        <v>0</v>
      </c>
      <c r="J51" s="705" t="e">
        <f t="shared" si="26"/>
        <v>#N/A</v>
      </c>
      <c r="K51" s="721"/>
      <c r="L51" s="529" t="s">
        <v>19</v>
      </c>
      <c r="M51" s="512">
        <f t="shared" si="27"/>
        <v>8</v>
      </c>
      <c r="N51" s="507" t="e">
        <f t="shared" si="28"/>
        <v>#N/A</v>
      </c>
      <c r="O51" s="523" t="e">
        <f>VLOOKUP(L40,Tracks!$A$4:$AP$886,40,0)*VLOOKUP(M51,Tables!$B$94:$C$102,2,0)^O41*Tables!$B$91</f>
        <v>#N/A</v>
      </c>
      <c r="P51" s="508" t="e">
        <f t="shared" si="29"/>
        <v>#N/A</v>
      </c>
      <c r="Q51" s="509"/>
      <c r="R51" s="510" t="e">
        <f>VLOOKUP('Tyre&amp;Fuel'!$D$28,Tracks!$A$4:$AP$849,40,0)*VLOOKUP(M51,Tables!$B$94:$C$102,2,0)^Tables!AE24*Tables!$B$91/2</f>
        <v>#N/A</v>
      </c>
      <c r="S51" s="711">
        <f>IF(Q41="Yes",R51/100*S41,0)</f>
        <v>0</v>
      </c>
      <c r="T51" s="705" t="e">
        <f t="shared" si="30"/>
        <v>#N/A</v>
      </c>
      <c r="U51" s="721"/>
      <c r="V51" s="529" t="s">
        <v>19</v>
      </c>
      <c r="W51" s="512">
        <f t="shared" si="31"/>
        <v>6</v>
      </c>
      <c r="X51" s="507" t="e">
        <f t="shared" si="32"/>
        <v>#N/A</v>
      </c>
      <c r="Y51" s="523" t="e">
        <f>VLOOKUP(V40,Tracks!$A$4:$AP$886,40,0)*VLOOKUP(W51,Tables!$B$94:$C$102,2,0)^Y41*Tables!$B$91</f>
        <v>#N/A</v>
      </c>
      <c r="Z51" s="508" t="e">
        <f t="shared" si="33"/>
        <v>#N/A</v>
      </c>
      <c r="AA51" s="509" t="s">
        <v>812</v>
      </c>
      <c r="AB51" s="510" t="e">
        <f>VLOOKUP('Tyre&amp;Fuel'!$D$28,Tracks!$A$4:$AP$849,40,0)*VLOOKUP(W51,Tables!$B$94:$C$102,2,0)^Tables!AE24*Tables!$B$91/2</f>
        <v>#N/A</v>
      </c>
      <c r="AC51" s="711">
        <f>IF(AA41="Yes",AB51/100*AC41,0)</f>
        <v>0</v>
      </c>
      <c r="AD51" s="705" t="e">
        <f t="shared" si="34"/>
        <v>#N/A</v>
      </c>
      <c r="AE51" s="721"/>
      <c r="AF51" s="529" t="s">
        <v>19</v>
      </c>
      <c r="AG51" s="512">
        <f t="shared" si="35"/>
        <v>6</v>
      </c>
      <c r="AH51" s="507" t="e">
        <f t="shared" si="36"/>
        <v>#N/A</v>
      </c>
      <c r="AI51" s="523" t="e">
        <f>VLOOKUP(AF40,Tracks!$A$4:$AP$886,40,0)*VLOOKUP(AG51,Tables!$B$94:$C$102,2,0)^AI41*Tables!$B$91</f>
        <v>#N/A</v>
      </c>
      <c r="AJ51" s="508" t="e">
        <f t="shared" si="37"/>
        <v>#N/A</v>
      </c>
      <c r="AK51" s="509"/>
      <c r="AL51" s="510" t="e">
        <f>VLOOKUP('Tyre&amp;Fuel'!$D$28,Tracks!$A$4:$AP$849,40,0)*VLOOKUP(AG51,Tables!$B$94:$C$102,2,0)^Tables!$AE$24*Tables!$B$91/2</f>
        <v>#N/A</v>
      </c>
      <c r="AM51" s="711">
        <f>IF(AK41="Yes",AL51/100*AM41,0)</f>
        <v>0</v>
      </c>
      <c r="AN51" s="705" t="e">
        <f t="shared" si="38"/>
        <v>#N/A</v>
      </c>
      <c r="AO51" s="721"/>
      <c r="AP51" s="529" t="s">
        <v>19</v>
      </c>
      <c r="AQ51" s="512">
        <f t="shared" si="39"/>
        <v>6</v>
      </c>
      <c r="AR51" s="507" t="e">
        <f t="shared" si="40"/>
        <v>#N/A</v>
      </c>
      <c r="AS51" s="523" t="e">
        <f>VLOOKUP(AP40,Tracks!$A$4:$AP$886,40,0)*VLOOKUP(AQ51,Tables!$B$94:$C$102,2,0)^AS41*Tables!$B$91</f>
        <v>#N/A</v>
      </c>
      <c r="AT51" s="508" t="e">
        <f t="shared" si="41"/>
        <v>#N/A</v>
      </c>
      <c r="AU51" s="509"/>
      <c r="AV51" s="510" t="e">
        <f>VLOOKUP('Tyre&amp;Fuel'!$D$28,Tracks!$A$4:$AP$849,40,0)*VLOOKUP(AQ51,Tables!$B$94:$C$102,2,0)^Tables!$AE$24*Tables!$B$91/2</f>
        <v>#N/A</v>
      </c>
      <c r="AW51" s="711">
        <f>IF(AU41="Yes",AV51/100*AW41,0)</f>
        <v>0</v>
      </c>
      <c r="AX51" s="705" t="e">
        <f t="shared" si="42"/>
        <v>#N/A</v>
      </c>
      <c r="AY51" s="721"/>
      <c r="AZ51" s="529" t="s">
        <v>19</v>
      </c>
      <c r="BA51" s="512">
        <f t="shared" si="43"/>
        <v>6</v>
      </c>
      <c r="BB51" s="507" t="e">
        <f t="shared" si="44"/>
        <v>#N/A</v>
      </c>
      <c r="BC51" s="523" t="e">
        <f>VLOOKUP(AZ40,Tracks!$A$4:$AP$886,40,0)*VLOOKUP(BA51,Tables!$B$94:$C$102,2,0)^BC41*Tables!$B$91</f>
        <v>#N/A</v>
      </c>
      <c r="BD51" s="508" t="e">
        <f t="shared" si="45"/>
        <v>#N/A</v>
      </c>
      <c r="BE51" s="509"/>
      <c r="BF51" s="510" t="e">
        <f>VLOOKUP('Tyre&amp;Fuel'!$D$28,Tracks!$A$4:$AP$849,40,0)*VLOOKUP(BA51,Tables!$B$94:$C$102,2,0)^Tables!$AE$24*Tables!$B$91/2</f>
        <v>#N/A</v>
      </c>
      <c r="BG51" s="711">
        <f>IF(BE41="Yes",BF51/100*BG41,0)</f>
        <v>0</v>
      </c>
      <c r="BH51" s="705" t="e">
        <f t="shared" si="46"/>
        <v>#N/A</v>
      </c>
      <c r="BI51" s="721"/>
    </row>
    <row r="52" spans="1:61" x14ac:dyDescent="0.3">
      <c r="A52" s="721"/>
      <c r="B52" s="529" t="s">
        <v>21</v>
      </c>
      <c r="C52" s="512">
        <f t="shared" si="23"/>
        <v>8</v>
      </c>
      <c r="D52" s="507" t="e">
        <f t="shared" si="24"/>
        <v>#N/A</v>
      </c>
      <c r="E52" s="523" t="e">
        <f>VLOOKUP(B40,Tracks!$A$4:$AP$886,41,0)*VLOOKUP(C52,Tables!$B$94:$C$102,2,0)^E41*Tables!$B$91</f>
        <v>#N/A</v>
      </c>
      <c r="F52" s="508" t="e">
        <f t="shared" si="25"/>
        <v>#N/A</v>
      </c>
      <c r="G52" s="509"/>
      <c r="H52" s="510" t="e">
        <f>VLOOKUP('Tyre&amp;Fuel'!$D$28,Tracks!$A$4:$AP$849,41,0)*VLOOKUP(C52,Tables!$B$94:$C$102,2,0)^Tables!AE24*Tables!$B$91/2</f>
        <v>#N/A</v>
      </c>
      <c r="I52" s="711">
        <f>IF(G41="Yes",H52/100*I41,0)</f>
        <v>0</v>
      </c>
      <c r="J52" s="705" t="e">
        <f t="shared" si="26"/>
        <v>#N/A</v>
      </c>
      <c r="K52" s="721"/>
      <c r="L52" s="529" t="s">
        <v>21</v>
      </c>
      <c r="M52" s="512">
        <f t="shared" si="27"/>
        <v>7</v>
      </c>
      <c r="N52" s="507" t="e">
        <f t="shared" si="28"/>
        <v>#N/A</v>
      </c>
      <c r="O52" s="523" t="e">
        <f>VLOOKUP(L40,Tracks!$A$4:$AP$886,41,0)*VLOOKUP(M52,Tables!$B$94:$C$102,2,0)^O41*Tables!$B$91</f>
        <v>#N/A</v>
      </c>
      <c r="P52" s="508" t="e">
        <f t="shared" si="29"/>
        <v>#N/A</v>
      </c>
      <c r="Q52" s="509" t="s">
        <v>314</v>
      </c>
      <c r="R52" s="510" t="e">
        <f>VLOOKUP('Tyre&amp;Fuel'!$D$28,Tracks!$A$4:$AP$849,41,0)*VLOOKUP(M52,Tables!$B$94:$C$102,2,0)^Tables!AE24*Tables!$B$91/2</f>
        <v>#N/A</v>
      </c>
      <c r="S52" s="711">
        <f>IF(Q41="Yes",R52/100*S41,0)</f>
        <v>0</v>
      </c>
      <c r="T52" s="705" t="e">
        <f t="shared" si="30"/>
        <v>#N/A</v>
      </c>
      <c r="U52" s="721"/>
      <c r="V52" s="529" t="s">
        <v>21</v>
      </c>
      <c r="W52" s="512">
        <f t="shared" si="31"/>
        <v>6</v>
      </c>
      <c r="X52" s="507" t="e">
        <f t="shared" si="32"/>
        <v>#N/A</v>
      </c>
      <c r="Y52" s="523" t="e">
        <f>VLOOKUP(V40,Tracks!$A$4:$AP$886,41,0)*VLOOKUP(W52,Tables!$B$94:$C$102,2,0)^Y41*Tables!$B$91</f>
        <v>#N/A</v>
      </c>
      <c r="Z52" s="508" t="e">
        <f t="shared" si="33"/>
        <v>#N/A</v>
      </c>
      <c r="AA52" s="509" t="s">
        <v>314</v>
      </c>
      <c r="AB52" s="510" t="e">
        <f>VLOOKUP('Tyre&amp;Fuel'!$D$28,Tracks!$A$4:$AP$849,41,0)*VLOOKUP(W52,Tables!$B$94:$C$102,2,0)^Tables!AE24*Tables!$B$91/2</f>
        <v>#N/A</v>
      </c>
      <c r="AC52" s="711">
        <f>IF(AA41="Yes",AB52/100*AC41,0)</f>
        <v>0</v>
      </c>
      <c r="AD52" s="705" t="e">
        <f t="shared" si="34"/>
        <v>#N/A</v>
      </c>
      <c r="AE52" s="721"/>
      <c r="AF52" s="529" t="s">
        <v>21</v>
      </c>
      <c r="AG52" s="512">
        <f t="shared" si="35"/>
        <v>6</v>
      </c>
      <c r="AH52" s="507" t="e">
        <f t="shared" si="36"/>
        <v>#N/A</v>
      </c>
      <c r="AI52" s="523" t="e">
        <f>VLOOKUP(AF40,Tracks!$A$4:$AP$886,41,0)*VLOOKUP(AG52,Tables!$B$94:$C$102,2,0)^AI41*Tables!$B$91</f>
        <v>#N/A</v>
      </c>
      <c r="AJ52" s="508" t="e">
        <f t="shared" si="37"/>
        <v>#N/A</v>
      </c>
      <c r="AK52" s="509"/>
      <c r="AL52" s="510" t="e">
        <f>VLOOKUP('Tyre&amp;Fuel'!$D$28,Tracks!$A$4:$AP$849,41,0)*VLOOKUP(AG52,Tables!$B$94:$C$102,2,0)^Tables!$AE$24*Tables!$B$91/2</f>
        <v>#N/A</v>
      </c>
      <c r="AM52" s="711">
        <f>IF(AK41="Yes",AL52/100*AM41,0)</f>
        <v>0</v>
      </c>
      <c r="AN52" s="705" t="e">
        <f t="shared" si="38"/>
        <v>#N/A</v>
      </c>
      <c r="AO52" s="721"/>
      <c r="AP52" s="529" t="s">
        <v>21</v>
      </c>
      <c r="AQ52" s="512">
        <f t="shared" si="39"/>
        <v>6</v>
      </c>
      <c r="AR52" s="507" t="e">
        <f t="shared" si="40"/>
        <v>#N/A</v>
      </c>
      <c r="AS52" s="523" t="e">
        <f>VLOOKUP(AP40,Tracks!$A$4:$AP$886,41,0)*VLOOKUP(AQ52,Tables!$B$94:$C$102,2,0)^AS41*Tables!$B$91</f>
        <v>#N/A</v>
      </c>
      <c r="AT52" s="508" t="e">
        <f t="shared" si="41"/>
        <v>#N/A</v>
      </c>
      <c r="AU52" s="509"/>
      <c r="AV52" s="510" t="e">
        <f>VLOOKUP('Tyre&amp;Fuel'!$D$28,Tracks!$A$4:$AP$849,41,0)*VLOOKUP(AQ52,Tables!$B$94:$C$102,2,0)^Tables!$AE$24*Tables!$B$91/2</f>
        <v>#N/A</v>
      </c>
      <c r="AW52" s="711">
        <f>IF(AU41="Yes",AV52/100*AW41,0)</f>
        <v>0</v>
      </c>
      <c r="AX52" s="705" t="e">
        <f t="shared" si="42"/>
        <v>#N/A</v>
      </c>
      <c r="AY52" s="721"/>
      <c r="AZ52" s="529" t="s">
        <v>21</v>
      </c>
      <c r="BA52" s="512">
        <f t="shared" si="43"/>
        <v>6</v>
      </c>
      <c r="BB52" s="507" t="e">
        <f t="shared" si="44"/>
        <v>#N/A</v>
      </c>
      <c r="BC52" s="523" t="e">
        <f>VLOOKUP(AZ40,Tracks!$A$4:$AP$886,41,0)*VLOOKUP(BA52,Tables!$B$94:$C$102,2,0)^BC41*Tables!$B$91</f>
        <v>#N/A</v>
      </c>
      <c r="BD52" s="508" t="e">
        <f t="shared" si="45"/>
        <v>#N/A</v>
      </c>
      <c r="BE52" s="509"/>
      <c r="BF52" s="510" t="e">
        <f>VLOOKUP('Tyre&amp;Fuel'!$D$28,Tracks!$A$4:$AP$849,41,0)*VLOOKUP(BA52,Tables!$B$94:$C$102,2,0)^Tables!$AE$24*Tables!$B$91/2</f>
        <v>#N/A</v>
      </c>
      <c r="BG52" s="711">
        <f>IF(BE41="Yes",BF52/100*BG41,0)</f>
        <v>0</v>
      </c>
      <c r="BH52" s="705" t="e">
        <f t="shared" si="46"/>
        <v>#N/A</v>
      </c>
      <c r="BI52" s="721"/>
    </row>
    <row r="53" spans="1:61" x14ac:dyDescent="0.3">
      <c r="A53" s="721"/>
      <c r="B53" s="529" t="s">
        <v>22</v>
      </c>
      <c r="C53" s="512">
        <f t="shared" si="23"/>
        <v>7</v>
      </c>
      <c r="D53" s="507" t="e">
        <f t="shared" si="24"/>
        <v>#N/A</v>
      </c>
      <c r="E53" s="523" t="e">
        <f>VLOOKUP(B40,Tracks!$A$4:$AP$886,42,0)*VLOOKUP(C53,Tables!$B$94:$C$102,2,0)^E41*Tables!$B$91</f>
        <v>#N/A</v>
      </c>
      <c r="F53" s="508" t="e">
        <f t="shared" si="25"/>
        <v>#N/A</v>
      </c>
      <c r="G53" s="509"/>
      <c r="H53" s="510" t="e">
        <f>VLOOKUP('Tyre&amp;Fuel'!$D$28,Tracks!$A$4:$AP$849,42,0)*VLOOKUP(C53,Tables!$B$94:$C$102,2,0)^#REF!*Tables!$B$91/2</f>
        <v>#N/A</v>
      </c>
      <c r="I53" s="711">
        <f>IF(G41="Yes",H53/100*I41,0)</f>
        <v>0</v>
      </c>
      <c r="J53" s="705" t="e">
        <f t="shared" si="26"/>
        <v>#N/A</v>
      </c>
      <c r="K53" s="721"/>
      <c r="L53" s="529" t="s">
        <v>22</v>
      </c>
      <c r="M53" s="512">
        <f t="shared" si="27"/>
        <v>6</v>
      </c>
      <c r="N53" s="507" t="e">
        <f t="shared" si="28"/>
        <v>#N/A</v>
      </c>
      <c r="O53" s="523" t="e">
        <f>VLOOKUP(L40,Tracks!$A$4:$AP$886,42,0)*VLOOKUP(M53,Tables!$B$94:$C$102,2,0)^O41*Tables!$B$91</f>
        <v>#N/A</v>
      </c>
      <c r="P53" s="508" t="e">
        <f t="shared" si="29"/>
        <v>#N/A</v>
      </c>
      <c r="Q53" s="509" t="s">
        <v>314</v>
      </c>
      <c r="R53" s="510" t="e">
        <f>VLOOKUP('Tyre&amp;Fuel'!$D$28,Tracks!$A$4:$AP$849,42,0)*VLOOKUP(M53,Tables!$B$94:$C$102,2,0)^Tables!AE24*Tables!$B$91/2</f>
        <v>#N/A</v>
      </c>
      <c r="S53" s="711">
        <f>IF(Q41="Yes",R53/100*S41,0)</f>
        <v>0</v>
      </c>
      <c r="T53" s="705" t="e">
        <f t="shared" si="30"/>
        <v>#N/A</v>
      </c>
      <c r="U53" s="721"/>
      <c r="V53" s="529" t="s">
        <v>22</v>
      </c>
      <c r="W53" s="512">
        <f t="shared" si="31"/>
        <v>6</v>
      </c>
      <c r="X53" s="507" t="e">
        <f t="shared" si="32"/>
        <v>#N/A</v>
      </c>
      <c r="Y53" s="523" t="e">
        <f>VLOOKUP(V40,Tracks!$A$4:$AP$886,42,0)*VLOOKUP(W53,Tables!$B$94:$C$102,2,0)^Y41*Tables!$B$91</f>
        <v>#N/A</v>
      </c>
      <c r="Z53" s="508" t="e">
        <f t="shared" si="33"/>
        <v>#N/A</v>
      </c>
      <c r="AA53" s="509"/>
      <c r="AB53" s="510" t="e">
        <f>VLOOKUP('Tyre&amp;Fuel'!$D$28,Tracks!$A$4:$AP$849,42,0)*VLOOKUP(W53,Tables!$B$94:$C$102,2,0)^Tables!AE24*Tables!$B$91/2</f>
        <v>#N/A</v>
      </c>
      <c r="AC53" s="711">
        <f>IF(AA41="Yes",AB53/100*AC41,0)</f>
        <v>0</v>
      </c>
      <c r="AD53" s="705" t="e">
        <f t="shared" si="34"/>
        <v>#N/A</v>
      </c>
      <c r="AE53" s="721"/>
      <c r="AF53" s="529" t="s">
        <v>22</v>
      </c>
      <c r="AG53" s="512">
        <f t="shared" si="35"/>
        <v>6</v>
      </c>
      <c r="AH53" s="507" t="e">
        <f t="shared" si="36"/>
        <v>#N/A</v>
      </c>
      <c r="AI53" s="523" t="e">
        <f>VLOOKUP(AF40,Tracks!$A$4:$AP$886,42,0)*VLOOKUP(AG53,Tables!$B$94:$C$102,2,0)^AI41*Tables!$B$91</f>
        <v>#N/A</v>
      </c>
      <c r="AJ53" s="508" t="e">
        <f t="shared" si="37"/>
        <v>#N/A</v>
      </c>
      <c r="AK53" s="509"/>
      <c r="AL53" s="510" t="e">
        <f>VLOOKUP('Tyre&amp;Fuel'!$D$28,Tracks!$A$4:$AP$849,42,0)*VLOOKUP(AG53,Tables!$B$94:$C$102,2,0)^Tables!$AE$24*Tables!$B$91/2</f>
        <v>#N/A</v>
      </c>
      <c r="AM53" s="711">
        <f>IF(AK41="Yes",AL53/100*AM41,0)</f>
        <v>0</v>
      </c>
      <c r="AN53" s="705" t="e">
        <f t="shared" si="38"/>
        <v>#N/A</v>
      </c>
      <c r="AO53" s="721"/>
      <c r="AP53" s="529" t="s">
        <v>22</v>
      </c>
      <c r="AQ53" s="512">
        <f t="shared" si="39"/>
        <v>6</v>
      </c>
      <c r="AR53" s="507" t="e">
        <f t="shared" si="40"/>
        <v>#N/A</v>
      </c>
      <c r="AS53" s="523" t="e">
        <f>VLOOKUP(AP40,Tracks!$A$4:$AP$886,42,0)*VLOOKUP(AQ53,Tables!$B$94:$C$102,2,0)^AS41*Tables!$B$91</f>
        <v>#N/A</v>
      </c>
      <c r="AT53" s="508" t="e">
        <f t="shared" si="41"/>
        <v>#N/A</v>
      </c>
      <c r="AU53" s="509"/>
      <c r="AV53" s="510" t="e">
        <f>VLOOKUP('Tyre&amp;Fuel'!$D$28,Tracks!$A$4:$AP$849,42,0)*VLOOKUP(AQ53,Tables!$B$94:$C$102,2,0)^Tables!$AE$24*Tables!$B$91/2</f>
        <v>#N/A</v>
      </c>
      <c r="AW53" s="711">
        <f>IF(AU41="Yes",AV53/100*AW41,0)</f>
        <v>0</v>
      </c>
      <c r="AX53" s="705" t="e">
        <f t="shared" si="42"/>
        <v>#N/A</v>
      </c>
      <c r="AY53" s="721"/>
      <c r="AZ53" s="529" t="s">
        <v>22</v>
      </c>
      <c r="BA53" s="512">
        <f t="shared" si="43"/>
        <v>6</v>
      </c>
      <c r="BB53" s="507" t="e">
        <f t="shared" si="44"/>
        <v>#N/A</v>
      </c>
      <c r="BC53" s="523" t="e">
        <f>VLOOKUP(AZ40,Tracks!$A$4:$AP$886,42,0)*VLOOKUP(BA53,Tables!$B$94:$C$102,2,0)^BC41*Tables!$B$91</f>
        <v>#N/A</v>
      </c>
      <c r="BD53" s="508" t="e">
        <f t="shared" si="45"/>
        <v>#N/A</v>
      </c>
      <c r="BE53" s="509"/>
      <c r="BF53" s="510" t="e">
        <f>VLOOKUP('Tyre&amp;Fuel'!$D$28,Tracks!$A$4:$AP$849,42,0)*VLOOKUP(BA53,Tables!$B$94:$C$102,2,0)^Tables!$AE$24*Tables!$B$91/2</f>
        <v>#N/A</v>
      </c>
      <c r="BG53" s="711">
        <f>IF(BE41="Yes",BF53/100*BG41,0)</f>
        <v>0</v>
      </c>
      <c r="BH53" s="705" t="e">
        <f t="shared" si="46"/>
        <v>#N/A</v>
      </c>
      <c r="BI53" s="721"/>
    </row>
    <row r="54" spans="1:61" x14ac:dyDescent="0.3">
      <c r="A54" s="721"/>
      <c r="K54" s="721"/>
      <c r="U54" s="721"/>
      <c r="AE54" s="721"/>
      <c r="AO54" s="721"/>
      <c r="AY54" s="721"/>
      <c r="BI54" s="721"/>
    </row>
    <row r="55" spans="1:61" x14ac:dyDescent="0.3">
      <c r="A55" s="721"/>
      <c r="B55" s="1123" t="s">
        <v>863</v>
      </c>
      <c r="C55" s="1123"/>
      <c r="D55" s="1107">
        <f>IF(G43="Up",VLOOKUP(C43,Tables!$A$156:$M$164,2))+IF(G44="Up",VLOOKUP(C44,Tables!$A$156:$M$164,3))+IF(G45="Up",VLOOKUP(C45,Tables!$A$156:$M$164,4))+IF(G46="Up",VLOOKUP(C46,Tables!$A$156:$M$164,5))+IF(G47="Up",VLOOKUP(C47,Tables!$A$156:$M$164,6))+IF(G48="Up",VLOOKUP(C48,Tables!$A$156:$M$164,7))+IF(G49="Up",VLOOKUP(C49,Tables!$A$156:$M$164,8))+IF(G50="Up",VLOOKUP(C50,Tables!$A$156:$M$164,9))+IF(G51="Up",VLOOKUP(C51,Tables!$A$156:$M$164,10))+IF(G52="Up",VLOOKUP(C52,Tables!$A$156:$M$164,11))+IF(G53="Up",VLOOKUP(C53,Tables!$A$156:$M$164,12))+IF(G43="Same",VLOOKUP(C43,Tables!$A$156:$M$164,2))+IF(G44="Same",VLOOKUP(C44,Tables!$A$156:$M$164,3))+IF(G45="Same",VLOOKUP(C45,Tables!$A$156:$M$164,4))+IF(G46="Same",VLOOKUP(C46,Tables!$A$156:$M$164,5))+IF(G47="Same",VLOOKUP(C47,Tables!$A$156:$M$164,6))+IF(G48="Same",VLOOKUP(C48,Tables!$A$156:$M$164,7))+IF(G49="Same",VLOOKUP(C49,Tables!$A$156:$M$164,8))+IF(G50="Same",VLOOKUP(C50,Tables!$A$156:$M$164,9))+IF(G51="Same",VLOOKUP(C51,Tables!$A$156:$M$164,10))+IF(G52="Same",VLOOKUP(C52,Tables!$A$156:$M$164,11))+IF(G53="Same",VLOOKUP(C53,Tables!$A$156:$M$164,12))</f>
        <v>0</v>
      </c>
      <c r="E55" s="1107"/>
      <c r="F55" s="1107"/>
      <c r="K55" s="721"/>
      <c r="L55" s="1123" t="s">
        <v>863</v>
      </c>
      <c r="M55" s="1123"/>
      <c r="N55" s="1107">
        <f>IF(Q43="Up",VLOOKUP(M43,Tables!$A$156:$M$164,2))+IF(Q44="Up",VLOOKUP(M44,Tables!$A$156:$M$164,3))+IF(Q45="Up",VLOOKUP(M45,Tables!$A$156:$M$164,4))+IF(Q46="Up",VLOOKUP(M46,Tables!$A$156:$M$164,5))+IF(Q47="Up",VLOOKUP(M47,Tables!$A$156:$M$164,6))+IF(Q48="Up",VLOOKUP(M48,Tables!$A$156:$M$164,7))+IF(Q49="Up",VLOOKUP(M49,Tables!$A$156:$M$164,8))+IF(Q50="Up",VLOOKUP(M50,Tables!$A$156:$M$164,9))+IF(Q51="Up",VLOOKUP(M51,Tables!$A$156:$M$164,10))+IF(Q52="Up",VLOOKUP(M52,Tables!$A$156:$M$164,11))+IF(Q53="Up",VLOOKUP(M53,Tables!$A$156:$M$164,12))+IF(Q43="Same",VLOOKUP(M43,Tables!$A$156:$M$164,2))+IF(Q44="Same",VLOOKUP(M44,Tables!$A$156:$M$164,3))+IF(Q45="Same",VLOOKUP(M45,Tables!$A$156:$M$164,4))+IF(Q46="Same",VLOOKUP(M46,Tables!$A$156:$M$164,5))+IF(Q47="Same",VLOOKUP(M47,Tables!$A$156:$M$164,6))+IF(Q48="Same",VLOOKUP(M48,Tables!$A$156:$M$164,7))+IF(Q49="Same",VLOOKUP(M49,Tables!$A$156:$M$164,8))+IF(Q50="Same",VLOOKUP(M50,Tables!$A$156:$M$164,9))+IF(Q51="Same",VLOOKUP(M51,Tables!$A$156:$M$164,10))+IF(Q52="Same",VLOOKUP(M52,Tables!$A$156:$M$164,11))+IF(Q53="Same",VLOOKUP(M53,Tables!$A$156:$M$164,12))</f>
        <v>0</v>
      </c>
      <c r="O55" s="1107"/>
      <c r="P55" s="1107"/>
      <c r="U55" s="721"/>
      <c r="V55" s="1123" t="s">
        <v>863</v>
      </c>
      <c r="W55" s="1123"/>
      <c r="X55" s="1107">
        <f>IF(AA43="Up",VLOOKUP(W43,Tables!$A$156:$M$164,2))+IF(AA44="Up",VLOOKUP(W44,Tables!$A$156:$M$164,3))+IF(AA45="Up",VLOOKUP(W45,Tables!$A$156:$M$164,4))+IF(AA46="Up",VLOOKUP(W46,Tables!$A$156:$M$164,5))+IF(AA47="Up",VLOOKUP(W47,Tables!$A$156:$M$164,6))+IF(AA48="Up",VLOOKUP(W48,Tables!$A$156:$M$164,7))+IF(AA49="Up",VLOOKUP(W49,Tables!$A$156:$M$164,8))+IF(AA50="Up",VLOOKUP(W50,Tables!$A$156:$M$164,9))+IF(AA51="Up",VLOOKUP(W51,Tables!$A$156:$M$164,10))+IF(AA52="Up",VLOOKUP(W52,Tables!$A$156:$M$164,11))+IF(AA53="Up",VLOOKUP(W53,Tables!$A$156:$M$164,12))+IF(AA43="Same",VLOOKUP(W43,Tables!$A$156:$M$164,2))+IF(AA44="Same",VLOOKUP(W44,Tables!$A$156:$M$164,3))+IF(AA45="Same",VLOOKUP(W45,Tables!$A$156:$M$164,4))+IF(AA46="Same",VLOOKUP(W46,Tables!$A$156:$M$164,5))+IF(AA47="Same",VLOOKUP(W47,Tables!$A$156:$M$164,6))+IF(AA48="Same",VLOOKUP(W48,Tables!$A$156:$M$164,7))+IF(AA49="Same",VLOOKUP(W49,Tables!$A$156:$M$164,8))+IF(AA50="Same",VLOOKUP(W50,Tables!$A$156:$M$164,9))+IF(AA51="Same",VLOOKUP(W51,Tables!$A$156:$M$164,10))+IF(AA52="Same",VLOOKUP(W52,Tables!$A$156:$M$164,11))+IF(AA53="Same",VLOOKUP(W53,Tables!$A$156:$M$164,12))</f>
        <v>0</v>
      </c>
      <c r="Y55" s="1107"/>
      <c r="Z55" s="1107"/>
      <c r="AE55" s="721"/>
      <c r="AF55" s="1123" t="s">
        <v>863</v>
      </c>
      <c r="AG55" s="1123"/>
      <c r="AH55" s="1107">
        <f>IF(AK43="Up",VLOOKUP(AG43,Tables!$A$156:$M$164,2))+IF(AK44="Up",VLOOKUP(AG44,Tables!$A$156:$M$164,3))+IF(AK45="Up",VLOOKUP(AG45,Tables!$A$156:$M$164,4))+IF(AK46="Up",VLOOKUP(AG46,Tables!$A$156:$M$164,5))+IF(AK47="Up",VLOOKUP(AG47,Tables!$A$156:$M$164,6))+IF(AK48="Up",VLOOKUP(AG48,Tables!$A$156:$M$164,7))+IF(AK49="Up",VLOOKUP(AG49,Tables!$A$156:$M$164,8))+IF(AK50="Up",VLOOKUP(AG50,Tables!$A$156:$M$164,9))+IF(AK51="Up",VLOOKUP(AG51,Tables!$A$156:$M$164,10))+IF(AK52="Up",VLOOKUP(AG52,Tables!$A$156:$M$164,11))+IF(AK53="Up",VLOOKUP(AG53,Tables!$A$156:$M$164,12))+IF(AK43="Same",VLOOKUP(AG43,Tables!$A$156:$M$164,2))+IF(AK44="Same",VLOOKUP(AG44,Tables!$A$156:$M$164,3))+IF(AK45="Same",VLOOKUP(AG45,Tables!$A$156:$M$164,4))+IF(AK46="Same",VLOOKUP(AG46,Tables!$A$156:$M$164,5))+IF(AK47="Same",VLOOKUP(AG47,Tables!$A$156:$M$164,6))+IF(AK48="Same",VLOOKUP(AG48,Tables!$A$156:$M$164,7))+IF(AK49="Same",VLOOKUP(AG49,Tables!$A$156:$M$164,8))+IF(AK50="Same",VLOOKUP(AG50,Tables!$A$156:$M$164,9))+IF(AK51="Same",VLOOKUP(AG51,Tables!$A$156:$M$164,10))+IF(AK52="Same",VLOOKUP(AG52,Tables!$A$156:$M$164,11))+IF(AK53="Same",VLOOKUP(AG53,Tables!$A$156:$M$164,12))</f>
        <v>0</v>
      </c>
      <c r="AI55" s="1107"/>
      <c r="AJ55" s="1107"/>
      <c r="AO55" s="721"/>
      <c r="AP55" s="1123" t="s">
        <v>863</v>
      </c>
      <c r="AQ55" s="1123"/>
      <c r="AR55" s="1107">
        <f>IF(AU43="Up",VLOOKUP(AQ43,Tables!$A$156:$M$164,2))+IF(AU44="Up",VLOOKUP(AQ44,Tables!$A$156:$M$164,3))+IF(AU45="Up",VLOOKUP(AQ45,Tables!$A$156:$M$164,4))+IF(AU46="Up",VLOOKUP(AQ46,Tables!$A$156:$M$164,5))+IF(AU47="Up",VLOOKUP(AQ47,Tables!$A$156:$M$164,6))+IF(AU48="Up",VLOOKUP(AQ48,Tables!$A$156:$M$164,7))+IF(AU49="Up",VLOOKUP(AQ49,Tables!$A$156:$M$164,8))+IF(AU50="Up",VLOOKUP(AQ50,Tables!$A$156:$M$164,9))+IF(AU51="Up",VLOOKUP(AQ51,Tables!$A$156:$M$164,10))+IF(AU52="Up",VLOOKUP(AQ52,Tables!$A$156:$M$164,11))+IF(AU53="Up",VLOOKUP(AQ53,Tables!$A$156:$M$164,12))+IF(AU43="Same",VLOOKUP(AQ43,Tables!$A$156:$M$164,2))+IF(AU44="Same",VLOOKUP(AQ44,Tables!$A$156:$M$164,3))+IF(AU45="Same",VLOOKUP(AQ45,Tables!$A$156:$M$164,4))+IF(AU46="Same",VLOOKUP(AQ46,Tables!$A$156:$M$164,5))+IF(AU47="Same",VLOOKUP(AQ47,Tables!$A$156:$M$164,6))+IF(AU48="Same",VLOOKUP(AQ48,Tables!$A$156:$M$164,7))+IF(AU49="Same",VLOOKUP(AQ49,Tables!$A$156:$M$164,8))+IF(AU50="Same",VLOOKUP(AQ50,Tables!$A$156:$M$164,9))+IF(AU51="Same",VLOOKUP(AQ51,Tables!$A$156:$M$164,10))+IF(AU52="Same",VLOOKUP(AQ52,Tables!$A$156:$M$164,11))+IF(AU53="Same",VLOOKUP(AQ53,Tables!$A$156:$M$164,12))</f>
        <v>0</v>
      </c>
      <c r="AS55" s="1107"/>
      <c r="AT55" s="1107"/>
      <c r="AY55" s="721"/>
      <c r="AZ55" s="1123" t="s">
        <v>863</v>
      </c>
      <c r="BA55" s="1123"/>
      <c r="BB55" s="1107">
        <f>IF(BE43="Up",VLOOKUP(BA43,Tables!$A$156:$M$164,2))+IF(BE44="Up",VLOOKUP(BA44,Tables!$A$156:$M$164,3))+IF(BE45="Up",VLOOKUP(BA45,Tables!$A$156:$M$164,4))+IF(BE46="Up",VLOOKUP(BA46,Tables!$A$156:$M$164,5))+IF(BE47="Up",VLOOKUP(BA47,Tables!$A$156:$M$164,6))+IF(BE48="Up",VLOOKUP(BA48,Tables!$A$156:$M$164,7))+IF(BE49="Up",VLOOKUP(BA49,Tables!$A$156:$M$164,8))+IF(BE50="Up",VLOOKUP(BA50,Tables!$A$156:$M$164,9))+IF(BE51="Up",VLOOKUP(BA51,Tables!$A$156:$M$164,10))+IF(BE52="Up",VLOOKUP(BA52,Tables!$A$156:$M$164,11))+IF(BE53="Up",VLOOKUP(BA53,Tables!$A$156:$M$164,12))+IF(BE43="Same",VLOOKUP(BA43,Tables!$A$156:$M$164,2))+IF(BE44="Same",VLOOKUP(BA44,Tables!$A$156:$M$164,3))+IF(BE45="Same",VLOOKUP(BA45,Tables!$A$156:$M$164,4))+IF(BE46="Same",VLOOKUP(BA46,Tables!$A$156:$M$164,5))+IF(BE47="Same",VLOOKUP(BA47,Tables!$A$156:$M$164,6))+IF(BE48="Same",VLOOKUP(BA48,Tables!$A$156:$M$164,7))+IF(BE49="Same",VLOOKUP(BA49,Tables!$A$156:$M$164,8))+IF(BE50="Same",VLOOKUP(BA50,Tables!$A$156:$M$164,9))+IF(BE51="Same",VLOOKUP(BA51,Tables!$A$156:$M$164,10))+IF(BE52="Same",VLOOKUP(BA52,Tables!$A$156:$M$164,11))+IF(BE53="Same",VLOOKUP(BA53,Tables!$A$156:$M$164,12))</f>
        <v>0</v>
      </c>
      <c r="BC55" s="1107"/>
      <c r="BD55" s="1107"/>
      <c r="BI55" s="721"/>
    </row>
    <row r="56" spans="1:61" x14ac:dyDescent="0.3">
      <c r="A56" s="721"/>
      <c r="B56" s="1112" t="s">
        <v>856</v>
      </c>
      <c r="C56" s="1112"/>
      <c r="D56" s="676" t="s">
        <v>849</v>
      </c>
      <c r="E56" s="1124">
        <f>VLOOKUP(D56,Tables!$P$155:$R$165,2,0)</f>
        <v>0</v>
      </c>
      <c r="F56" s="1124"/>
      <c r="K56" s="721"/>
      <c r="L56" s="1112" t="s">
        <v>856</v>
      </c>
      <c r="M56" s="1112"/>
      <c r="N56" s="676" t="s">
        <v>849</v>
      </c>
      <c r="O56" s="1124">
        <f>VLOOKUP(N56,Tables!$P$155:$R$165,2,0)</f>
        <v>0</v>
      </c>
      <c r="P56" s="1124"/>
      <c r="U56" s="721"/>
      <c r="V56" s="1112" t="s">
        <v>856</v>
      </c>
      <c r="W56" s="1112"/>
      <c r="X56" s="676" t="s">
        <v>849</v>
      </c>
      <c r="Y56" s="1124">
        <f>VLOOKUP(X56,Tables!$P$155:$R$165,2,0)</f>
        <v>0</v>
      </c>
      <c r="Z56" s="1124"/>
      <c r="AE56" s="721"/>
      <c r="AF56" s="1112" t="s">
        <v>856</v>
      </c>
      <c r="AG56" s="1112"/>
      <c r="AH56" s="676" t="s">
        <v>849</v>
      </c>
      <c r="AI56" s="1124">
        <f>VLOOKUP(AH56,Tables!$P$155:$R$165,2,0)</f>
        <v>0</v>
      </c>
      <c r="AJ56" s="1124"/>
      <c r="AO56" s="721"/>
      <c r="AP56" s="1112" t="s">
        <v>856</v>
      </c>
      <c r="AQ56" s="1112"/>
      <c r="AR56" s="676" t="s">
        <v>849</v>
      </c>
      <c r="AS56" s="1124">
        <f>VLOOKUP(AR56,Tables!$P$155:$R$165,2,0)</f>
        <v>0</v>
      </c>
      <c r="AT56" s="1124"/>
      <c r="AY56" s="721"/>
      <c r="AZ56" s="1112" t="s">
        <v>856</v>
      </c>
      <c r="BA56" s="1112"/>
      <c r="BB56" s="676" t="s">
        <v>849</v>
      </c>
      <c r="BC56" s="1124">
        <f>VLOOKUP(BB56,Tables!$P$155:$R$165,2,0)</f>
        <v>0</v>
      </c>
      <c r="BD56" s="1124"/>
      <c r="BI56" s="721"/>
    </row>
    <row r="57" spans="1:61" x14ac:dyDescent="0.3">
      <c r="A57" s="721"/>
      <c r="B57" s="1112" t="s">
        <v>855</v>
      </c>
      <c r="C57" s="1112"/>
      <c r="D57" s="1126">
        <f>IF(D68&lt;&gt;"Não largou",VLOOKUP($L$4,Tables!$K$186:$L$194,2,0))+IF(D68&lt;&gt;"Não largou",$B$4,0)</f>
        <v>0</v>
      </c>
      <c r="E57" s="1127"/>
      <c r="F57" s="1127"/>
      <c r="K57" s="721"/>
      <c r="L57" s="1112" t="s">
        <v>855</v>
      </c>
      <c r="M57" s="1112"/>
      <c r="N57" s="1134">
        <f>IF(N68&lt;&gt;"Não largou",VLOOKUP($L$4,Tables!$K$186:$L$194,2,0))+IF(N68&lt;&gt;"Não largou",$B$4,0)</f>
        <v>0</v>
      </c>
      <c r="O57" s="1135"/>
      <c r="P57" s="1135"/>
      <c r="U57" s="721"/>
      <c r="V57" s="1112" t="s">
        <v>855</v>
      </c>
      <c r="W57" s="1112"/>
      <c r="X57" s="1126">
        <f>IF(X68&lt;&gt;"Não largou",VLOOKUP($L$4,Tables!$K$186:$L$194,2,0))+IF(X68&lt;&gt;"Não largou",$B$4,0)</f>
        <v>0</v>
      </c>
      <c r="Y57" s="1127"/>
      <c r="Z57" s="1127"/>
      <c r="AE57" s="721"/>
      <c r="AF57" s="1112" t="s">
        <v>855</v>
      </c>
      <c r="AG57" s="1112"/>
      <c r="AH57" s="1134">
        <f>IF(AH68&lt;&gt;"Não largou",VLOOKUP($L$4,Tables!$K$186:$L$194,2,0))+IF(AH68&lt;&gt;"Não largou",$B$4,0)</f>
        <v>0</v>
      </c>
      <c r="AI57" s="1135"/>
      <c r="AJ57" s="1135"/>
      <c r="AO57" s="721"/>
      <c r="AP57" s="1112" t="s">
        <v>855</v>
      </c>
      <c r="AQ57" s="1112"/>
      <c r="AR57" s="1134">
        <f>IF(AR68&lt;&gt;"Não largou",VLOOKUP($L$4,Tables!$K$186:$L$194,2,0))+IF(AR68&lt;&gt;"Não largou",$B$4,0)</f>
        <v>0</v>
      </c>
      <c r="AS57" s="1135"/>
      <c r="AT57" s="1135"/>
      <c r="AY57" s="721"/>
      <c r="AZ57" s="1112" t="s">
        <v>855</v>
      </c>
      <c r="BA57" s="1112"/>
      <c r="BB57" s="1134">
        <f>IF(BB68&lt;&gt;"Não largou",VLOOKUP($L$4,Tables!$K$186:$L$194,2,0))+IF(BB68&lt;&gt;"Não largou",$B$4,0)</f>
        <v>0</v>
      </c>
      <c r="BC57" s="1135"/>
      <c r="BD57" s="1135"/>
      <c r="BI57" s="721"/>
    </row>
    <row r="58" spans="1:61" x14ac:dyDescent="0.3">
      <c r="A58" s="721"/>
      <c r="B58" s="1106" t="s">
        <v>860</v>
      </c>
      <c r="C58" s="1106"/>
      <c r="D58" s="728" t="s">
        <v>864</v>
      </c>
      <c r="E58" s="1113" t="str">
        <f>IF(D58="Com D.T.",$F$4,"R$ 0")</f>
        <v>R$ 0</v>
      </c>
      <c r="F58" s="1113"/>
      <c r="K58" s="721"/>
      <c r="L58" s="1106" t="s">
        <v>860</v>
      </c>
      <c r="M58" s="1106"/>
      <c r="N58" s="728" t="s">
        <v>864</v>
      </c>
      <c r="O58" s="1113" t="str">
        <f>IF(N58="Com D.T.",$F$4,"R$ 0")</f>
        <v>R$ 0</v>
      </c>
      <c r="P58" s="1113"/>
      <c r="U58" s="721"/>
      <c r="V58" s="1106" t="s">
        <v>860</v>
      </c>
      <c r="W58" s="1106"/>
      <c r="X58" s="728" t="s">
        <v>864</v>
      </c>
      <c r="Y58" s="1113" t="str">
        <f>IF(X58="Com D.T.",$F$4,"R$ 0")</f>
        <v>R$ 0</v>
      </c>
      <c r="Z58" s="1113"/>
      <c r="AE58" s="721"/>
      <c r="AF58" s="1106" t="s">
        <v>860</v>
      </c>
      <c r="AG58" s="1106"/>
      <c r="AH58" s="728" t="s">
        <v>864</v>
      </c>
      <c r="AI58" s="1113" t="str">
        <f>IF(AH58="Com D.T.",$F$4,"R$ 0")</f>
        <v>R$ 0</v>
      </c>
      <c r="AJ58" s="1113"/>
      <c r="AO58" s="721"/>
      <c r="AP58" s="1106" t="s">
        <v>860</v>
      </c>
      <c r="AQ58" s="1106"/>
      <c r="AR58" s="728" t="s">
        <v>864</v>
      </c>
      <c r="AS58" s="1113" t="str">
        <f>IF(AR58="Com D.T.",$F$4,"R$ 0")</f>
        <v>R$ 0</v>
      </c>
      <c r="AT58" s="1113"/>
      <c r="AY58" s="721"/>
      <c r="AZ58" s="1106" t="s">
        <v>860</v>
      </c>
      <c r="BA58" s="1106"/>
      <c r="BB58" s="728" t="s">
        <v>864</v>
      </c>
      <c r="BC58" s="1113" t="str">
        <f>IF(BB58="Com D.T.",$F$4,"R$ 0")</f>
        <v>R$ 0</v>
      </c>
      <c r="BD58" s="1113"/>
      <c r="BI58" s="721"/>
    </row>
    <row r="59" spans="1:61" x14ac:dyDescent="0.3">
      <c r="A59" s="721"/>
      <c r="B59" s="1106" t="s">
        <v>222</v>
      </c>
      <c r="C59" s="1106"/>
      <c r="D59" s="1103" t="str">
        <f>IF(G41="Yes",VLOOKUP(Tables!$H$166,Tables!$P$1:Q2,2),"R$ 0")</f>
        <v>R$ 0</v>
      </c>
      <c r="E59" s="1103"/>
      <c r="F59" s="1103"/>
      <c r="K59" s="721"/>
      <c r="L59" s="1106" t="s">
        <v>222</v>
      </c>
      <c r="M59" s="1106"/>
      <c r="N59" s="1103" t="str">
        <f>IF(Q41="Yes",VLOOKUP(Tables!$H$166,Tables!$P$1:AA2,2),"R$ 0")</f>
        <v>R$ 0</v>
      </c>
      <c r="O59" s="1103"/>
      <c r="P59" s="1103"/>
      <c r="U59" s="721"/>
      <c r="V59" s="1106" t="s">
        <v>222</v>
      </c>
      <c r="W59" s="1106"/>
      <c r="X59" s="1103" t="str">
        <f>IF(AA41="Yes",VLOOKUP(Tables!$H$166,Tables!$P$1:AK2,2),"R$ 0")</f>
        <v>R$ 0</v>
      </c>
      <c r="Y59" s="1103"/>
      <c r="Z59" s="1103"/>
      <c r="AE59" s="721"/>
      <c r="AF59" s="1106" t="s">
        <v>222</v>
      </c>
      <c r="AG59" s="1106"/>
      <c r="AH59" s="1103" t="str">
        <f>IF(AK41="Yes",VLOOKUP(Tables!$H$166,Tables!$P$1:AU2,2),"R$ 0")</f>
        <v>R$ 0</v>
      </c>
      <c r="AI59" s="1103"/>
      <c r="AJ59" s="1103"/>
      <c r="AO59" s="721"/>
      <c r="AP59" s="1106" t="s">
        <v>222</v>
      </c>
      <c r="AQ59" s="1106"/>
      <c r="AR59" s="1103" t="str">
        <f>IF(AU41="Yes",VLOOKUP(Tables!$H$166,Tables!$P$1:BE2,2),"R$ 0")</f>
        <v>R$ 0</v>
      </c>
      <c r="AS59" s="1103"/>
      <c r="AT59" s="1103"/>
      <c r="AY59" s="721"/>
      <c r="AZ59" s="1106" t="s">
        <v>222</v>
      </c>
      <c r="BA59" s="1106"/>
      <c r="BB59" s="1103" t="str">
        <f>IF(BE41="Yes",VLOOKUP(Tables!$H$166,Tables!$P$1:BO2,2),"R$ 0")</f>
        <v>R$ 0</v>
      </c>
      <c r="BC59" s="1103"/>
      <c r="BD59" s="1103"/>
      <c r="BI59" s="721"/>
    </row>
    <row r="60" spans="1:61" x14ac:dyDescent="0.3">
      <c r="A60" s="721"/>
      <c r="B60" s="1106" t="s">
        <v>841</v>
      </c>
      <c r="C60" s="1106"/>
      <c r="D60" s="727" t="s">
        <v>889</v>
      </c>
      <c r="E60" s="1104">
        <f>VLOOKUP(D60,Tables!$K$173:$L$180,2,0)</f>
        <v>0</v>
      </c>
      <c r="F60" s="1105"/>
      <c r="K60" s="721"/>
      <c r="L60" s="1106" t="s">
        <v>841</v>
      </c>
      <c r="M60" s="1106"/>
      <c r="N60" s="727" t="s">
        <v>889</v>
      </c>
      <c r="O60" s="1104">
        <f>VLOOKUP(N60,Tables!$K$173:$L$180,2,0)</f>
        <v>0</v>
      </c>
      <c r="P60" s="1105"/>
      <c r="U60" s="721"/>
      <c r="V60" s="1106" t="s">
        <v>841</v>
      </c>
      <c r="W60" s="1106"/>
      <c r="X60" s="707" t="s">
        <v>889</v>
      </c>
      <c r="Y60" s="1104">
        <f>VLOOKUP(X60,Tables!$K$173:$L$180,2,0)</f>
        <v>0</v>
      </c>
      <c r="Z60" s="1105"/>
      <c r="AE60" s="721"/>
      <c r="AF60" s="1106" t="s">
        <v>841</v>
      </c>
      <c r="AG60" s="1106"/>
      <c r="AH60" s="707" t="s">
        <v>889</v>
      </c>
      <c r="AI60" s="1104">
        <f>VLOOKUP(AH60,Tables!$K$173:$L$180,2,0)</f>
        <v>0</v>
      </c>
      <c r="AJ60" s="1105"/>
      <c r="AO60" s="721"/>
      <c r="AP60" s="1106" t="s">
        <v>841</v>
      </c>
      <c r="AQ60" s="1106"/>
      <c r="AR60" s="707" t="s">
        <v>889</v>
      </c>
      <c r="AS60" s="1104">
        <f>VLOOKUP(AR60,Tables!$K$173:$L$180,2,0)</f>
        <v>0</v>
      </c>
      <c r="AT60" s="1105"/>
      <c r="AY60" s="721"/>
      <c r="AZ60" s="1106" t="s">
        <v>841</v>
      </c>
      <c r="BA60" s="1106"/>
      <c r="BB60" s="707" t="s">
        <v>889</v>
      </c>
      <c r="BC60" s="1104">
        <f>VLOOKUP(BB60,Tables!$K$173:$L$180,2,0)</f>
        <v>0</v>
      </c>
      <c r="BD60" s="1105"/>
      <c r="BI60" s="721"/>
    </row>
    <row r="61" spans="1:61" x14ac:dyDescent="0.3">
      <c r="A61" s="721"/>
      <c r="B61" s="1106" t="s">
        <v>857</v>
      </c>
      <c r="C61" s="1106"/>
      <c r="D61" s="707" t="s">
        <v>837</v>
      </c>
      <c r="E61" s="1108">
        <f>VLOOKUP(D61,Tables!$N$166:$P$169,3,0)</f>
        <v>0</v>
      </c>
      <c r="F61" s="1108"/>
      <c r="K61" s="721"/>
      <c r="L61" s="1106" t="s">
        <v>857</v>
      </c>
      <c r="M61" s="1106"/>
      <c r="N61" s="707" t="s">
        <v>837</v>
      </c>
      <c r="O61" s="1108">
        <f>VLOOKUP(N61,Tables!$N$166:$P$169,3,0)</f>
        <v>0</v>
      </c>
      <c r="P61" s="1108"/>
      <c r="U61" s="721"/>
      <c r="V61" s="1106" t="s">
        <v>857</v>
      </c>
      <c r="W61" s="1106"/>
      <c r="X61" s="707" t="s">
        <v>837</v>
      </c>
      <c r="Y61" s="1108">
        <f>VLOOKUP(X61,Tables!$N$166:$P$169,3,0)</f>
        <v>0</v>
      </c>
      <c r="Z61" s="1108"/>
      <c r="AE61" s="721"/>
      <c r="AF61" s="1106" t="s">
        <v>857</v>
      </c>
      <c r="AG61" s="1106"/>
      <c r="AH61" s="707" t="s">
        <v>837</v>
      </c>
      <c r="AI61" s="1108">
        <f>VLOOKUP(AH61,Tables!$N$166:$P$169,3,0)</f>
        <v>0</v>
      </c>
      <c r="AJ61" s="1108"/>
      <c r="AO61" s="721"/>
      <c r="AP61" s="1106" t="s">
        <v>857</v>
      </c>
      <c r="AQ61" s="1106"/>
      <c r="AR61" s="707" t="s">
        <v>837</v>
      </c>
      <c r="AS61" s="1108">
        <f>VLOOKUP(AR61,Tables!$N$166:$P$169,3,0)</f>
        <v>0</v>
      </c>
      <c r="AT61" s="1108"/>
      <c r="AY61" s="721"/>
      <c r="AZ61" s="1106" t="s">
        <v>857</v>
      </c>
      <c r="BA61" s="1106"/>
      <c r="BB61" s="707" t="s">
        <v>837</v>
      </c>
      <c r="BC61" s="1108">
        <f>VLOOKUP(BB61,Tables!$N$166:$P$169,3,0)</f>
        <v>0</v>
      </c>
      <c r="BD61" s="1108"/>
      <c r="BI61" s="721"/>
    </row>
    <row r="62" spans="1:61" x14ac:dyDescent="0.3">
      <c r="A62" s="721"/>
      <c r="B62" s="1106" t="s">
        <v>858</v>
      </c>
      <c r="C62" s="1106"/>
      <c r="D62" s="1108">
        <v>0</v>
      </c>
      <c r="E62" s="1108"/>
      <c r="F62" s="1108"/>
      <c r="K62" s="721"/>
      <c r="L62" s="1106" t="s">
        <v>858</v>
      </c>
      <c r="M62" s="1106"/>
      <c r="N62" s="1136">
        <v>0</v>
      </c>
      <c r="O62" s="1136"/>
      <c r="P62" s="1136"/>
      <c r="U62" s="721"/>
      <c r="V62" s="1106" t="s">
        <v>858</v>
      </c>
      <c r="W62" s="1106"/>
      <c r="X62" s="1108">
        <v>0</v>
      </c>
      <c r="Y62" s="1108"/>
      <c r="Z62" s="1108"/>
      <c r="AE62" s="721"/>
      <c r="AF62" s="1106" t="s">
        <v>858</v>
      </c>
      <c r="AG62" s="1106"/>
      <c r="AH62" s="1108">
        <v>0</v>
      </c>
      <c r="AI62" s="1108"/>
      <c r="AJ62" s="1108"/>
      <c r="AO62" s="721"/>
      <c r="AP62" s="1106" t="s">
        <v>858</v>
      </c>
      <c r="AQ62" s="1106"/>
      <c r="AR62" s="1108">
        <v>0</v>
      </c>
      <c r="AS62" s="1108"/>
      <c r="AT62" s="1108"/>
      <c r="AY62" s="721"/>
      <c r="AZ62" s="1106" t="s">
        <v>858</v>
      </c>
      <c r="BA62" s="1106"/>
      <c r="BB62" s="1108">
        <v>0</v>
      </c>
      <c r="BC62" s="1108"/>
      <c r="BD62" s="1108"/>
      <c r="BI62" s="721"/>
    </row>
    <row r="63" spans="1:61" x14ac:dyDescent="0.3">
      <c r="A63" s="721"/>
      <c r="B63" s="1106" t="s">
        <v>865</v>
      </c>
      <c r="C63" s="1106"/>
      <c r="D63" s="1108">
        <v>0</v>
      </c>
      <c r="E63" s="1108"/>
      <c r="F63" s="1108"/>
      <c r="K63" s="721"/>
      <c r="L63" s="1106" t="s">
        <v>865</v>
      </c>
      <c r="M63" s="1106"/>
      <c r="N63" s="1108">
        <v>0</v>
      </c>
      <c r="O63" s="1108"/>
      <c r="P63" s="1108"/>
      <c r="U63" s="721"/>
      <c r="V63" s="1106" t="s">
        <v>865</v>
      </c>
      <c r="W63" s="1106"/>
      <c r="X63" s="1108">
        <v>0</v>
      </c>
      <c r="Y63" s="1108"/>
      <c r="Z63" s="1108"/>
      <c r="AE63" s="721"/>
      <c r="AF63" s="1106" t="s">
        <v>865</v>
      </c>
      <c r="AG63" s="1106"/>
      <c r="AH63" s="1108">
        <v>0</v>
      </c>
      <c r="AI63" s="1108"/>
      <c r="AJ63" s="1108"/>
      <c r="AO63" s="721"/>
      <c r="AP63" s="1106" t="s">
        <v>865</v>
      </c>
      <c r="AQ63" s="1106"/>
      <c r="AR63" s="1108">
        <v>0</v>
      </c>
      <c r="AS63" s="1108"/>
      <c r="AT63" s="1108"/>
      <c r="AY63" s="721"/>
      <c r="AZ63" s="1106" t="s">
        <v>865</v>
      </c>
      <c r="BA63" s="1106"/>
      <c r="BB63" s="1108">
        <v>0</v>
      </c>
      <c r="BC63" s="1108"/>
      <c r="BD63" s="1108"/>
      <c r="BI63" s="721"/>
    </row>
    <row r="64" spans="1:61" x14ac:dyDescent="0.3">
      <c r="A64" s="721"/>
      <c r="B64" s="1106" t="s">
        <v>859</v>
      </c>
      <c r="C64" s="1106"/>
      <c r="D64" s="1108">
        <v>0</v>
      </c>
      <c r="E64" s="1108"/>
      <c r="F64" s="1108"/>
      <c r="K64" s="721"/>
      <c r="L64" s="1106" t="s">
        <v>859</v>
      </c>
      <c r="M64" s="1106"/>
      <c r="N64" s="1108">
        <v>0</v>
      </c>
      <c r="O64" s="1108"/>
      <c r="P64" s="1108"/>
      <c r="U64" s="721"/>
      <c r="V64" s="1106" t="s">
        <v>859</v>
      </c>
      <c r="W64" s="1106"/>
      <c r="X64" s="1108">
        <v>0</v>
      </c>
      <c r="Y64" s="1108"/>
      <c r="Z64" s="1108"/>
      <c r="AE64" s="721"/>
      <c r="AF64" s="1106" t="s">
        <v>859</v>
      </c>
      <c r="AG64" s="1106"/>
      <c r="AH64" s="1108">
        <v>0</v>
      </c>
      <c r="AI64" s="1108"/>
      <c r="AJ64" s="1108"/>
      <c r="AO64" s="721"/>
      <c r="AP64" s="1106" t="s">
        <v>859</v>
      </c>
      <c r="AQ64" s="1106"/>
      <c r="AR64" s="1108">
        <v>0</v>
      </c>
      <c r="AS64" s="1108"/>
      <c r="AT64" s="1108"/>
      <c r="AY64" s="721"/>
      <c r="AZ64" s="1106" t="s">
        <v>859</v>
      </c>
      <c r="BA64" s="1106"/>
      <c r="BB64" s="1108">
        <v>0</v>
      </c>
      <c r="BC64" s="1108"/>
      <c r="BD64" s="1108"/>
      <c r="BI64" s="721"/>
    </row>
    <row r="65" spans="1:61" x14ac:dyDescent="0.3">
      <c r="A65" s="721"/>
      <c r="B65" s="1117" t="s">
        <v>850</v>
      </c>
      <c r="C65" s="1118"/>
      <c r="D65" s="1103">
        <v>0</v>
      </c>
      <c r="E65" s="1103"/>
      <c r="F65" s="1103"/>
      <c r="K65" s="721"/>
      <c r="L65" s="1117" t="s">
        <v>850</v>
      </c>
      <c r="M65" s="1118"/>
      <c r="N65" s="1103">
        <v>0</v>
      </c>
      <c r="O65" s="1103"/>
      <c r="P65" s="1103"/>
      <c r="U65" s="721"/>
      <c r="V65" s="1117" t="s">
        <v>850</v>
      </c>
      <c r="W65" s="1118"/>
      <c r="X65" s="1103">
        <v>0</v>
      </c>
      <c r="Y65" s="1103"/>
      <c r="Z65" s="1103"/>
      <c r="AE65" s="721"/>
      <c r="AF65" s="1117" t="s">
        <v>850</v>
      </c>
      <c r="AG65" s="1118"/>
      <c r="AH65" s="1103">
        <v>0</v>
      </c>
      <c r="AI65" s="1103"/>
      <c r="AJ65" s="1103"/>
      <c r="AO65" s="721"/>
      <c r="AP65" s="1117" t="s">
        <v>850</v>
      </c>
      <c r="AQ65" s="1118"/>
      <c r="AR65" s="1103">
        <v>0</v>
      </c>
      <c r="AS65" s="1103"/>
      <c r="AT65" s="1103"/>
      <c r="AY65" s="721"/>
      <c r="AZ65" s="1117" t="s">
        <v>850</v>
      </c>
      <c r="BA65" s="1118"/>
      <c r="BB65" s="1103">
        <v>0</v>
      </c>
      <c r="BC65" s="1103"/>
      <c r="BD65" s="1103"/>
      <c r="BI65" s="721"/>
    </row>
    <row r="66" spans="1:61" x14ac:dyDescent="0.3">
      <c r="A66" s="721"/>
      <c r="B66" s="1117" t="s">
        <v>799</v>
      </c>
      <c r="C66" s="1118"/>
      <c r="D66" s="709" t="s">
        <v>109</v>
      </c>
      <c r="E66" s="1101" t="str">
        <f>IF(D66="yes",VLOOKUP(B66,Tables!$H$230:$I$230,2,0),"R$ 0")</f>
        <v>R$ 0</v>
      </c>
      <c r="F66" s="1102"/>
      <c r="K66" s="721"/>
      <c r="L66" s="1117" t="s">
        <v>799</v>
      </c>
      <c r="M66" s="1118"/>
      <c r="N66" s="709" t="s">
        <v>109</v>
      </c>
      <c r="O66" s="1101" t="str">
        <f>IF(N66="yes",VLOOKUP(L66,Tables!$H$230:$I$230,2,0),"R$ 0")</f>
        <v>R$ 0</v>
      </c>
      <c r="P66" s="1102"/>
      <c r="U66" s="721"/>
      <c r="V66" s="1117" t="s">
        <v>799</v>
      </c>
      <c r="W66" s="1118"/>
      <c r="X66" s="709" t="s">
        <v>109</v>
      </c>
      <c r="Y66" s="1101" t="str">
        <f>IF(X66="yes",VLOOKUP(V66,Tables!$H$230:$I$230,2,0),"R$ 0")</f>
        <v>R$ 0</v>
      </c>
      <c r="Z66" s="1102"/>
      <c r="AE66" s="721"/>
      <c r="AF66" s="1117" t="s">
        <v>799</v>
      </c>
      <c r="AG66" s="1118"/>
      <c r="AH66" s="709" t="s">
        <v>109</v>
      </c>
      <c r="AI66" s="1101" t="str">
        <f>IF(AH66="yes",VLOOKUP(AF66,Tables!$H$230:$I$230,2,0),"R$ 0")</f>
        <v>R$ 0</v>
      </c>
      <c r="AJ66" s="1102"/>
      <c r="AO66" s="721"/>
      <c r="AP66" s="1117" t="s">
        <v>799</v>
      </c>
      <c r="AQ66" s="1118"/>
      <c r="AR66" s="709" t="s">
        <v>109</v>
      </c>
      <c r="AS66" s="1101" t="str">
        <f>IF(AR66="yes",VLOOKUP(AP66,Tables!$H$230:$I$230,2,0),"R$ 0")</f>
        <v>R$ 0</v>
      </c>
      <c r="AT66" s="1102"/>
      <c r="AY66" s="721"/>
      <c r="AZ66" s="1117" t="s">
        <v>799</v>
      </c>
      <c r="BA66" s="1118"/>
      <c r="BB66" s="709" t="s">
        <v>109</v>
      </c>
      <c r="BC66" s="1101" t="str">
        <f>IF(BB66="yes",VLOOKUP(AZ66,Tables!$H$230:$I$230,2,0),"R$ 0")</f>
        <v>R$ 0</v>
      </c>
      <c r="BD66" s="1102"/>
      <c r="BI66" s="721"/>
    </row>
    <row r="67" spans="1:61" x14ac:dyDescent="0.3">
      <c r="A67" s="721"/>
      <c r="B67" s="1117" t="s">
        <v>861</v>
      </c>
      <c r="C67" s="1118"/>
      <c r="D67" s="708" t="s">
        <v>797</v>
      </c>
      <c r="E67" s="1103">
        <f>VLOOKUP(D67,Tables!$A$167:$C$367,2,0)</f>
        <v>0</v>
      </c>
      <c r="F67" s="1103"/>
      <c r="K67" s="721"/>
      <c r="L67" s="1117" t="s">
        <v>861</v>
      </c>
      <c r="M67" s="1118"/>
      <c r="N67" s="729" t="s">
        <v>797</v>
      </c>
      <c r="O67" s="1103">
        <f>VLOOKUP(N67,Tables!$A$167:$C$367,2,0)</f>
        <v>0</v>
      </c>
      <c r="P67" s="1103"/>
      <c r="U67" s="721"/>
      <c r="V67" s="1117" t="s">
        <v>861</v>
      </c>
      <c r="W67" s="1118"/>
      <c r="X67" s="729" t="s">
        <v>797</v>
      </c>
      <c r="Y67" s="1103">
        <f>VLOOKUP(X67,Tables!$A$167:$C$367,2,0)</f>
        <v>0</v>
      </c>
      <c r="Z67" s="1103"/>
      <c r="AE67" s="721"/>
      <c r="AF67" s="1117" t="s">
        <v>861</v>
      </c>
      <c r="AG67" s="1118"/>
      <c r="AH67" s="729" t="s">
        <v>797</v>
      </c>
      <c r="AI67" s="1103">
        <f>VLOOKUP(AH67,Tables!$A$167:$C$367,2,0)</f>
        <v>0</v>
      </c>
      <c r="AJ67" s="1103"/>
      <c r="AO67" s="721"/>
      <c r="AP67" s="1117" t="s">
        <v>861</v>
      </c>
      <c r="AQ67" s="1118"/>
      <c r="AR67" s="729" t="s">
        <v>797</v>
      </c>
      <c r="AS67" s="1103">
        <f>VLOOKUP(AR67,Tables!$A$167:$C$367,2,0)</f>
        <v>0</v>
      </c>
      <c r="AT67" s="1103"/>
      <c r="AY67" s="721"/>
      <c r="AZ67" s="1117" t="s">
        <v>861</v>
      </c>
      <c r="BA67" s="1118"/>
      <c r="BB67" s="729" t="s">
        <v>797</v>
      </c>
      <c r="BC67" s="1103">
        <f>VLOOKUP(BB67,Tables!$A$167:$C$367,2,0)</f>
        <v>0</v>
      </c>
      <c r="BD67" s="1103"/>
      <c r="BI67" s="721"/>
    </row>
    <row r="68" spans="1:61" x14ac:dyDescent="0.3">
      <c r="A68" s="721"/>
      <c r="B68" s="1117" t="s">
        <v>862</v>
      </c>
      <c r="C68" s="1118"/>
      <c r="D68" s="710" t="s">
        <v>797</v>
      </c>
      <c r="E68" s="1116">
        <f>VLOOKUP(D68,Tables!$A$167:$C$367,3,0)</f>
        <v>0</v>
      </c>
      <c r="F68" s="1103"/>
      <c r="K68" s="721"/>
      <c r="L68" s="1117" t="s">
        <v>862</v>
      </c>
      <c r="M68" s="1118"/>
      <c r="N68" s="730" t="s">
        <v>797</v>
      </c>
      <c r="O68" s="1116">
        <f>VLOOKUP(N68,Tables!$A$167:$C$367,3,0)</f>
        <v>0</v>
      </c>
      <c r="P68" s="1103"/>
      <c r="U68" s="721"/>
      <c r="V68" s="1117" t="s">
        <v>862</v>
      </c>
      <c r="W68" s="1118"/>
      <c r="X68" s="730" t="s">
        <v>797</v>
      </c>
      <c r="Y68" s="1116">
        <f>VLOOKUP(X68,Tables!$A$167:$C$367,3,0)</f>
        <v>0</v>
      </c>
      <c r="Z68" s="1103"/>
      <c r="AE68" s="721"/>
      <c r="AF68" s="1117" t="s">
        <v>862</v>
      </c>
      <c r="AG68" s="1118"/>
      <c r="AH68" s="730" t="s">
        <v>797</v>
      </c>
      <c r="AI68" s="1116">
        <f>VLOOKUP(AH68,Tables!$A$167:$C$367,3,0)</f>
        <v>0</v>
      </c>
      <c r="AJ68" s="1103"/>
      <c r="AO68" s="721"/>
      <c r="AP68" s="1117" t="s">
        <v>862</v>
      </c>
      <c r="AQ68" s="1118"/>
      <c r="AR68" s="730" t="s">
        <v>797</v>
      </c>
      <c r="AS68" s="1116">
        <f>VLOOKUP(AR68,Tables!$A$167:$C$367,3,0)</f>
        <v>0</v>
      </c>
      <c r="AT68" s="1103"/>
      <c r="AY68" s="721"/>
      <c r="AZ68" s="1117" t="s">
        <v>862</v>
      </c>
      <c r="BA68" s="1118"/>
      <c r="BB68" s="730" t="s">
        <v>797</v>
      </c>
      <c r="BC68" s="1116">
        <f>VLOOKUP(BB68,Tables!$A$167:$C$367,3,0)</f>
        <v>0</v>
      </c>
      <c r="BD68" s="1103"/>
      <c r="BI68" s="721"/>
    </row>
    <row r="69" spans="1:61" x14ac:dyDescent="0.3">
      <c r="A69" s="721"/>
      <c r="B69" s="1121" t="s">
        <v>866</v>
      </c>
      <c r="C69" s="1121"/>
      <c r="D69" s="1122" t="s">
        <v>867</v>
      </c>
      <c r="E69" s="1133"/>
      <c r="K69" s="721"/>
      <c r="L69" s="1121" t="s">
        <v>866</v>
      </c>
      <c r="M69" s="1121"/>
      <c r="N69" s="714" t="s">
        <v>849</v>
      </c>
      <c r="O69" s="1131">
        <f>VLOOKUP(N69,Tables!$H$168:$I$173,2,0)</f>
        <v>0</v>
      </c>
      <c r="P69" s="1131"/>
      <c r="U69" s="721"/>
      <c r="V69" s="1121" t="s">
        <v>866</v>
      </c>
      <c r="W69" s="1121"/>
      <c r="X69" s="1122" t="s">
        <v>867</v>
      </c>
      <c r="Y69" s="1133"/>
      <c r="AE69" s="721"/>
      <c r="AF69" s="1121" t="s">
        <v>866</v>
      </c>
      <c r="AG69" s="1121"/>
      <c r="AH69" s="1122" t="s">
        <v>867</v>
      </c>
      <c r="AI69" s="1133"/>
      <c r="AO69" s="721"/>
      <c r="AP69" s="1121" t="s">
        <v>866</v>
      </c>
      <c r="AQ69" s="1121"/>
      <c r="AR69" s="714" t="s">
        <v>849</v>
      </c>
      <c r="AS69" s="1131">
        <f>VLOOKUP(AR69,Tables!$H$168:$I$173,2,0)</f>
        <v>0</v>
      </c>
      <c r="AT69" s="1131"/>
      <c r="AY69" s="721"/>
      <c r="AZ69" s="1121" t="s">
        <v>866</v>
      </c>
      <c r="BA69" s="1121"/>
      <c r="BB69" s="1122" t="s">
        <v>867</v>
      </c>
      <c r="BC69" s="1133"/>
      <c r="BI69" s="721"/>
    </row>
    <row r="70" spans="1:61" x14ac:dyDescent="0.3">
      <c r="A70" s="721"/>
      <c r="K70" s="721"/>
      <c r="U70" s="721"/>
      <c r="AE70" s="721"/>
      <c r="AO70" s="721"/>
      <c r="AY70" s="721"/>
      <c r="BI70" s="721"/>
    </row>
    <row r="71" spans="1:61" x14ac:dyDescent="0.3">
      <c r="A71" s="721"/>
      <c r="B71" s="721"/>
      <c r="C71" s="721"/>
      <c r="D71" s="721"/>
      <c r="E71" s="721"/>
      <c r="F71" s="721"/>
      <c r="G71" s="721"/>
      <c r="H71" s="721"/>
      <c r="I71" s="721"/>
      <c r="J71" s="721"/>
      <c r="K71" s="721"/>
      <c r="L71" s="721"/>
      <c r="M71" s="721"/>
      <c r="N71" s="721"/>
      <c r="O71" s="721"/>
      <c r="P71" s="721"/>
      <c r="Q71" s="721"/>
      <c r="R71" s="721"/>
      <c r="S71" s="721"/>
      <c r="T71" s="721"/>
      <c r="U71" s="721"/>
      <c r="V71" s="721"/>
      <c r="W71" s="721"/>
      <c r="X71" s="721"/>
      <c r="Y71" s="721"/>
      <c r="Z71" s="721"/>
      <c r="AA71" s="721"/>
      <c r="AB71" s="721"/>
      <c r="AC71" s="721"/>
      <c r="AD71" s="721"/>
      <c r="AE71" s="721"/>
      <c r="AF71" s="721"/>
      <c r="AG71" s="721"/>
      <c r="AH71" s="721"/>
      <c r="AI71" s="721"/>
      <c r="AJ71" s="721"/>
      <c r="AK71" s="721"/>
      <c r="AL71" s="721"/>
      <c r="AM71" s="721"/>
      <c r="AN71" s="721"/>
      <c r="AO71" s="721"/>
      <c r="AP71" s="721"/>
      <c r="AQ71" s="721"/>
      <c r="AR71" s="721"/>
      <c r="AS71" s="721"/>
      <c r="AT71" s="721"/>
      <c r="AU71" s="721"/>
      <c r="AV71" s="721"/>
      <c r="AW71" s="721"/>
      <c r="AX71" s="721"/>
      <c r="AY71" s="721"/>
      <c r="AZ71" s="721"/>
      <c r="BA71" s="721"/>
      <c r="BB71" s="721"/>
      <c r="BC71" s="721"/>
      <c r="BD71" s="721"/>
      <c r="BE71" s="721"/>
      <c r="BF71" s="721"/>
      <c r="BG71" s="721"/>
      <c r="BH71" s="721"/>
      <c r="BI71" s="721"/>
    </row>
    <row r="72" spans="1:61" x14ac:dyDescent="0.3">
      <c r="A72" s="721"/>
      <c r="B72" s="1128" t="s">
        <v>264</v>
      </c>
      <c r="C72" s="1128"/>
      <c r="D72" s="1128"/>
      <c r="E72" s="1128"/>
      <c r="F72" s="1128"/>
      <c r="G72" s="1129" t="s">
        <v>881</v>
      </c>
      <c r="H72" s="1129"/>
      <c r="I72" s="1129"/>
      <c r="J72" s="1130"/>
      <c r="K72" s="721"/>
      <c r="L72" s="1128" t="s">
        <v>42</v>
      </c>
      <c r="M72" s="1128"/>
      <c r="N72" s="1128"/>
      <c r="O72" s="1128"/>
      <c r="P72" s="1128"/>
      <c r="Q72" s="1129" t="s">
        <v>882</v>
      </c>
      <c r="R72" s="1129"/>
      <c r="S72" s="1129"/>
      <c r="T72" s="1130"/>
      <c r="U72" s="721"/>
      <c r="V72" s="1128" t="s">
        <v>232</v>
      </c>
      <c r="W72" s="1128"/>
      <c r="X72" s="1128"/>
      <c r="Y72" s="1128"/>
      <c r="Z72" s="1128"/>
      <c r="AA72" s="1129" t="s">
        <v>883</v>
      </c>
      <c r="AB72" s="1129"/>
      <c r="AC72" s="1129"/>
      <c r="AD72" s="1130"/>
      <c r="AE72" s="721"/>
      <c r="AF72" s="1128" t="s">
        <v>251</v>
      </c>
      <c r="AG72" s="1128"/>
      <c r="AH72" s="1128"/>
      <c r="AI72" s="1128"/>
      <c r="AJ72" s="1128"/>
      <c r="AK72" s="1129" t="s">
        <v>884</v>
      </c>
      <c r="AL72" s="1129"/>
      <c r="AM72" s="1129"/>
      <c r="AN72" s="1130"/>
      <c r="AO72" s="721"/>
      <c r="AP72" s="1128" t="s">
        <v>271</v>
      </c>
      <c r="AQ72" s="1128"/>
      <c r="AR72" s="1128"/>
      <c r="AS72" s="1128"/>
      <c r="AT72" s="1128"/>
      <c r="AU72" s="1129" t="s">
        <v>885</v>
      </c>
      <c r="AV72" s="1129"/>
      <c r="AW72" s="1129"/>
      <c r="AX72" s="1130"/>
      <c r="AY72" s="721"/>
      <c r="AZ72" s="1128" t="s">
        <v>251</v>
      </c>
      <c r="BA72" s="1128"/>
      <c r="BB72" s="1128"/>
      <c r="BC72" s="1128"/>
      <c r="BD72" s="1128"/>
      <c r="BE72" s="1129" t="s">
        <v>888</v>
      </c>
      <c r="BF72" s="1129"/>
      <c r="BG72" s="1129"/>
      <c r="BH72" s="1130"/>
      <c r="BI72" s="721"/>
    </row>
    <row r="73" spans="1:61" x14ac:dyDescent="0.3">
      <c r="A73" s="721"/>
      <c r="D73" s="519" t="s">
        <v>25</v>
      </c>
      <c r="E73" s="520"/>
      <c r="F73" s="524" t="s">
        <v>801</v>
      </c>
      <c r="G73" s="1114"/>
      <c r="H73" s="1115"/>
      <c r="I73" s="521"/>
      <c r="K73" s="721"/>
      <c r="N73" s="519" t="s">
        <v>25</v>
      </c>
      <c r="O73" s="520"/>
      <c r="P73" s="524" t="s">
        <v>801</v>
      </c>
      <c r="Q73" s="1114"/>
      <c r="R73" s="1115"/>
      <c r="S73" s="521"/>
      <c r="U73" s="721"/>
      <c r="X73" s="519" t="s">
        <v>25</v>
      </c>
      <c r="Y73" s="520"/>
      <c r="Z73" s="524" t="s">
        <v>801</v>
      </c>
      <c r="AA73" s="1114"/>
      <c r="AB73" s="1115"/>
      <c r="AC73" s="521"/>
      <c r="AE73" s="721"/>
      <c r="AH73" s="519" t="s">
        <v>25</v>
      </c>
      <c r="AI73" s="520"/>
      <c r="AJ73" s="524" t="s">
        <v>801</v>
      </c>
      <c r="AK73" s="1114"/>
      <c r="AL73" s="1115"/>
      <c r="AM73" s="521"/>
      <c r="AO73" s="721"/>
      <c r="AR73" s="519" t="s">
        <v>25</v>
      </c>
      <c r="AS73" s="520"/>
      <c r="AT73" s="524" t="s">
        <v>801</v>
      </c>
      <c r="AU73" s="1114"/>
      <c r="AV73" s="1115"/>
      <c r="AW73" s="521"/>
      <c r="AY73" s="721"/>
      <c r="AZ73" s="530" t="s">
        <v>802</v>
      </c>
      <c r="BA73" s="525"/>
      <c r="BB73" s="526"/>
      <c r="BC73" s="1143">
        <f>VLOOKUP(AZ72,Tables!U2:V75,2,0)</f>
        <v>105</v>
      </c>
      <c r="BD73" s="1144"/>
      <c r="BI73" s="721"/>
    </row>
    <row r="74" spans="1:61" x14ac:dyDescent="0.3">
      <c r="A74" s="721"/>
      <c r="B74" s="528"/>
      <c r="C74" s="516" t="s">
        <v>368</v>
      </c>
      <c r="D74" s="516" t="s">
        <v>754</v>
      </c>
      <c r="E74" s="516" t="s">
        <v>311</v>
      </c>
      <c r="F74" s="516" t="s">
        <v>755</v>
      </c>
      <c r="G74" s="516" t="s">
        <v>756</v>
      </c>
      <c r="H74" s="516" t="s">
        <v>703</v>
      </c>
      <c r="I74" s="516" t="s">
        <v>703</v>
      </c>
      <c r="J74" s="527" t="s">
        <v>757</v>
      </c>
      <c r="K74" s="721"/>
      <c r="L74" s="528"/>
      <c r="M74" s="516" t="s">
        <v>368</v>
      </c>
      <c r="N74" s="516" t="s">
        <v>754</v>
      </c>
      <c r="O74" s="516" t="s">
        <v>311</v>
      </c>
      <c r="P74" s="516" t="s">
        <v>755</v>
      </c>
      <c r="Q74" s="516" t="s">
        <v>756</v>
      </c>
      <c r="R74" s="516" t="s">
        <v>703</v>
      </c>
      <c r="S74" s="516" t="s">
        <v>703</v>
      </c>
      <c r="T74" s="527" t="s">
        <v>757</v>
      </c>
      <c r="U74" s="721"/>
      <c r="V74" s="528"/>
      <c r="W74" s="516" t="s">
        <v>368</v>
      </c>
      <c r="X74" s="516" t="s">
        <v>754</v>
      </c>
      <c r="Y74" s="516" t="s">
        <v>311</v>
      </c>
      <c r="Z74" s="516" t="s">
        <v>755</v>
      </c>
      <c r="AA74" s="516" t="s">
        <v>756</v>
      </c>
      <c r="AB74" s="516" t="s">
        <v>703</v>
      </c>
      <c r="AC74" s="516" t="s">
        <v>703</v>
      </c>
      <c r="AD74" s="527" t="s">
        <v>757</v>
      </c>
      <c r="AE74" s="721"/>
      <c r="AF74" s="528"/>
      <c r="AG74" s="516" t="s">
        <v>368</v>
      </c>
      <c r="AH74" s="516" t="s">
        <v>754</v>
      </c>
      <c r="AI74" s="516" t="s">
        <v>311</v>
      </c>
      <c r="AJ74" s="516" t="s">
        <v>755</v>
      </c>
      <c r="AK74" s="516" t="s">
        <v>756</v>
      </c>
      <c r="AL74" s="516" t="s">
        <v>703</v>
      </c>
      <c r="AM74" s="516" t="s">
        <v>703</v>
      </c>
      <c r="AN74" s="527" t="s">
        <v>757</v>
      </c>
      <c r="AO74" s="721"/>
      <c r="AP74" s="528"/>
      <c r="AQ74" s="516" t="s">
        <v>368</v>
      </c>
      <c r="AR74" s="516" t="s">
        <v>754</v>
      </c>
      <c r="AS74" s="516" t="s">
        <v>311</v>
      </c>
      <c r="AT74" s="516" t="s">
        <v>755</v>
      </c>
      <c r="AU74" s="516" t="s">
        <v>756</v>
      </c>
      <c r="AV74" s="516" t="s">
        <v>703</v>
      </c>
      <c r="AW74" s="516" t="s">
        <v>703</v>
      </c>
      <c r="AX74" s="527" t="s">
        <v>757</v>
      </c>
      <c r="AY74" s="721"/>
      <c r="AZ74" s="528"/>
      <c r="BA74" s="516" t="s">
        <v>368</v>
      </c>
      <c r="BB74" s="516" t="s">
        <v>754</v>
      </c>
      <c r="BC74" s="516" t="s">
        <v>311</v>
      </c>
      <c r="BI74" s="721"/>
    </row>
    <row r="75" spans="1:61" x14ac:dyDescent="0.3">
      <c r="A75" s="721"/>
      <c r="B75" s="529" t="s">
        <v>4</v>
      </c>
      <c r="C75" s="512">
        <f>IF(G75="Up",BA43+1,IF(G75="Down",BA43-1,IF(G75="2Down",BA43-2,BA43)))</f>
        <v>6</v>
      </c>
      <c r="D75" s="507" t="e">
        <f>IF(G75="Down",BH43*84.5%,IF(G75="2Down",BH43*69%,IF(G75="Up",BH43-BH43,IF(G75="Same",BH43-BH43,BH43))))</f>
        <v>#N/A</v>
      </c>
      <c r="E75" s="523" t="e">
        <f>VLOOKUP(B72,Tracks!$A$4:$AP$849,32,0)*VLOOKUP(C75,Tables!$B$94:$C$102,2,0)^E73*Tables!$B$91</f>
        <v>#N/A</v>
      </c>
      <c r="F75" s="508" t="e">
        <f>E75+D75+I75</f>
        <v>#N/A</v>
      </c>
      <c r="G75" s="509" t="s">
        <v>312</v>
      </c>
      <c r="H75" s="510" t="e">
        <f>VLOOKUP('Tyre&amp;Fuel'!$D$28,Tracks!$A$4:$AP$849,32,0)*VLOOKUP(C75,Tables!$B$94:$C$102,2,0)^Tables!AE24*Tables!$B$91/2</f>
        <v>#N/A</v>
      </c>
      <c r="I75" s="711">
        <f>IF(G73="Yes",H75/100*I73,0)</f>
        <v>0</v>
      </c>
      <c r="J75" s="705" t="e">
        <f>IF($G$9="Yes",(MIN(100,(SUM(F75)))),(MIN(100,(SUM(F75)))))</f>
        <v>#N/A</v>
      </c>
      <c r="K75" s="721"/>
      <c r="L75" s="529" t="s">
        <v>4</v>
      </c>
      <c r="M75" s="512">
        <f>IF(Q75="Up",C75+1,IF(Q75="Down",C75-1,IF(Q75="2Down",C75-2,C75)))</f>
        <v>6</v>
      </c>
      <c r="N75" s="507" t="e">
        <f>IF(Q75="Down",J75*84.5%,IF(Q75="2Down",J75*69%,IF(Q75="Up",J75-J75,IF(Q75="Same",J75-J75,J75))))</f>
        <v>#N/A</v>
      </c>
      <c r="O75" s="523" t="e">
        <f>VLOOKUP(L72,Tracks!$A$4:$AP$849,32,0)*VLOOKUP(M75,Tables!$B$94:$C$102,2,0)^O73*Tables!$B$91</f>
        <v>#N/A</v>
      </c>
      <c r="P75" s="508" t="e">
        <f>O75+N75+S75</f>
        <v>#N/A</v>
      </c>
      <c r="Q75" s="509"/>
      <c r="R75" s="510" t="e">
        <f>VLOOKUP('Tyre&amp;Fuel'!$D$28,Tracks!$A$4:$AP$849,32,0)*VLOOKUP(M75,Tables!$B$94:$C$102,2,0)^Tables!AE24*Tables!$B$91/2</f>
        <v>#N/A</v>
      </c>
      <c r="S75" s="711">
        <f>IF(Q73="Yes",R75/100*S73,0)</f>
        <v>0</v>
      </c>
      <c r="T75" s="705" t="e">
        <f>IF($G$9="Yes",(MIN(100,(SUM(P75)))),(MIN(100,(SUM(P75)))))</f>
        <v>#N/A</v>
      </c>
      <c r="U75" s="721"/>
      <c r="V75" s="529" t="s">
        <v>4</v>
      </c>
      <c r="W75" s="512">
        <f>IF(AA75="Up",M75+1,IF(AA75="Down",M75-1,IF(AA75="2Down",M75-2,M75)))</f>
        <v>6</v>
      </c>
      <c r="X75" s="507" t="e">
        <f>IF(AA75="Down",T75*84.5%,IF(AA75="2Down",T75*69%,IF(AA75="Up",T75-T75,IF(AA75="Same",T75-T75,T75))))</f>
        <v>#N/A</v>
      </c>
      <c r="Y75" s="523" t="e">
        <f>VLOOKUP(V72,Tracks!$A$4:$AP$849,32,0)*VLOOKUP(W75,Tables!$B$94:$C$102,2,0)^Y73*Tables!$B$91</f>
        <v>#N/A</v>
      </c>
      <c r="Z75" s="508" t="e">
        <f>Y75+X75+AC75</f>
        <v>#N/A</v>
      </c>
      <c r="AA75" s="509"/>
      <c r="AB75" s="510" t="e">
        <f>VLOOKUP('Tyre&amp;Fuel'!$D$28,Tracks!$A$4:$AP$849,32,0)*VLOOKUP(W75,Tables!$B$94:$C$102,2,0)^Tables!AE24*Tables!$B$91/2</f>
        <v>#N/A</v>
      </c>
      <c r="AC75" s="711">
        <f>IF(AA73="Yes",AB75/100*AC73,0)</f>
        <v>0</v>
      </c>
      <c r="AD75" s="705" t="e">
        <f>IF($G$9="Yes",(MIN(100,(SUM(Z75)))),(MIN(100,(SUM(Z75)))))</f>
        <v>#N/A</v>
      </c>
      <c r="AE75" s="721"/>
      <c r="AF75" s="529" t="s">
        <v>4</v>
      </c>
      <c r="AG75" s="512">
        <f>IF(AK75="Up",W75+1,IF(AK75="Down",W75-1,IF(AK75="2Down",W75-2,W75)))</f>
        <v>6</v>
      </c>
      <c r="AH75" s="507" t="e">
        <f>IF(AK75="Down",AD75*84.5%,IF(AK75="2Down",AD75*69%,IF(AK75="Up",AD75-AD75,IF(AK75="Same",AD75-AD75,AD75))))</f>
        <v>#N/A</v>
      </c>
      <c r="AI75" s="523" t="e">
        <f>VLOOKUP(AF72,Tracks!$A$4:$AP$849,32,0)*VLOOKUP(AG75,Tables!$B$94:$C$102,2,0)^AI73*Tables!$B$91</f>
        <v>#N/A</v>
      </c>
      <c r="AJ75" s="508" t="e">
        <f>AI75+AH75+AM75</f>
        <v>#N/A</v>
      </c>
      <c r="AK75" s="509"/>
      <c r="AL75" s="510" t="e">
        <f>VLOOKUP('Tyre&amp;Fuel'!$D$28,Tracks!$A$4:$AP$849,32,0)*VLOOKUP(AG75,Tables!$B$94:$C$102,2,0)^Tables!$AE$24*Tables!$B$91/2</f>
        <v>#N/A</v>
      </c>
      <c r="AM75" s="711">
        <f>IF(AK73="Yes",AL75/100*AM73,0)</f>
        <v>0</v>
      </c>
      <c r="AN75" s="705" t="e">
        <f>IF($G$9="Yes",(MIN(100,(SUM(AJ75)))),(MIN(100,(SUM(AJ75)))))</f>
        <v>#N/A</v>
      </c>
      <c r="AO75" s="721"/>
      <c r="AP75" s="529" t="s">
        <v>4</v>
      </c>
      <c r="AQ75" s="512">
        <f>IF(AU75="Up",AG75+1,IF(AU75="Down",AG75-1,IF(AU75="2Down",AG75-2,AG75)))</f>
        <v>6</v>
      </c>
      <c r="AR75" s="507" t="e">
        <f>IF(AU75="Down",AN75*84.5%,IF(AU75="2Down",AN75*69%,IF(AU75="Up",AN75-AN75,IF(AU75="Same",AN75-AN75,AN75))))</f>
        <v>#N/A</v>
      </c>
      <c r="AS75" s="523" t="e">
        <f>VLOOKUP(AP72,Tracks!$A$4:$AP$849,32,0)*VLOOKUP(AQ75,Tables!$B$94:$C$102,2,0)^AS73*Tables!$B$91</f>
        <v>#N/A</v>
      </c>
      <c r="AT75" s="508" t="e">
        <f>AS75+AR75+AW75</f>
        <v>#N/A</v>
      </c>
      <c r="AU75" s="509"/>
      <c r="AV75" s="510" t="e">
        <f>VLOOKUP('Tyre&amp;Fuel'!$D$28,Tracks!$A$4:$AP$849,32,0)*VLOOKUP(AQ75,Tables!$B$94:$C$102,2,0)^Tables!$AE$24*Tables!$B$91/2</f>
        <v>#N/A</v>
      </c>
      <c r="AW75" s="711">
        <f>IF(AU73="Yes",AV75/100*AW73,0)</f>
        <v>0</v>
      </c>
      <c r="AX75" s="705" t="e">
        <f>IF($G$9="Yes",(MIN(100,(SUM(AT75)))),(MIN(100,(SUM(AT75)))))</f>
        <v>#N/A</v>
      </c>
      <c r="AY75" s="721"/>
      <c r="AZ75" s="529" t="s">
        <v>4</v>
      </c>
      <c r="BA75" s="512">
        <f>'Setup&amp;WS'!I6</f>
        <v>5</v>
      </c>
      <c r="BB75" s="507">
        <f>'Setup&amp;WS'!J6</f>
        <v>87</v>
      </c>
      <c r="BC75" s="523" t="e">
        <f>VLOOKUP($AZ$72,Tracks!$A$4:$AP$849,32,0)*VLOOKUP($BA$75,Tables!$B$94:$C$102,2,0)^Tables!$AE$24*Tables!$B$91/2</f>
        <v>#N/A</v>
      </c>
      <c r="BI75" s="721"/>
    </row>
    <row r="76" spans="1:61" x14ac:dyDescent="0.3">
      <c r="A76" s="721"/>
      <c r="B76" s="529" t="s">
        <v>6</v>
      </c>
      <c r="C76" s="512">
        <f t="shared" ref="C76:C85" si="47">IF(G76="Up",BA44+1,IF(G76="Down",BA44-1,IF(G76="2Down",BA44-2,BA44)))</f>
        <v>6</v>
      </c>
      <c r="D76" s="507" t="e">
        <f t="shared" ref="D76:D85" si="48">IF(G76="Down",BH44*84.5%,IF(G76="2Down",BH44*69%,IF(G76="Up",BH44-BH44,IF(G76="Same",BH44-BH44,BH44))))</f>
        <v>#N/A</v>
      </c>
      <c r="E76" s="523" t="e">
        <f>VLOOKUP(B72,Tracks!$A$4:$AP$886,33,0)*VLOOKUP(C76,Tables!$B$94:$C$102,2,0)^E73*Tables!$B$91</f>
        <v>#N/A</v>
      </c>
      <c r="F76" s="508" t="e">
        <f t="shared" ref="F76:F85" si="49">E76+D76+I76</f>
        <v>#N/A</v>
      </c>
      <c r="G76" s="509" t="s">
        <v>312</v>
      </c>
      <c r="H76" s="510" t="e">
        <f>VLOOKUP('Tyre&amp;Fuel'!$D$28,Tracks!$A$4:$AP$849,33,0)*VLOOKUP(C76,Tables!$B$94:$C$102,2,0)^Tables!AE24*Tables!$B$91/2</f>
        <v>#N/A</v>
      </c>
      <c r="I76" s="711">
        <f>IF(G73="Yes",H76/100*I73,0)</f>
        <v>0</v>
      </c>
      <c r="J76" s="705" t="e">
        <f t="shared" ref="J76:J85" si="50">IF($G$9="Yes",(MIN(100,(SUM(F76)))),(MIN(100,(SUM(F76)))))</f>
        <v>#N/A</v>
      </c>
      <c r="K76" s="721"/>
      <c r="L76" s="529" t="s">
        <v>6</v>
      </c>
      <c r="M76" s="512">
        <f t="shared" ref="M76:M85" si="51">IF(Q76="Up",C76+1,IF(Q76="Down",C76-1,IF(Q76="2Down",C76-2,C76)))</f>
        <v>6</v>
      </c>
      <c r="N76" s="507" t="e">
        <f t="shared" ref="N76:N85" si="52">IF(Q76="Down",J76*84.5%,IF(Q76="2Down",J76*69%,IF(Q76="Up",J76-J76,IF(Q76="Same",J76-J76,J76))))</f>
        <v>#N/A</v>
      </c>
      <c r="O76" s="523" t="e">
        <f>VLOOKUP(L72,Tracks!$A$4:$AP$886,33,0)*VLOOKUP(M76,Tables!$B$94:$C$102,2,0)^O73*Tables!$B$91</f>
        <v>#N/A</v>
      </c>
      <c r="P76" s="508" t="e">
        <f t="shared" ref="P76:P85" si="53">O76+N76+S76</f>
        <v>#N/A</v>
      </c>
      <c r="Q76" s="509"/>
      <c r="R76" s="510" t="e">
        <f>VLOOKUP('Tyre&amp;Fuel'!$D$28,Tracks!$A$4:$AP$849,33,0)*VLOOKUP(M76,Tables!$B$94:$C$102,2,0)^Tables!AE24*Tables!$B$91/2</f>
        <v>#N/A</v>
      </c>
      <c r="S76" s="711">
        <f>IF(Q73="Yes",R76/100*S73,0)</f>
        <v>0</v>
      </c>
      <c r="T76" s="705" t="e">
        <f t="shared" ref="T76:T85" si="54">IF($G$9="Yes",(MIN(100,(SUM(P76)))),(MIN(100,(SUM(P76)))))</f>
        <v>#N/A</v>
      </c>
      <c r="U76" s="721"/>
      <c r="V76" s="529" t="s">
        <v>6</v>
      </c>
      <c r="W76" s="512">
        <f t="shared" ref="W76:W85" si="55">IF(AA76="Up",M76+1,IF(AA76="Down",M76-1,IF(AA76="2Down",M76-2,M76)))</f>
        <v>6</v>
      </c>
      <c r="X76" s="507" t="e">
        <f t="shared" ref="X76:X85" si="56">IF(AA76="Down",T76*84.5%,IF(AA76="2Down",T76*69%,IF(AA76="Up",T76-T76,IF(AA76="Same",T76-T76,T76))))</f>
        <v>#N/A</v>
      </c>
      <c r="Y76" s="523" t="e">
        <f>VLOOKUP(V72,Tracks!$A$4:$AP$886,33,0)*VLOOKUP(W76,Tables!$B$94:$C$102,2,0)^Y73*Tables!$B$91</f>
        <v>#N/A</v>
      </c>
      <c r="Z76" s="508" t="e">
        <f t="shared" ref="Z76:Z85" si="57">Y76+X76+AC76</f>
        <v>#N/A</v>
      </c>
      <c r="AA76" s="509"/>
      <c r="AB76" s="510" t="e">
        <f>VLOOKUP('Tyre&amp;Fuel'!$D$28,Tracks!$A$4:$AP$849,33,0)*VLOOKUP(W76,Tables!$B$94:$C$102,2,0)^Tables!AE24*Tables!$B$91/2</f>
        <v>#N/A</v>
      </c>
      <c r="AC76" s="711">
        <f>IF(AA73="Yes",AB76/100*AC73,0)</f>
        <v>0</v>
      </c>
      <c r="AD76" s="705" t="e">
        <f t="shared" ref="AD76:AD85" si="58">IF($G$9="Yes",(MIN(100,(SUM(Z76)))),(MIN(100,(SUM(Z76)))))</f>
        <v>#N/A</v>
      </c>
      <c r="AE76" s="721"/>
      <c r="AF76" s="529" t="s">
        <v>6</v>
      </c>
      <c r="AG76" s="512">
        <f t="shared" ref="AG76:AG85" si="59">IF(AK76="Up",W76+1,IF(AK76="Down",W76-1,IF(AK76="2Down",W76-2,W76)))</f>
        <v>6</v>
      </c>
      <c r="AH76" s="507" t="e">
        <f t="shared" ref="AH76:AH85" si="60">IF(AK76="Down",AD76*84.5%,IF(AK76="2Down",AD76*69%,IF(AK76="Up",AD76-AD76,IF(AK76="Same",AD76-AD76,AD76))))</f>
        <v>#N/A</v>
      </c>
      <c r="AI76" s="523" t="e">
        <f>VLOOKUP(AF72,Tracks!$A$4:$AP$886,33,0)*VLOOKUP(AG76,Tables!$B$94:$C$102,2,0)^AI73*Tables!$B$91</f>
        <v>#N/A</v>
      </c>
      <c r="AJ76" s="508" t="e">
        <f t="shared" ref="AJ76:AJ85" si="61">AI76+AH76+AM76</f>
        <v>#N/A</v>
      </c>
      <c r="AK76" s="509"/>
      <c r="AL76" s="510" t="e">
        <f>VLOOKUP('Tyre&amp;Fuel'!$D$28,Tracks!$A$4:$AP$849,33,0)*VLOOKUP(AG76,Tables!$B$94:$C$102,2,0)^Tables!$AE$24*Tables!$B$91/2</f>
        <v>#N/A</v>
      </c>
      <c r="AM76" s="711">
        <f>IF(AK73="Yes",AL76/100*AM73,0)</f>
        <v>0</v>
      </c>
      <c r="AN76" s="705" t="e">
        <f t="shared" ref="AN76:AN85" si="62">IF($G$9="Yes",(MIN(100,(SUM(AJ76)))),(MIN(100,(SUM(AJ76)))))</f>
        <v>#N/A</v>
      </c>
      <c r="AO76" s="721"/>
      <c r="AP76" s="529" t="s">
        <v>6</v>
      </c>
      <c r="AQ76" s="512">
        <f t="shared" ref="AQ76:AQ85" si="63">IF(AU76="Up",AG76+1,IF(AU76="Down",AG76-1,IF(AU76="2Down",AG76-2,AG76)))</f>
        <v>6</v>
      </c>
      <c r="AR76" s="507" t="e">
        <f t="shared" ref="AR76:AR85" si="64">IF(AU76="Down",AN76*84.5%,IF(AU76="2Down",AN76*69%,IF(AU76="Up",AN76-AN76,IF(AU76="Same",AN76-AN76,AN76))))</f>
        <v>#N/A</v>
      </c>
      <c r="AS76" s="523" t="e">
        <f>VLOOKUP(AP72,Tracks!$A$4:$AP$886,33,0)*VLOOKUP(AQ76,Tables!$B$94:$C$102,2,0)^AS73*Tables!$B$91</f>
        <v>#N/A</v>
      </c>
      <c r="AT76" s="508" t="e">
        <f t="shared" ref="AT76:AT85" si="65">AS76+AR76+AW76</f>
        <v>#N/A</v>
      </c>
      <c r="AU76" s="509"/>
      <c r="AV76" s="510" t="e">
        <f>VLOOKUP('Tyre&amp;Fuel'!$D$28,Tracks!$A$4:$AP$849,33,0)*VLOOKUP(AQ76,Tables!$B$94:$C$102,2,0)^Tables!$AE$24*Tables!$B$91/2</f>
        <v>#N/A</v>
      </c>
      <c r="AW76" s="711">
        <f>IF(AU73="Yes",AV76/100*AW73,0)</f>
        <v>0</v>
      </c>
      <c r="AX76" s="705" t="e">
        <f t="shared" ref="AX76:AX85" si="66">IF($G$9="Yes",(MIN(100,(SUM(AT76)))),(MIN(100,(SUM(AT76)))))</f>
        <v>#N/A</v>
      </c>
      <c r="AY76" s="721"/>
      <c r="AZ76" s="529" t="s">
        <v>6</v>
      </c>
      <c r="BA76" s="512">
        <f>'Setup&amp;WS'!I7</f>
        <v>5</v>
      </c>
      <c r="BB76" s="507">
        <f>'Setup&amp;WS'!J7</f>
        <v>64</v>
      </c>
      <c r="BC76" s="523" t="e">
        <f>VLOOKUP($AZ$72,Tracks!$A$4:$AP$849,33,0)*VLOOKUP($BA$75,Tables!$B$94:$C$102,2,0)^Tables!$AE$24*Tables!$B$91/2</f>
        <v>#N/A</v>
      </c>
      <c r="BI76" s="721"/>
    </row>
    <row r="77" spans="1:61" x14ac:dyDescent="0.3">
      <c r="A77" s="721"/>
      <c r="B77" s="529" t="s">
        <v>795</v>
      </c>
      <c r="C77" s="512">
        <f t="shared" si="47"/>
        <v>5</v>
      </c>
      <c r="D77" s="507" t="e">
        <f t="shared" si="48"/>
        <v>#N/A</v>
      </c>
      <c r="E77" s="523" t="e">
        <f>VLOOKUP(B72,Tracks!$A$4:$AP$886,34,0)*VLOOKUP(C77,Tables!$B$94:$C$102,2,0)^E73*Tables!$B$91</f>
        <v>#N/A</v>
      </c>
      <c r="F77" s="508" t="e">
        <f t="shared" si="49"/>
        <v>#N/A</v>
      </c>
      <c r="G77" s="509" t="s">
        <v>312</v>
      </c>
      <c r="H77" s="510" t="e">
        <f>VLOOKUP('Tyre&amp;Fuel'!$D$28,Tracks!$A$4:$AP$849,34,0)*VLOOKUP(C77,Tables!$B$94:$C$102,2,0)^Tables!AE24*Tables!$B$91/2</f>
        <v>#N/A</v>
      </c>
      <c r="I77" s="711">
        <f>IF(G73="Yes",H77/100*I73,0)</f>
        <v>0</v>
      </c>
      <c r="J77" s="705" t="e">
        <f t="shared" si="50"/>
        <v>#N/A</v>
      </c>
      <c r="K77" s="721"/>
      <c r="L77" s="529" t="s">
        <v>795</v>
      </c>
      <c r="M77" s="512">
        <f t="shared" si="51"/>
        <v>5</v>
      </c>
      <c r="N77" s="507" t="e">
        <f t="shared" si="52"/>
        <v>#N/A</v>
      </c>
      <c r="O77" s="523" t="e">
        <f>VLOOKUP(L72,Tracks!$A$4:$AP$886,34,0)*VLOOKUP(M77,Tables!$B$94:$C$102,2,0)^O73*Tables!$B$91</f>
        <v>#N/A</v>
      </c>
      <c r="P77" s="508" t="e">
        <f t="shared" si="53"/>
        <v>#N/A</v>
      </c>
      <c r="Q77" s="509"/>
      <c r="R77" s="510" t="e">
        <f>VLOOKUP('Tyre&amp;Fuel'!$D$28,Tracks!$A$4:$AP$849,34,0)*VLOOKUP(M77,Tables!$B$94:$C$102,2,0)^Tables!AE24*Tables!$B$91/2</f>
        <v>#N/A</v>
      </c>
      <c r="S77" s="711">
        <f>IF(Q73="Yes",R77/100*S73,0)</f>
        <v>0</v>
      </c>
      <c r="T77" s="705" t="e">
        <f t="shared" si="54"/>
        <v>#N/A</v>
      </c>
      <c r="U77" s="721"/>
      <c r="V77" s="529" t="s">
        <v>795</v>
      </c>
      <c r="W77" s="512">
        <f t="shared" si="55"/>
        <v>5</v>
      </c>
      <c r="X77" s="507" t="e">
        <f t="shared" si="56"/>
        <v>#N/A</v>
      </c>
      <c r="Y77" s="523" t="e">
        <f>VLOOKUP(V72,Tracks!$A$4:$AP$886,34,0)*VLOOKUP(W77,Tables!$B$94:$C$102,2,0)^Y73*Tables!$B$91</f>
        <v>#N/A</v>
      </c>
      <c r="Z77" s="508" t="e">
        <f t="shared" si="57"/>
        <v>#N/A</v>
      </c>
      <c r="AA77" s="509"/>
      <c r="AB77" s="510" t="e">
        <f>VLOOKUP('Tyre&amp;Fuel'!$D$28,Tracks!$A$4:$AP$849,34,0)*VLOOKUP(W77,Tables!$B$94:$C$102,2,0)^Tables!AE24*Tables!$B$91/2</f>
        <v>#N/A</v>
      </c>
      <c r="AC77" s="711">
        <f>IF(AA73="Yes",AB77/100*AC73,0)</f>
        <v>0</v>
      </c>
      <c r="AD77" s="705" t="e">
        <f t="shared" si="58"/>
        <v>#N/A</v>
      </c>
      <c r="AE77" s="721"/>
      <c r="AF77" s="529" t="s">
        <v>795</v>
      </c>
      <c r="AG77" s="512">
        <f t="shared" si="59"/>
        <v>5</v>
      </c>
      <c r="AH77" s="507" t="e">
        <f t="shared" si="60"/>
        <v>#N/A</v>
      </c>
      <c r="AI77" s="523" t="e">
        <f>VLOOKUP(AF72,Tracks!$A$4:$AP$886,34,0)*VLOOKUP(AG77,Tables!$B$94:$C$102,2,0)^AI73*Tables!$B$91</f>
        <v>#N/A</v>
      </c>
      <c r="AJ77" s="508" t="e">
        <f t="shared" si="61"/>
        <v>#N/A</v>
      </c>
      <c r="AK77" s="509"/>
      <c r="AL77" s="510" t="e">
        <f>VLOOKUP('Tyre&amp;Fuel'!$D$28,Tracks!$A$4:$AP$849,34,0)*VLOOKUP(AG77,Tables!$B$94:$C$102,2,0)^Tables!$AE$24*Tables!$B$91/2</f>
        <v>#N/A</v>
      </c>
      <c r="AM77" s="711">
        <f>IF(AK73="Yes",AL77/100*AM73,0)</f>
        <v>0</v>
      </c>
      <c r="AN77" s="705" t="e">
        <f t="shared" si="62"/>
        <v>#N/A</v>
      </c>
      <c r="AO77" s="721"/>
      <c r="AP77" s="529" t="s">
        <v>795</v>
      </c>
      <c r="AQ77" s="512">
        <f t="shared" si="63"/>
        <v>5</v>
      </c>
      <c r="AR77" s="507" t="e">
        <f t="shared" si="64"/>
        <v>#N/A</v>
      </c>
      <c r="AS77" s="523" t="e">
        <f>VLOOKUP(AP72,Tracks!$A$4:$AP$886,34,0)*VLOOKUP(AQ77,Tables!$B$94:$C$102,2,0)^AS73*Tables!$B$91</f>
        <v>#N/A</v>
      </c>
      <c r="AT77" s="508" t="e">
        <f t="shared" si="65"/>
        <v>#N/A</v>
      </c>
      <c r="AU77" s="509"/>
      <c r="AV77" s="510" t="e">
        <f>VLOOKUP('Tyre&amp;Fuel'!$D$28,Tracks!$A$4:$AP$849,34,0)*VLOOKUP(AQ77,Tables!$B$94:$C$102,2,0)^Tables!$AE$24*Tables!$B$91/2</f>
        <v>#N/A</v>
      </c>
      <c r="AW77" s="711">
        <f>IF(AU73="Yes",AV77/100*AW73,0)</f>
        <v>0</v>
      </c>
      <c r="AX77" s="705" t="e">
        <f t="shared" si="66"/>
        <v>#N/A</v>
      </c>
      <c r="AY77" s="721"/>
      <c r="AZ77" s="529" t="s">
        <v>795</v>
      </c>
      <c r="BA77" s="512">
        <f>'Setup&amp;WS'!I8</f>
        <v>5</v>
      </c>
      <c r="BB77" s="507">
        <f>'Setup&amp;WS'!J8</f>
        <v>71</v>
      </c>
      <c r="BC77" s="523" t="e">
        <f>VLOOKUP($AZ$72,Tracks!$A$4:$AP$849,34,0)*VLOOKUP($BA$75,Tables!$B$94:$C$102,2,0)^Tables!$AE$24*Tables!$B$91/2</f>
        <v>#N/A</v>
      </c>
      <c r="BI77" s="721"/>
    </row>
    <row r="78" spans="1:61" x14ac:dyDescent="0.3">
      <c r="A78" s="721"/>
      <c r="B78" s="529" t="s">
        <v>796</v>
      </c>
      <c r="C78" s="512">
        <f t="shared" si="47"/>
        <v>5</v>
      </c>
      <c r="D78" s="507" t="e">
        <f t="shared" si="48"/>
        <v>#N/A</v>
      </c>
      <c r="E78" s="523" t="e">
        <f>VLOOKUP(B72,Tracks!$A$4:$AP$886,35,0)*VLOOKUP(C78,Tables!$B$94:$C$102,2,0)^E73*Tables!$B$91</f>
        <v>#N/A</v>
      </c>
      <c r="F78" s="508" t="e">
        <f t="shared" si="49"/>
        <v>#N/A</v>
      </c>
      <c r="G78" s="509" t="s">
        <v>312</v>
      </c>
      <c r="H78" s="510" t="e">
        <f>VLOOKUP('Tyre&amp;Fuel'!$D$28,Tracks!$A$4:$AP$849,35,0)*VLOOKUP(C78,Tables!$B$94:$C$102,2,0)^Tables!AE24*Tables!$B$91/2</f>
        <v>#N/A</v>
      </c>
      <c r="I78" s="711">
        <f>IF(G73="Yes",H78/100*I73,0)</f>
        <v>0</v>
      </c>
      <c r="J78" s="705" t="e">
        <f t="shared" si="50"/>
        <v>#N/A</v>
      </c>
      <c r="K78" s="721"/>
      <c r="L78" s="529" t="s">
        <v>796</v>
      </c>
      <c r="M78" s="512">
        <f t="shared" si="51"/>
        <v>5</v>
      </c>
      <c r="N78" s="507" t="e">
        <f t="shared" si="52"/>
        <v>#N/A</v>
      </c>
      <c r="O78" s="523" t="e">
        <f>VLOOKUP(L72,Tracks!$A$4:$AP$886,35,0)*VLOOKUP(M78,Tables!$B$94:$C$102,2,0)^O73*Tables!$B$91</f>
        <v>#N/A</v>
      </c>
      <c r="P78" s="508" t="e">
        <f t="shared" si="53"/>
        <v>#N/A</v>
      </c>
      <c r="Q78" s="509"/>
      <c r="R78" s="510" t="e">
        <f>VLOOKUP('Tyre&amp;Fuel'!$D$28,Tracks!$A$4:$AP$849,35,0)*VLOOKUP(M78,Tables!$B$94:$C$102,2,0)^Tables!AE24*Tables!$B$91/2</f>
        <v>#N/A</v>
      </c>
      <c r="S78" s="711">
        <f>IF(Q73="Yes",R78/100*S73,0)</f>
        <v>0</v>
      </c>
      <c r="T78" s="705" t="e">
        <f t="shared" si="54"/>
        <v>#N/A</v>
      </c>
      <c r="U78" s="721"/>
      <c r="V78" s="529" t="s">
        <v>796</v>
      </c>
      <c r="W78" s="512">
        <f t="shared" si="55"/>
        <v>5</v>
      </c>
      <c r="X78" s="507" t="e">
        <f t="shared" si="56"/>
        <v>#N/A</v>
      </c>
      <c r="Y78" s="523" t="e">
        <f>VLOOKUP(V72,Tracks!$A$4:$AP$886,35,0)*VLOOKUP(W78,Tables!$B$94:$C$102,2,0)^Y73*Tables!$B$91</f>
        <v>#N/A</v>
      </c>
      <c r="Z78" s="508" t="e">
        <f t="shared" si="57"/>
        <v>#N/A</v>
      </c>
      <c r="AA78" s="509"/>
      <c r="AB78" s="510" t="e">
        <f>VLOOKUP('Tyre&amp;Fuel'!$D$28,Tracks!$A$4:$AP$849,35,0)*VLOOKUP(W78,Tables!$B$94:$C$102,2,0)^Tables!AE24*Tables!$B$91/2</f>
        <v>#N/A</v>
      </c>
      <c r="AC78" s="711">
        <f>IF(AA73="Yes",AB78/100*AC73,0)</f>
        <v>0</v>
      </c>
      <c r="AD78" s="705" t="e">
        <f t="shared" si="58"/>
        <v>#N/A</v>
      </c>
      <c r="AE78" s="721"/>
      <c r="AF78" s="529" t="s">
        <v>796</v>
      </c>
      <c r="AG78" s="512">
        <f t="shared" si="59"/>
        <v>5</v>
      </c>
      <c r="AH78" s="507" t="e">
        <f t="shared" si="60"/>
        <v>#N/A</v>
      </c>
      <c r="AI78" s="523" t="e">
        <f>VLOOKUP(AF72,Tracks!$A$4:$AP$886,35,0)*VLOOKUP(AG78,Tables!$B$94:$C$102,2,0)^AI73*Tables!$B$91</f>
        <v>#N/A</v>
      </c>
      <c r="AJ78" s="508" t="e">
        <f t="shared" si="61"/>
        <v>#N/A</v>
      </c>
      <c r="AK78" s="509"/>
      <c r="AL78" s="510" t="e">
        <f>VLOOKUP('Tyre&amp;Fuel'!$D$28,Tracks!$A$4:$AP$849,35,0)*VLOOKUP(AG78,Tables!$B$94:$C$102,2,0)^Tables!$AE$24*Tables!$B$91/2</f>
        <v>#N/A</v>
      </c>
      <c r="AM78" s="711">
        <f>IF(AK73="Yes",AL78/100*AM73,0)</f>
        <v>0</v>
      </c>
      <c r="AN78" s="705" t="e">
        <f t="shared" si="62"/>
        <v>#N/A</v>
      </c>
      <c r="AO78" s="721"/>
      <c r="AP78" s="529" t="s">
        <v>796</v>
      </c>
      <c r="AQ78" s="512">
        <f t="shared" si="63"/>
        <v>5</v>
      </c>
      <c r="AR78" s="507" t="e">
        <f t="shared" si="64"/>
        <v>#N/A</v>
      </c>
      <c r="AS78" s="523" t="e">
        <f>VLOOKUP(AP72,Tracks!$A$4:$AP$886,35,0)*VLOOKUP(AQ78,Tables!$B$94:$C$102,2,0)^AS73*Tables!$B$91</f>
        <v>#N/A</v>
      </c>
      <c r="AT78" s="508" t="e">
        <f t="shared" si="65"/>
        <v>#N/A</v>
      </c>
      <c r="AU78" s="509"/>
      <c r="AV78" s="510" t="e">
        <f>VLOOKUP('Tyre&amp;Fuel'!$D$28,Tracks!$A$4:$AP$849,35,0)*VLOOKUP(AQ78,Tables!$B$94:$C$102,2,0)^Tables!$AE$24*Tables!$B$91/2</f>
        <v>#N/A</v>
      </c>
      <c r="AW78" s="711">
        <f>IF(AU73="Yes",AV78/100*AW73,0)</f>
        <v>0</v>
      </c>
      <c r="AX78" s="705" t="e">
        <f t="shared" si="66"/>
        <v>#N/A</v>
      </c>
      <c r="AY78" s="721"/>
      <c r="AZ78" s="529" t="s">
        <v>796</v>
      </c>
      <c r="BA78" s="512">
        <f>'Setup&amp;WS'!I9</f>
        <v>5</v>
      </c>
      <c r="BB78" s="507">
        <f>'Setup&amp;WS'!J9</f>
        <v>72</v>
      </c>
      <c r="BC78" s="523" t="e">
        <f>VLOOKUP($AZ$72,Tracks!$A$4:$AP$849,35,0)*VLOOKUP($BA$75,Tables!$B$94:$C$102,2,0)^Tables!$AE$24*Tables!$B$91/2</f>
        <v>#N/A</v>
      </c>
      <c r="BI78" s="721"/>
    </row>
    <row r="79" spans="1:61" x14ac:dyDescent="0.3">
      <c r="A79" s="721"/>
      <c r="B79" s="529" t="s">
        <v>10</v>
      </c>
      <c r="C79" s="512">
        <f t="shared" si="47"/>
        <v>5</v>
      </c>
      <c r="D79" s="507" t="e">
        <f t="shared" si="48"/>
        <v>#N/A</v>
      </c>
      <c r="E79" s="523" t="e">
        <f>VLOOKUP(B72,Tracks!$A$4:$AP$886,36,0)*VLOOKUP(C79,Tables!$B$94:$C$102,2,0)^E73*Tables!$B$91</f>
        <v>#N/A</v>
      </c>
      <c r="F79" s="508" t="e">
        <f t="shared" si="49"/>
        <v>#N/A</v>
      </c>
      <c r="G79" s="509" t="s">
        <v>312</v>
      </c>
      <c r="H79" s="510" t="e">
        <f>VLOOKUP('Tyre&amp;Fuel'!$D$28,Tracks!$A$4:$AP$849,36,0)*VLOOKUP(C79,Tables!$B$94:$C$102,2,0)^Tables!AE24*Tables!$B$91/2</f>
        <v>#N/A</v>
      </c>
      <c r="I79" s="711">
        <f>IF(G73="Yes",H79/100*I73,0)</f>
        <v>0</v>
      </c>
      <c r="J79" s="705" t="e">
        <f t="shared" si="50"/>
        <v>#N/A</v>
      </c>
      <c r="K79" s="721"/>
      <c r="L79" s="529" t="s">
        <v>10</v>
      </c>
      <c r="M79" s="512">
        <f t="shared" si="51"/>
        <v>5</v>
      </c>
      <c r="N79" s="507" t="e">
        <f t="shared" si="52"/>
        <v>#N/A</v>
      </c>
      <c r="O79" s="523" t="e">
        <f>VLOOKUP(L72,Tracks!$A$4:$AP$886,36,0)*VLOOKUP(M79,Tables!$B$94:$C$102,2,0)^O73*Tables!$B$91</f>
        <v>#N/A</v>
      </c>
      <c r="P79" s="508" t="e">
        <f t="shared" si="53"/>
        <v>#N/A</v>
      </c>
      <c r="Q79" s="509"/>
      <c r="R79" s="510" t="e">
        <f>VLOOKUP('Tyre&amp;Fuel'!$D$28,Tracks!$A$4:$AP$849,36,0)*VLOOKUP(M79,Tables!$B$94:$C$102,2,0)^Tables!AE24*Tables!$B$91/2</f>
        <v>#N/A</v>
      </c>
      <c r="S79" s="711">
        <f>IF(Q73="Yes",R79/100*S73,0)</f>
        <v>0</v>
      </c>
      <c r="T79" s="705" t="e">
        <f t="shared" si="54"/>
        <v>#N/A</v>
      </c>
      <c r="U79" s="721"/>
      <c r="V79" s="529" t="s">
        <v>10</v>
      </c>
      <c r="W79" s="512">
        <f t="shared" si="55"/>
        <v>5</v>
      </c>
      <c r="X79" s="507" t="e">
        <f t="shared" si="56"/>
        <v>#N/A</v>
      </c>
      <c r="Y79" s="523" t="e">
        <f>VLOOKUP(V72,Tracks!$A$4:$AP$886,36,0)*VLOOKUP(W79,Tables!$B$94:$C$102,2,0)^Y73*Tables!$B$91</f>
        <v>#N/A</v>
      </c>
      <c r="Z79" s="508" t="e">
        <f t="shared" si="57"/>
        <v>#N/A</v>
      </c>
      <c r="AA79" s="509"/>
      <c r="AB79" s="510" t="e">
        <f>VLOOKUP('Tyre&amp;Fuel'!$D$28,Tracks!$A$4:$AP$849,36,0)*VLOOKUP(W79,Tables!$B$94:$C$102,2,0)^Tables!AE24*Tables!$B$91/2</f>
        <v>#N/A</v>
      </c>
      <c r="AC79" s="711">
        <f>IF(AA73="Yes",AB79/100*AC73,0)</f>
        <v>0</v>
      </c>
      <c r="AD79" s="705" t="e">
        <f t="shared" si="58"/>
        <v>#N/A</v>
      </c>
      <c r="AE79" s="721"/>
      <c r="AF79" s="529" t="s">
        <v>10</v>
      </c>
      <c r="AG79" s="512">
        <f t="shared" si="59"/>
        <v>5</v>
      </c>
      <c r="AH79" s="507" t="e">
        <f t="shared" si="60"/>
        <v>#N/A</v>
      </c>
      <c r="AI79" s="523" t="e">
        <f>VLOOKUP(AF72,Tracks!$A$4:$AP$886,36,0)*VLOOKUP(AG79,Tables!$B$94:$C$102,2,0)^AI73*Tables!$B$91</f>
        <v>#N/A</v>
      </c>
      <c r="AJ79" s="508" t="e">
        <f t="shared" si="61"/>
        <v>#N/A</v>
      </c>
      <c r="AK79" s="509"/>
      <c r="AL79" s="510" t="e">
        <f>VLOOKUP('Tyre&amp;Fuel'!$D$28,Tracks!$A$4:$AP$849,36,0)*VLOOKUP(AG79,Tables!$B$94:$C$102,2,0)^Tables!$AE$24*Tables!$B$91/2</f>
        <v>#N/A</v>
      </c>
      <c r="AM79" s="711">
        <f>IF(AK73="Yes",AL79/100*AM73,0)</f>
        <v>0</v>
      </c>
      <c r="AN79" s="705" t="e">
        <f t="shared" si="62"/>
        <v>#N/A</v>
      </c>
      <c r="AO79" s="721"/>
      <c r="AP79" s="529" t="s">
        <v>10</v>
      </c>
      <c r="AQ79" s="512">
        <f t="shared" si="63"/>
        <v>5</v>
      </c>
      <c r="AR79" s="507" t="e">
        <f t="shared" si="64"/>
        <v>#N/A</v>
      </c>
      <c r="AS79" s="523" t="e">
        <f>VLOOKUP(AP72,Tracks!$A$4:$AP$886,36,0)*VLOOKUP(AQ79,Tables!$B$94:$C$102,2,0)^AS73*Tables!$B$91</f>
        <v>#N/A</v>
      </c>
      <c r="AT79" s="508" t="e">
        <f t="shared" si="65"/>
        <v>#N/A</v>
      </c>
      <c r="AU79" s="509"/>
      <c r="AV79" s="510" t="e">
        <f>VLOOKUP('Tyre&amp;Fuel'!$D$28,Tracks!$A$4:$AP$849,36,0)*VLOOKUP(AQ79,Tables!$B$94:$C$102,2,0)^Tables!$AE$24*Tables!$B$91/2</f>
        <v>#N/A</v>
      </c>
      <c r="AW79" s="711">
        <f>IF(AU73="Yes",AV79/100*AW73,0)</f>
        <v>0</v>
      </c>
      <c r="AX79" s="705" t="e">
        <f t="shared" si="66"/>
        <v>#N/A</v>
      </c>
      <c r="AY79" s="721"/>
      <c r="AZ79" s="529" t="s">
        <v>10</v>
      </c>
      <c r="BA79" s="512">
        <f>'Setup&amp;WS'!I10</f>
        <v>5</v>
      </c>
      <c r="BB79" s="507">
        <f>'Setup&amp;WS'!J10</f>
        <v>20</v>
      </c>
      <c r="BC79" s="523" t="e">
        <f>VLOOKUP($AZ$72,Tracks!$A$4:$AP$849,36,0)*VLOOKUP($BA$75,Tables!$B$94:$C$102,2,0)^Tables!$AE$24*Tables!$B$91/2</f>
        <v>#N/A</v>
      </c>
      <c r="BI79" s="721"/>
    </row>
    <row r="80" spans="1:61" x14ac:dyDescent="0.3">
      <c r="A80" s="721"/>
      <c r="B80" s="529" t="s">
        <v>12</v>
      </c>
      <c r="C80" s="512">
        <f t="shared" si="47"/>
        <v>6</v>
      </c>
      <c r="D80" s="507" t="e">
        <f t="shared" si="48"/>
        <v>#N/A</v>
      </c>
      <c r="E80" s="523" t="e">
        <f>VLOOKUP(B72,Tracks!$A$4:$AP$886,37,0)*VLOOKUP(C80,Tables!$B$94:$C$102,2,0)^E73*Tables!$B$91</f>
        <v>#N/A</v>
      </c>
      <c r="F80" s="508" t="e">
        <f t="shared" si="49"/>
        <v>#N/A</v>
      </c>
      <c r="G80" s="509" t="s">
        <v>313</v>
      </c>
      <c r="H80" s="510" t="e">
        <f>VLOOKUP('Tyre&amp;Fuel'!$D$28,Tracks!$A$4:$AP$849,37,0)*VLOOKUP(C80,Tables!$B$94:$C$102,2,0)^Tables!AE24*Tables!$B$91/2</f>
        <v>#N/A</v>
      </c>
      <c r="I80" s="711">
        <f>IF(G73="Yes",H80/100*I73,0)</f>
        <v>0</v>
      </c>
      <c r="J80" s="705" t="e">
        <f t="shared" si="50"/>
        <v>#N/A</v>
      </c>
      <c r="K80" s="721"/>
      <c r="L80" s="529" t="s">
        <v>12</v>
      </c>
      <c r="M80" s="512">
        <f t="shared" si="51"/>
        <v>6</v>
      </c>
      <c r="N80" s="507" t="e">
        <f t="shared" si="52"/>
        <v>#N/A</v>
      </c>
      <c r="O80" s="523" t="e">
        <f>VLOOKUP(L72,Tracks!$A$4:$AP$886,37,0)*VLOOKUP(M80,Tables!$B$94:$C$102,2,0)^O73*Tables!$B$91</f>
        <v>#N/A</v>
      </c>
      <c r="P80" s="508" t="e">
        <f t="shared" si="53"/>
        <v>#N/A</v>
      </c>
      <c r="Q80" s="509"/>
      <c r="R80" s="510" t="e">
        <f>VLOOKUP('Tyre&amp;Fuel'!$D$28,Tracks!$A$4:$AP$849,37,0)*VLOOKUP(M80,Tables!$B$94:$C$102,2,0)^Tables!AE24*Tables!$B$91/2</f>
        <v>#N/A</v>
      </c>
      <c r="S80" s="711">
        <f>IF(Q73="Yes",R80/100*S73,0)</f>
        <v>0</v>
      </c>
      <c r="T80" s="705" t="e">
        <f t="shared" si="54"/>
        <v>#N/A</v>
      </c>
      <c r="U80" s="721"/>
      <c r="V80" s="529" t="s">
        <v>12</v>
      </c>
      <c r="W80" s="512">
        <f t="shared" si="55"/>
        <v>6</v>
      </c>
      <c r="X80" s="507" t="e">
        <f t="shared" si="56"/>
        <v>#N/A</v>
      </c>
      <c r="Y80" s="523" t="e">
        <f>VLOOKUP(V72,Tracks!$A$4:$AP$886,37,0)*VLOOKUP(W80,Tables!$B$94:$C$102,2,0)^Y73*Tables!$B$91</f>
        <v>#N/A</v>
      </c>
      <c r="Z80" s="508" t="e">
        <f t="shared" si="57"/>
        <v>#N/A</v>
      </c>
      <c r="AA80" s="509"/>
      <c r="AB80" s="510" t="e">
        <f>VLOOKUP('Tyre&amp;Fuel'!$D$28,Tracks!$A$4:$AP$849,37,0)*VLOOKUP(W80,Tables!$B$94:$C$102,2,0)^Tables!AE24*Tables!$B$91/2</f>
        <v>#N/A</v>
      </c>
      <c r="AC80" s="711">
        <f>IF(AA73="Yes",AB80/100*AC73,0)</f>
        <v>0</v>
      </c>
      <c r="AD80" s="705" t="e">
        <f t="shared" si="58"/>
        <v>#N/A</v>
      </c>
      <c r="AE80" s="721"/>
      <c r="AF80" s="529" t="s">
        <v>12</v>
      </c>
      <c r="AG80" s="512">
        <f t="shared" si="59"/>
        <v>6</v>
      </c>
      <c r="AH80" s="507" t="e">
        <f t="shared" si="60"/>
        <v>#N/A</v>
      </c>
      <c r="AI80" s="523" t="e">
        <f>VLOOKUP(AF72,Tracks!$A$4:$AP$886,37,0)*VLOOKUP(AG80,Tables!$B$94:$C$102,2,0)^AI73*Tables!$B$91</f>
        <v>#N/A</v>
      </c>
      <c r="AJ80" s="508" t="e">
        <f t="shared" si="61"/>
        <v>#N/A</v>
      </c>
      <c r="AK80" s="509"/>
      <c r="AL80" s="510" t="e">
        <f>VLOOKUP('Tyre&amp;Fuel'!$D$28,Tracks!$A$4:$AP$849,37,0)*VLOOKUP(AG80,Tables!$B$94:$C$102,2,0)^Tables!$AE$24*Tables!$B$91/2</f>
        <v>#N/A</v>
      </c>
      <c r="AM80" s="711">
        <f>IF(AK73="Yes",AL80/100*AM73,0)</f>
        <v>0</v>
      </c>
      <c r="AN80" s="705" t="e">
        <f t="shared" si="62"/>
        <v>#N/A</v>
      </c>
      <c r="AO80" s="721"/>
      <c r="AP80" s="529" t="s">
        <v>12</v>
      </c>
      <c r="AQ80" s="512">
        <f t="shared" si="63"/>
        <v>6</v>
      </c>
      <c r="AR80" s="507" t="e">
        <f t="shared" si="64"/>
        <v>#N/A</v>
      </c>
      <c r="AS80" s="523" t="e">
        <f>VLOOKUP(AP72,Tracks!$A$4:$AP$886,37,0)*VLOOKUP(AQ80,Tables!$B$94:$C$102,2,0)^AS73*Tables!$B$91</f>
        <v>#N/A</v>
      </c>
      <c r="AT80" s="508" t="e">
        <f t="shared" si="65"/>
        <v>#N/A</v>
      </c>
      <c r="AU80" s="509"/>
      <c r="AV80" s="510" t="e">
        <f>VLOOKUP('Tyre&amp;Fuel'!$D$28,Tracks!$A$4:$AP$849,37,0)*VLOOKUP(AQ80,Tables!$B$94:$C$102,2,0)^Tables!$AE$24*Tables!$B$91/2</f>
        <v>#N/A</v>
      </c>
      <c r="AW80" s="711">
        <f>IF(AU73="Yes",AV80/100*AW73,0)</f>
        <v>0</v>
      </c>
      <c r="AX80" s="705" t="e">
        <f t="shared" si="66"/>
        <v>#N/A</v>
      </c>
      <c r="AY80" s="721"/>
      <c r="AZ80" s="529" t="s">
        <v>12</v>
      </c>
      <c r="BA80" s="512">
        <f>'Setup&amp;WS'!I11</f>
        <v>5</v>
      </c>
      <c r="BB80" s="507">
        <f>'Setup&amp;WS'!J11</f>
        <v>64</v>
      </c>
      <c r="BC80" s="523" t="e">
        <f>VLOOKUP($AZ$72,Tracks!$A$4:$AP$849,37,0)*VLOOKUP($BA$75,Tables!$B$94:$C$102,2,0)^Tables!$AE$24*Tables!$B$91/2</f>
        <v>#N/A</v>
      </c>
      <c r="BI80" s="721"/>
    </row>
    <row r="81" spans="1:61" x14ac:dyDescent="0.3">
      <c r="A81" s="721"/>
      <c r="B81" s="529" t="s">
        <v>15</v>
      </c>
      <c r="C81" s="512">
        <f t="shared" si="47"/>
        <v>6</v>
      </c>
      <c r="D81" s="507" t="e">
        <f t="shared" si="48"/>
        <v>#N/A</v>
      </c>
      <c r="E81" s="523" t="e">
        <f>VLOOKUP(B72,Tracks!$A$4:$AP$886,38,0)*VLOOKUP(C81,Tables!$B$94:$C$102,2,0)^E73*Tables!$B$91</f>
        <v>#N/A</v>
      </c>
      <c r="F81" s="508" t="e">
        <f t="shared" si="49"/>
        <v>#N/A</v>
      </c>
      <c r="G81" s="509" t="s">
        <v>312</v>
      </c>
      <c r="H81" s="510" t="e">
        <f>VLOOKUP('Tyre&amp;Fuel'!$D$28,Tracks!$A$4:$AP$849,38,0)*VLOOKUP(C81,Tables!$B$94:$C$102,2,0)^Tables!AE24*Tables!$B$91/2</f>
        <v>#N/A</v>
      </c>
      <c r="I81" s="711">
        <f>IF(G73="Yes",H81/100*I73,0)</f>
        <v>0</v>
      </c>
      <c r="J81" s="705" t="e">
        <f t="shared" si="50"/>
        <v>#N/A</v>
      </c>
      <c r="K81" s="721"/>
      <c r="L81" s="529" t="s">
        <v>15</v>
      </c>
      <c r="M81" s="512">
        <f t="shared" si="51"/>
        <v>6</v>
      </c>
      <c r="N81" s="507" t="e">
        <f t="shared" si="52"/>
        <v>#N/A</v>
      </c>
      <c r="O81" s="523" t="e">
        <f>VLOOKUP(L72,Tracks!$A$4:$AP$886,38,0)*VLOOKUP(M81,Tables!$B$94:$C$102,2,0)^O73*Tables!$B$91</f>
        <v>#N/A</v>
      </c>
      <c r="P81" s="508" t="e">
        <f t="shared" si="53"/>
        <v>#N/A</v>
      </c>
      <c r="Q81" s="509"/>
      <c r="R81" s="510" t="e">
        <f>VLOOKUP('Tyre&amp;Fuel'!$D$28,Tracks!$A$4:$AP$849,38,0)*VLOOKUP(M81,Tables!$B$94:$C$102,2,0)^Tables!AE24*Tables!$B$91/2</f>
        <v>#N/A</v>
      </c>
      <c r="S81" s="711">
        <f>IF(Q73="Yes",R81/100*S73,0)</f>
        <v>0</v>
      </c>
      <c r="T81" s="705" t="e">
        <f t="shared" si="54"/>
        <v>#N/A</v>
      </c>
      <c r="U81" s="721"/>
      <c r="V81" s="529" t="s">
        <v>15</v>
      </c>
      <c r="W81" s="512">
        <f t="shared" si="55"/>
        <v>6</v>
      </c>
      <c r="X81" s="507" t="e">
        <f t="shared" si="56"/>
        <v>#N/A</v>
      </c>
      <c r="Y81" s="523" t="e">
        <f>VLOOKUP(V72,Tracks!$A$4:$AP$886,38,0)*VLOOKUP(W81,Tables!$B$94:$C$102,2,0)^Y73*Tables!$B$91</f>
        <v>#N/A</v>
      </c>
      <c r="Z81" s="508" t="e">
        <f t="shared" si="57"/>
        <v>#N/A</v>
      </c>
      <c r="AA81" s="509"/>
      <c r="AB81" s="510" t="e">
        <f>VLOOKUP('Tyre&amp;Fuel'!$D$28,Tracks!$A$4:$AP$849,38,0)*VLOOKUP(W81,Tables!$B$94:$C$102,2,0)^Tables!AE24*Tables!$B$91/2</f>
        <v>#N/A</v>
      </c>
      <c r="AC81" s="711">
        <f>IF(AA73="Yes",AB81/100*AC73,0)</f>
        <v>0</v>
      </c>
      <c r="AD81" s="705" t="e">
        <f t="shared" si="58"/>
        <v>#N/A</v>
      </c>
      <c r="AE81" s="721"/>
      <c r="AF81" s="529" t="s">
        <v>15</v>
      </c>
      <c r="AG81" s="512">
        <f t="shared" si="59"/>
        <v>6</v>
      </c>
      <c r="AH81" s="507" t="e">
        <f t="shared" si="60"/>
        <v>#N/A</v>
      </c>
      <c r="AI81" s="523" t="e">
        <f>VLOOKUP(AF72,Tracks!$A$4:$AP$886,38,0)*VLOOKUP(AG81,Tables!$B$94:$C$102,2,0)^AI73*Tables!$B$91</f>
        <v>#N/A</v>
      </c>
      <c r="AJ81" s="508" t="e">
        <f t="shared" si="61"/>
        <v>#N/A</v>
      </c>
      <c r="AK81" s="509"/>
      <c r="AL81" s="510" t="e">
        <f>VLOOKUP('Tyre&amp;Fuel'!$D$28,Tracks!$A$4:$AP$849,38,0)*VLOOKUP(AG81,Tables!$B$94:$C$102,2,0)^Tables!$AE$24*Tables!$B$91/2</f>
        <v>#N/A</v>
      </c>
      <c r="AM81" s="711">
        <f>IF(AK73="Yes",AL81/100*AM73,0)</f>
        <v>0</v>
      </c>
      <c r="AN81" s="705" t="e">
        <f t="shared" si="62"/>
        <v>#N/A</v>
      </c>
      <c r="AO81" s="721"/>
      <c r="AP81" s="529" t="s">
        <v>15</v>
      </c>
      <c r="AQ81" s="512">
        <f t="shared" si="63"/>
        <v>6</v>
      </c>
      <c r="AR81" s="507" t="e">
        <f t="shared" si="64"/>
        <v>#N/A</v>
      </c>
      <c r="AS81" s="523" t="e">
        <f>VLOOKUP(AP72,Tracks!$A$4:$AP$886,38,0)*VLOOKUP(AQ81,Tables!$B$94:$C$102,2,0)^AS73*Tables!$B$91</f>
        <v>#N/A</v>
      </c>
      <c r="AT81" s="508" t="e">
        <f t="shared" si="65"/>
        <v>#N/A</v>
      </c>
      <c r="AU81" s="509"/>
      <c r="AV81" s="510" t="e">
        <f>VLOOKUP('Tyre&amp;Fuel'!$D$28,Tracks!$A$4:$AP$849,38,0)*VLOOKUP(AQ81,Tables!$B$94:$C$102,2,0)^Tables!$AE$24*Tables!$B$91/2</f>
        <v>#N/A</v>
      </c>
      <c r="AW81" s="711">
        <f>IF(AU73="Yes",AV81/100*AW73,0)</f>
        <v>0</v>
      </c>
      <c r="AX81" s="705" t="e">
        <f t="shared" si="66"/>
        <v>#N/A</v>
      </c>
      <c r="AY81" s="721"/>
      <c r="AZ81" s="529" t="s">
        <v>15</v>
      </c>
      <c r="BA81" s="512">
        <f>'Setup&amp;WS'!I12</f>
        <v>5</v>
      </c>
      <c r="BB81" s="507">
        <f>'Setup&amp;WS'!J12</f>
        <v>66</v>
      </c>
      <c r="BC81" s="523" t="e">
        <f>VLOOKUP($AZ$72,Tracks!$A$4:$AP$849,38,0)*VLOOKUP($BA$75,Tables!$B$94:$C$102,2,0)^Tables!$AE$24*Tables!$B$91/2</f>
        <v>#N/A</v>
      </c>
      <c r="BI81" s="721"/>
    </row>
    <row r="82" spans="1:61" x14ac:dyDescent="0.3">
      <c r="A82" s="721"/>
      <c r="B82" s="529" t="s">
        <v>17</v>
      </c>
      <c r="C82" s="512">
        <f t="shared" si="47"/>
        <v>6</v>
      </c>
      <c r="D82" s="507" t="e">
        <f t="shared" si="48"/>
        <v>#N/A</v>
      </c>
      <c r="E82" s="523" t="e">
        <f>VLOOKUP(B72,Tracks!$A$4:$AP$886,39,0)*VLOOKUP(C82,Tables!$B$94:$C$102,2,0)^E73*Tables!$B$91</f>
        <v>#N/A</v>
      </c>
      <c r="F82" s="508" t="e">
        <f t="shared" si="49"/>
        <v>#N/A</v>
      </c>
      <c r="G82" s="509" t="s">
        <v>312</v>
      </c>
      <c r="H82" s="510" t="e">
        <f>VLOOKUP('Tyre&amp;Fuel'!$D$28,Tracks!$A$4:$AP$849,39,0)*VLOOKUP(C82,Tables!$B$94:$C$102,2,0)^Tables!AE24*Tables!$B$91/2</f>
        <v>#N/A</v>
      </c>
      <c r="I82" s="711">
        <f>IF(G73="Yes",H82/100*I73,0)</f>
        <v>0</v>
      </c>
      <c r="J82" s="705" t="e">
        <f t="shared" si="50"/>
        <v>#N/A</v>
      </c>
      <c r="K82" s="721"/>
      <c r="L82" s="529" t="s">
        <v>17</v>
      </c>
      <c r="M82" s="512">
        <f t="shared" si="51"/>
        <v>6</v>
      </c>
      <c r="N82" s="507" t="e">
        <f t="shared" si="52"/>
        <v>#N/A</v>
      </c>
      <c r="O82" s="523" t="e">
        <f>VLOOKUP(L72,Tracks!$A$4:$AP$886,39,0)*VLOOKUP(M82,Tables!$B$94:$C$102,2,0)^O73*Tables!$B$91</f>
        <v>#N/A</v>
      </c>
      <c r="P82" s="508" t="e">
        <f t="shared" si="53"/>
        <v>#N/A</v>
      </c>
      <c r="Q82" s="509"/>
      <c r="R82" s="510" t="e">
        <f>VLOOKUP('Tyre&amp;Fuel'!$D$28,Tracks!$A$4:$AP$849,39,0)*VLOOKUP(M82,Tables!$B$94:$C$102,2,0)^Tables!AE24*Tables!$B$91/2</f>
        <v>#N/A</v>
      </c>
      <c r="S82" s="711">
        <f>IF(Q73="Yes",R82/100*S73,0)</f>
        <v>0</v>
      </c>
      <c r="T82" s="705" t="e">
        <f t="shared" si="54"/>
        <v>#N/A</v>
      </c>
      <c r="U82" s="721"/>
      <c r="V82" s="529" t="s">
        <v>17</v>
      </c>
      <c r="W82" s="512">
        <f t="shared" si="55"/>
        <v>6</v>
      </c>
      <c r="X82" s="507" t="e">
        <f t="shared" si="56"/>
        <v>#N/A</v>
      </c>
      <c r="Y82" s="523" t="e">
        <f>VLOOKUP(V72,Tracks!$A$4:$AP$886,39,0)*VLOOKUP(W82,Tables!$B$94:$C$102,2,0)^Y73*Tables!$B$91</f>
        <v>#N/A</v>
      </c>
      <c r="Z82" s="508" t="e">
        <f t="shared" si="57"/>
        <v>#N/A</v>
      </c>
      <c r="AA82" s="509"/>
      <c r="AB82" s="510" t="e">
        <f>VLOOKUP('Tyre&amp;Fuel'!$D$28,Tracks!$A$4:$AP$849,39,0)*VLOOKUP(W82,Tables!$B$94:$C$102,2,0)^Tables!AE24*Tables!$B$91/2</f>
        <v>#N/A</v>
      </c>
      <c r="AC82" s="711">
        <f>IF(AA73="Yes",AB82/100*AC73,0)</f>
        <v>0</v>
      </c>
      <c r="AD82" s="705" t="e">
        <f t="shared" si="58"/>
        <v>#N/A</v>
      </c>
      <c r="AE82" s="721"/>
      <c r="AF82" s="529" t="s">
        <v>17</v>
      </c>
      <c r="AG82" s="512">
        <f t="shared" si="59"/>
        <v>6</v>
      </c>
      <c r="AH82" s="507" t="e">
        <f t="shared" si="60"/>
        <v>#N/A</v>
      </c>
      <c r="AI82" s="523" t="e">
        <f>VLOOKUP(AF72,Tracks!$A$4:$AP$886,39,0)*VLOOKUP(AG82,Tables!$B$94:$C$102,2,0)^AI73*Tables!$B$91</f>
        <v>#N/A</v>
      </c>
      <c r="AJ82" s="508" t="e">
        <f t="shared" si="61"/>
        <v>#N/A</v>
      </c>
      <c r="AK82" s="509"/>
      <c r="AL82" s="510" t="e">
        <f>VLOOKUP('Tyre&amp;Fuel'!$D$28,Tracks!$A$4:$AP$849,39,0)*VLOOKUP(AG82,Tables!$B$94:$C$102,2,0)^Tables!$AE$24*Tables!$B$91/2</f>
        <v>#N/A</v>
      </c>
      <c r="AM82" s="711">
        <f>IF(AK73="Yes",AL82/100*AM73,0)</f>
        <v>0</v>
      </c>
      <c r="AN82" s="705" t="e">
        <f t="shared" si="62"/>
        <v>#N/A</v>
      </c>
      <c r="AO82" s="721"/>
      <c r="AP82" s="529" t="s">
        <v>17</v>
      </c>
      <c r="AQ82" s="512">
        <f t="shared" si="63"/>
        <v>6</v>
      </c>
      <c r="AR82" s="507" t="e">
        <f t="shared" si="64"/>
        <v>#N/A</v>
      </c>
      <c r="AS82" s="523" t="e">
        <f>VLOOKUP(AP72,Tracks!$A$4:$AP$886,39,0)*VLOOKUP(AQ82,Tables!$B$94:$C$102,2,0)^AS73*Tables!$B$91</f>
        <v>#N/A</v>
      </c>
      <c r="AT82" s="508" t="e">
        <f t="shared" si="65"/>
        <v>#N/A</v>
      </c>
      <c r="AU82" s="509"/>
      <c r="AV82" s="510" t="e">
        <f>VLOOKUP('Tyre&amp;Fuel'!$D$28,Tracks!$A$4:$AP$849,39,0)*VLOOKUP(AQ82,Tables!$B$94:$C$102,2,0)^Tables!$AE$24*Tables!$B$91/2</f>
        <v>#N/A</v>
      </c>
      <c r="AW82" s="711">
        <f>IF(AU73="Yes",AV82/100*AW73,0)</f>
        <v>0</v>
      </c>
      <c r="AX82" s="705" t="e">
        <f t="shared" si="66"/>
        <v>#N/A</v>
      </c>
      <c r="AY82" s="721"/>
      <c r="AZ82" s="529" t="s">
        <v>17</v>
      </c>
      <c r="BA82" s="512">
        <f>'Setup&amp;WS'!I13</f>
        <v>5</v>
      </c>
      <c r="BB82" s="507">
        <f>'Setup&amp;WS'!J13</f>
        <v>43</v>
      </c>
      <c r="BC82" s="523" t="e">
        <f>VLOOKUP($AZ$72,Tracks!$A$4:$AP$849,39,0)*VLOOKUP($BA$75,Tables!$B$94:$C$102,2,0)^Tables!$AE$24*Tables!$B$91/2</f>
        <v>#N/A</v>
      </c>
      <c r="BI82" s="721"/>
    </row>
    <row r="83" spans="1:61" x14ac:dyDescent="0.3">
      <c r="A83" s="721"/>
      <c r="B83" s="529" t="s">
        <v>19</v>
      </c>
      <c r="C83" s="512">
        <f t="shared" si="47"/>
        <v>6</v>
      </c>
      <c r="D83" s="507" t="e">
        <f t="shared" si="48"/>
        <v>#N/A</v>
      </c>
      <c r="E83" s="523" t="e">
        <f>VLOOKUP(B72,Tracks!$A$4:$AP$886,40,0)*VLOOKUP(C83,Tables!$B$94:$C$102,2,0)^E73*Tables!$B$91</f>
        <v>#N/A</v>
      </c>
      <c r="F83" s="508" t="e">
        <f t="shared" si="49"/>
        <v>#N/A</v>
      </c>
      <c r="G83" s="509" t="s">
        <v>312</v>
      </c>
      <c r="H83" s="510" t="e">
        <f>VLOOKUP('Tyre&amp;Fuel'!$D$28,Tracks!$A$4:$AP$849,40,0)*VLOOKUP(C83,Tables!$B$94:$C$102,2,0)^Tables!AE24*Tables!$B$91/2</f>
        <v>#N/A</v>
      </c>
      <c r="I83" s="711">
        <f>IF(G73="Yes",H83/100*I73,0)</f>
        <v>0</v>
      </c>
      <c r="J83" s="705" t="e">
        <f t="shared" si="50"/>
        <v>#N/A</v>
      </c>
      <c r="K83" s="721"/>
      <c r="L83" s="529" t="s">
        <v>19</v>
      </c>
      <c r="M83" s="512">
        <f t="shared" si="51"/>
        <v>6</v>
      </c>
      <c r="N83" s="507" t="e">
        <f t="shared" si="52"/>
        <v>#N/A</v>
      </c>
      <c r="O83" s="523" t="e">
        <f>VLOOKUP(L72,Tracks!$A$4:$AP$886,40,0)*VLOOKUP(M83,Tables!$B$94:$C$102,2,0)^O73*Tables!$B$91</f>
        <v>#N/A</v>
      </c>
      <c r="P83" s="508" t="e">
        <f t="shared" si="53"/>
        <v>#N/A</v>
      </c>
      <c r="Q83" s="509"/>
      <c r="R83" s="510" t="e">
        <f>VLOOKUP('Tyre&amp;Fuel'!$D$28,Tracks!$A$4:$AP$849,40,0)*VLOOKUP(M83,Tables!$B$94:$C$102,2,0)^Tables!AE24*Tables!$B$91/2</f>
        <v>#N/A</v>
      </c>
      <c r="S83" s="711">
        <f>IF(Q73="Yes",R83/100*S73,0)</f>
        <v>0</v>
      </c>
      <c r="T83" s="705" t="e">
        <f t="shared" si="54"/>
        <v>#N/A</v>
      </c>
      <c r="U83" s="721"/>
      <c r="V83" s="529" t="s">
        <v>19</v>
      </c>
      <c r="W83" s="512">
        <f t="shared" si="55"/>
        <v>6</v>
      </c>
      <c r="X83" s="507" t="e">
        <f t="shared" si="56"/>
        <v>#N/A</v>
      </c>
      <c r="Y83" s="523" t="e">
        <f>VLOOKUP(V72,Tracks!$A$4:$AP$886,40,0)*VLOOKUP(W83,Tables!$B$94:$C$102,2,0)^Y73*Tables!$B$91</f>
        <v>#N/A</v>
      </c>
      <c r="Z83" s="508" t="e">
        <f t="shared" si="57"/>
        <v>#N/A</v>
      </c>
      <c r="AA83" s="509"/>
      <c r="AB83" s="510" t="e">
        <f>VLOOKUP('Tyre&amp;Fuel'!$D$28,Tracks!$A$4:$AP$849,40,0)*VLOOKUP(W83,Tables!$B$94:$C$102,2,0)^Tables!AE24*Tables!$B$91/2</f>
        <v>#N/A</v>
      </c>
      <c r="AC83" s="711">
        <f>IF(AA73="Yes",AB83/100*AC73,0)</f>
        <v>0</v>
      </c>
      <c r="AD83" s="705" t="e">
        <f t="shared" si="58"/>
        <v>#N/A</v>
      </c>
      <c r="AE83" s="721"/>
      <c r="AF83" s="529" t="s">
        <v>19</v>
      </c>
      <c r="AG83" s="512">
        <f t="shared" si="59"/>
        <v>6</v>
      </c>
      <c r="AH83" s="507" t="e">
        <f t="shared" si="60"/>
        <v>#N/A</v>
      </c>
      <c r="AI83" s="523" t="e">
        <f>VLOOKUP(AF72,Tracks!$A$4:$AP$886,40,0)*VLOOKUP(AG83,Tables!$B$94:$C$102,2,0)^AI73*Tables!$B$91</f>
        <v>#N/A</v>
      </c>
      <c r="AJ83" s="508" t="e">
        <f t="shared" si="61"/>
        <v>#N/A</v>
      </c>
      <c r="AK83" s="509"/>
      <c r="AL83" s="510" t="e">
        <f>VLOOKUP('Tyre&amp;Fuel'!$D$28,Tracks!$A$4:$AP$849,40,0)*VLOOKUP(AG83,Tables!$B$94:$C$102,2,0)^Tables!$AE$24*Tables!$B$91/2</f>
        <v>#N/A</v>
      </c>
      <c r="AM83" s="711">
        <f>IF(AK73="Yes",AL83/100*AM73,0)</f>
        <v>0</v>
      </c>
      <c r="AN83" s="705" t="e">
        <f t="shared" si="62"/>
        <v>#N/A</v>
      </c>
      <c r="AO83" s="721"/>
      <c r="AP83" s="529" t="s">
        <v>19</v>
      </c>
      <c r="AQ83" s="512">
        <f t="shared" si="63"/>
        <v>6</v>
      </c>
      <c r="AR83" s="507" t="e">
        <f t="shared" si="64"/>
        <v>#N/A</v>
      </c>
      <c r="AS83" s="523" t="e">
        <f>VLOOKUP(AP72,Tracks!$A$4:$AP$886,40,0)*VLOOKUP(AQ83,Tables!$B$94:$C$102,2,0)^AS73*Tables!$B$91</f>
        <v>#N/A</v>
      </c>
      <c r="AT83" s="508" t="e">
        <f t="shared" si="65"/>
        <v>#N/A</v>
      </c>
      <c r="AU83" s="509"/>
      <c r="AV83" s="510" t="e">
        <f>VLOOKUP('Tyre&amp;Fuel'!$D$28,Tracks!$A$4:$AP$849,40,0)*VLOOKUP(AQ83,Tables!$B$94:$C$102,2,0)^Tables!$AE$24*Tables!$B$91/2</f>
        <v>#N/A</v>
      </c>
      <c r="AW83" s="711">
        <f>IF(AU73="Yes",AV83/100*AW73,0)</f>
        <v>0</v>
      </c>
      <c r="AX83" s="705" t="e">
        <f t="shared" si="66"/>
        <v>#N/A</v>
      </c>
      <c r="AY83" s="721"/>
      <c r="AZ83" s="529" t="s">
        <v>19</v>
      </c>
      <c r="BA83" s="512">
        <f>'Setup&amp;WS'!I14</f>
        <v>5</v>
      </c>
      <c r="BB83" s="507">
        <f>'Setup&amp;WS'!J14</f>
        <v>51</v>
      </c>
      <c r="BC83" s="523" t="e">
        <f>VLOOKUP($AZ$72,Tracks!$A$4:$AP$849,40,0)*VLOOKUP($BA$75,Tables!$B$94:$C$102,2,0)^Tables!$AE$24*Tables!$B$91/2</f>
        <v>#N/A</v>
      </c>
      <c r="BI83" s="721"/>
    </row>
    <row r="84" spans="1:61" x14ac:dyDescent="0.3">
      <c r="A84" s="721"/>
      <c r="B84" s="529" t="s">
        <v>21</v>
      </c>
      <c r="C84" s="512">
        <f t="shared" si="47"/>
        <v>6</v>
      </c>
      <c r="D84" s="507" t="e">
        <f t="shared" si="48"/>
        <v>#N/A</v>
      </c>
      <c r="E84" s="523" t="e">
        <f>VLOOKUP(B72,Tracks!$A$4:$AP$886,41,0)*VLOOKUP(C84,Tables!$B$94:$C$102,2,0)^E73*Tables!$B$91</f>
        <v>#N/A</v>
      </c>
      <c r="F84" s="508" t="e">
        <f t="shared" si="49"/>
        <v>#N/A</v>
      </c>
      <c r="G84" s="509" t="s">
        <v>312</v>
      </c>
      <c r="H84" s="510" t="e">
        <f>VLOOKUP('Tyre&amp;Fuel'!$D$28,Tracks!$A$4:$AP$849,41,0)*VLOOKUP(C84,Tables!$B$94:$C$102,2,0)^Tables!AE24*Tables!$B$91/2</f>
        <v>#N/A</v>
      </c>
      <c r="I84" s="711">
        <f>IF(G73="Yes",H84/100*I73,0)</f>
        <v>0</v>
      </c>
      <c r="J84" s="705" t="e">
        <f t="shared" si="50"/>
        <v>#N/A</v>
      </c>
      <c r="K84" s="721"/>
      <c r="L84" s="529" t="s">
        <v>21</v>
      </c>
      <c r="M84" s="512">
        <f t="shared" si="51"/>
        <v>6</v>
      </c>
      <c r="N84" s="507" t="e">
        <f t="shared" si="52"/>
        <v>#N/A</v>
      </c>
      <c r="O84" s="523" t="e">
        <f>VLOOKUP(L72,Tracks!$A$4:$AP$886,41,0)*VLOOKUP(M84,Tables!$B$94:$C$102,2,0)^O73*Tables!$B$91</f>
        <v>#N/A</v>
      </c>
      <c r="P84" s="508" t="e">
        <f t="shared" si="53"/>
        <v>#N/A</v>
      </c>
      <c r="Q84" s="509"/>
      <c r="R84" s="510" t="e">
        <f>VLOOKUP('Tyre&amp;Fuel'!$D$28,Tracks!$A$4:$AP$849,41,0)*VLOOKUP(M84,Tables!$B$94:$C$102,2,0)^Tables!AE24*Tables!$B$91/2</f>
        <v>#N/A</v>
      </c>
      <c r="S84" s="711">
        <f>IF(Q73="Yes",R84/100*S73,0)</f>
        <v>0</v>
      </c>
      <c r="T84" s="705" t="e">
        <f t="shared" si="54"/>
        <v>#N/A</v>
      </c>
      <c r="U84" s="721"/>
      <c r="V84" s="529" t="s">
        <v>21</v>
      </c>
      <c r="W84" s="512">
        <f t="shared" si="55"/>
        <v>6</v>
      </c>
      <c r="X84" s="507" t="e">
        <f t="shared" si="56"/>
        <v>#N/A</v>
      </c>
      <c r="Y84" s="523" t="e">
        <f>VLOOKUP(V72,Tracks!$A$4:$AP$886,41,0)*VLOOKUP(W84,Tables!$B$94:$C$102,2,0)^Y73*Tables!$B$91</f>
        <v>#N/A</v>
      </c>
      <c r="Z84" s="508" t="e">
        <f t="shared" si="57"/>
        <v>#N/A</v>
      </c>
      <c r="AA84" s="509"/>
      <c r="AB84" s="510" t="e">
        <f>VLOOKUP('Tyre&amp;Fuel'!$D$28,Tracks!$A$4:$AP$849,41,0)*VLOOKUP(W84,Tables!$B$94:$C$102,2,0)^Tables!AE24*Tables!$B$91/2</f>
        <v>#N/A</v>
      </c>
      <c r="AC84" s="711">
        <f>IF(AA73="Yes",AB84/100*AC73,0)</f>
        <v>0</v>
      </c>
      <c r="AD84" s="705" t="e">
        <f t="shared" si="58"/>
        <v>#N/A</v>
      </c>
      <c r="AE84" s="721"/>
      <c r="AF84" s="529" t="s">
        <v>21</v>
      </c>
      <c r="AG84" s="512">
        <f t="shared" si="59"/>
        <v>6</v>
      </c>
      <c r="AH84" s="507" t="e">
        <f t="shared" si="60"/>
        <v>#N/A</v>
      </c>
      <c r="AI84" s="523" t="e">
        <f>VLOOKUP(AF72,Tracks!$A$4:$AP$886,41,0)*VLOOKUP(AG84,Tables!$B$94:$C$102,2,0)^AI73*Tables!$B$91</f>
        <v>#N/A</v>
      </c>
      <c r="AJ84" s="508" t="e">
        <f t="shared" si="61"/>
        <v>#N/A</v>
      </c>
      <c r="AK84" s="509"/>
      <c r="AL84" s="510" t="e">
        <f>VLOOKUP('Tyre&amp;Fuel'!$D$28,Tracks!$A$4:$AP$849,41,0)*VLOOKUP(AG84,Tables!$B$94:$C$102,2,0)^Tables!$AE$24*Tables!$B$91/2</f>
        <v>#N/A</v>
      </c>
      <c r="AM84" s="711">
        <f>IF(AK73="Yes",AL84/100*AM73,0)</f>
        <v>0</v>
      </c>
      <c r="AN84" s="705" t="e">
        <f t="shared" si="62"/>
        <v>#N/A</v>
      </c>
      <c r="AO84" s="721"/>
      <c r="AP84" s="529" t="s">
        <v>21</v>
      </c>
      <c r="AQ84" s="512">
        <f t="shared" si="63"/>
        <v>6</v>
      </c>
      <c r="AR84" s="507" t="e">
        <f t="shared" si="64"/>
        <v>#N/A</v>
      </c>
      <c r="AS84" s="523" t="e">
        <f>VLOOKUP(AP72,Tracks!$A$4:$AP$886,41,0)*VLOOKUP(AQ84,Tables!$B$94:$C$102,2,0)^AS73*Tables!$B$91</f>
        <v>#N/A</v>
      </c>
      <c r="AT84" s="508" t="e">
        <f t="shared" si="65"/>
        <v>#N/A</v>
      </c>
      <c r="AU84" s="509"/>
      <c r="AV84" s="510" t="e">
        <f>VLOOKUP('Tyre&amp;Fuel'!$D$28,Tracks!$A$4:$AP$849,41,0)*VLOOKUP(AQ84,Tables!$B$94:$C$102,2,0)^Tables!$AE$24*Tables!$B$91/2</f>
        <v>#N/A</v>
      </c>
      <c r="AW84" s="711">
        <f>IF(AU73="Yes",AV84/100*AW73,0)</f>
        <v>0</v>
      </c>
      <c r="AX84" s="705" t="e">
        <f t="shared" si="66"/>
        <v>#N/A</v>
      </c>
      <c r="AY84" s="721"/>
      <c r="AZ84" s="529" t="s">
        <v>21</v>
      </c>
      <c r="BA84" s="512">
        <f>'Setup&amp;WS'!I15</f>
        <v>5</v>
      </c>
      <c r="BB84" s="507">
        <f>'Setup&amp;WS'!J15</f>
        <v>97</v>
      </c>
      <c r="BC84" s="523" t="e">
        <f>VLOOKUP($AZ$72,Tracks!$A$4:$AP$849,41,0)*VLOOKUP($BA$75,Tables!$B$94:$C$102,2,0)^Tables!$AE$24*Tables!$B$91/2</f>
        <v>#N/A</v>
      </c>
      <c r="BI84" s="721"/>
    </row>
    <row r="85" spans="1:61" x14ac:dyDescent="0.3">
      <c r="A85" s="721"/>
      <c r="B85" s="529" t="s">
        <v>22</v>
      </c>
      <c r="C85" s="512">
        <f t="shared" si="47"/>
        <v>6</v>
      </c>
      <c r="D85" s="507" t="e">
        <f t="shared" si="48"/>
        <v>#N/A</v>
      </c>
      <c r="E85" s="523" t="e">
        <f>VLOOKUP(B72,Tracks!$A$4:$AP$886,42,0)*VLOOKUP(C85,Tables!$B$94:$C$102,2,0)^E73*Tables!$B$91</f>
        <v>#N/A</v>
      </c>
      <c r="F85" s="508" t="e">
        <f t="shared" si="49"/>
        <v>#N/A</v>
      </c>
      <c r="G85" s="509" t="s">
        <v>312</v>
      </c>
      <c r="H85" s="510" t="e">
        <f>VLOOKUP('Tyre&amp;Fuel'!$D$28,Tracks!$A$4:$AP$849,42,0)*VLOOKUP(C85,Tables!$B$94:$C$102,2,0)^Tables!AE24*Tables!$B$91/2</f>
        <v>#N/A</v>
      </c>
      <c r="I85" s="711">
        <f>IF(G73="Yes",H85/100*I73,0)</f>
        <v>0</v>
      </c>
      <c r="J85" s="705" t="e">
        <f t="shared" si="50"/>
        <v>#N/A</v>
      </c>
      <c r="K85" s="721"/>
      <c r="L85" s="529" t="s">
        <v>22</v>
      </c>
      <c r="M85" s="512">
        <f t="shared" si="51"/>
        <v>6</v>
      </c>
      <c r="N85" s="507" t="e">
        <f t="shared" si="52"/>
        <v>#N/A</v>
      </c>
      <c r="O85" s="523" t="e">
        <f>VLOOKUP(L72,Tracks!$A$4:$AP$886,42,0)*VLOOKUP(M85,Tables!$B$94:$C$102,2,0)^O73*Tables!$B$91</f>
        <v>#N/A</v>
      </c>
      <c r="P85" s="508" t="e">
        <f t="shared" si="53"/>
        <v>#N/A</v>
      </c>
      <c r="Q85" s="509"/>
      <c r="R85" s="510" t="e">
        <f>VLOOKUP('Tyre&amp;Fuel'!$D$28,Tracks!$A$4:$AP$849,42,0)*VLOOKUP(M85,Tables!$B$94:$C$102,2,0)^Tables!AE24*Tables!$B$91/2</f>
        <v>#N/A</v>
      </c>
      <c r="S85" s="711">
        <f>IF(Q73="Yes",R85/100*S73,0)</f>
        <v>0</v>
      </c>
      <c r="T85" s="705" t="e">
        <f t="shared" si="54"/>
        <v>#N/A</v>
      </c>
      <c r="U85" s="721"/>
      <c r="V85" s="529" t="s">
        <v>22</v>
      </c>
      <c r="W85" s="512">
        <f t="shared" si="55"/>
        <v>6</v>
      </c>
      <c r="X85" s="507" t="e">
        <f t="shared" si="56"/>
        <v>#N/A</v>
      </c>
      <c r="Y85" s="523" t="e">
        <f>VLOOKUP(V72,Tracks!$A$4:$AP$886,42,0)*VLOOKUP(W85,Tables!$B$94:$C$102,2,0)^Y73*Tables!$B$91</f>
        <v>#N/A</v>
      </c>
      <c r="Z85" s="508" t="e">
        <f t="shared" si="57"/>
        <v>#N/A</v>
      </c>
      <c r="AA85" s="509"/>
      <c r="AB85" s="510" t="e">
        <f>VLOOKUP('Tyre&amp;Fuel'!$D$28,Tracks!$A$4:$AP$849,42,0)*VLOOKUP(W85,Tables!$B$94:$C$102,2,0)^Tables!AE24*Tables!$B$91/2</f>
        <v>#N/A</v>
      </c>
      <c r="AC85" s="711">
        <f>IF(AA73="Yes",AB85/100*AC73,0)</f>
        <v>0</v>
      </c>
      <c r="AD85" s="705" t="e">
        <f t="shared" si="58"/>
        <v>#N/A</v>
      </c>
      <c r="AE85" s="721"/>
      <c r="AF85" s="529" t="s">
        <v>22</v>
      </c>
      <c r="AG85" s="512">
        <f t="shared" si="59"/>
        <v>6</v>
      </c>
      <c r="AH85" s="507" t="e">
        <f t="shared" si="60"/>
        <v>#N/A</v>
      </c>
      <c r="AI85" s="523" t="e">
        <f>VLOOKUP(AF72,Tracks!$A$4:$AP$886,42,0)*VLOOKUP(AG85,Tables!$B$94:$C$102,2,0)^AI73*Tables!$B$91</f>
        <v>#N/A</v>
      </c>
      <c r="AJ85" s="508" t="e">
        <f t="shared" si="61"/>
        <v>#N/A</v>
      </c>
      <c r="AK85" s="509"/>
      <c r="AL85" s="510" t="e">
        <f>VLOOKUP('Tyre&amp;Fuel'!$D$28,Tracks!$A$4:$AP$849,42,0)*VLOOKUP(AG85,Tables!$B$94:$C$102,2,0)^Tables!$AE$24*Tables!$B$91/2</f>
        <v>#N/A</v>
      </c>
      <c r="AM85" s="711">
        <f>IF(AK73="Yes",AL85/100*AM73,0)</f>
        <v>0</v>
      </c>
      <c r="AN85" s="705" t="e">
        <f t="shared" si="62"/>
        <v>#N/A</v>
      </c>
      <c r="AO85" s="721"/>
      <c r="AP85" s="529" t="s">
        <v>22</v>
      </c>
      <c r="AQ85" s="512">
        <f t="shared" si="63"/>
        <v>6</v>
      </c>
      <c r="AR85" s="507" t="e">
        <f t="shared" si="64"/>
        <v>#N/A</v>
      </c>
      <c r="AS85" s="523" t="e">
        <f>VLOOKUP(AP72,Tracks!$A$4:$AP$886,42,0)*VLOOKUP(AQ85,Tables!$B$94:$C$102,2,0)^AS73*Tables!$B$91</f>
        <v>#N/A</v>
      </c>
      <c r="AT85" s="508" t="e">
        <f t="shared" si="65"/>
        <v>#N/A</v>
      </c>
      <c r="AU85" s="509"/>
      <c r="AV85" s="510" t="e">
        <f>VLOOKUP('Tyre&amp;Fuel'!$D$28,Tracks!$A$4:$AP$849,42,0)*VLOOKUP(AQ85,Tables!$B$94:$C$102,2,0)^Tables!$AE$24*Tables!$B$91/2</f>
        <v>#N/A</v>
      </c>
      <c r="AW85" s="711">
        <f>IF(AU73="Yes",AV85/100*AW73,0)</f>
        <v>0</v>
      </c>
      <c r="AX85" s="705" t="e">
        <f t="shared" si="66"/>
        <v>#N/A</v>
      </c>
      <c r="AY85" s="721"/>
      <c r="AZ85" s="529" t="s">
        <v>22</v>
      </c>
      <c r="BA85" s="512">
        <f>'Setup&amp;WS'!I16</f>
        <v>5</v>
      </c>
      <c r="BB85" s="507">
        <f>'Setup&amp;WS'!J16</f>
        <v>44</v>
      </c>
      <c r="BC85" s="523" t="e">
        <f>VLOOKUP($AZ$72,Tracks!$A$4:$AP$849,42,0)*VLOOKUP($BA$75,Tables!$B$94:$C$102,2,0)^Tables!$AE$24*Tables!$B$91/2</f>
        <v>#N/A</v>
      </c>
      <c r="BI85" s="721"/>
    </row>
    <row r="86" spans="1:61" x14ac:dyDescent="0.3">
      <c r="A86" s="721"/>
      <c r="K86" s="721"/>
      <c r="U86" s="721"/>
      <c r="AE86" s="721"/>
      <c r="AO86" s="721"/>
      <c r="AY86" s="721"/>
      <c r="BI86" s="721"/>
    </row>
    <row r="87" spans="1:61" x14ac:dyDescent="0.3">
      <c r="A87" s="721"/>
      <c r="B87" s="1123" t="s">
        <v>863</v>
      </c>
      <c r="C87" s="1123"/>
      <c r="D87" s="1107">
        <f>IF(G75="Up",VLOOKUP(C75,Tables!$A$156:$M$164,2))+IF(G76="Up",VLOOKUP(C76,Tables!$A$156:$M$164,3))+IF(G77="Up",VLOOKUP(C77,Tables!$A$156:$M$164,4))+IF(G78="Up",VLOOKUP(C78,Tables!$A$156:$M$164,5))+IF(G79="Up",VLOOKUP(C79,Tables!$A$156:$M$164,6))+IF(G80="Up",VLOOKUP(C80,Tables!$A$156:$M$164,7))+IF(G81="Up",VLOOKUP(C81,Tables!$A$156:$M$164,8))+IF(G82="Up",VLOOKUP(C82,Tables!$A$156:$M$164,9))+IF(G83="Up",VLOOKUP(C83,Tables!$A$156:$M$164,10))+IF(G84="Up",VLOOKUP(C84,Tables!$A$156:$M$164,11))+IF(G85="Up",VLOOKUP(C85,Tables!$A$156:$M$164,12))+IF(G75="Same",VLOOKUP(C75,Tables!$A$156:$M$164,2))+IF(G76="Same",VLOOKUP(C76,Tables!$A$156:$M$164,3))+IF(G77="Same",VLOOKUP(C77,Tables!$A$156:$M$164,4))+IF(G78="Same",VLOOKUP(C78,Tables!$A$156:$M$164,5))+IF(G79="Same",VLOOKUP(C79,Tables!$A$156:$M$164,6))+IF(G80="Same",VLOOKUP(C80,Tables!$A$156:$M$164,7))+IF(G81="Same",VLOOKUP(C81,Tables!$A$156:$M$164,8))+IF(G82="Same",VLOOKUP(C82,Tables!$A$156:$M$164,9))+IF(G83="Same",VLOOKUP(C83,Tables!$A$156:$M$164,10))+IF(G84="Same",VLOOKUP(C84,Tables!$A$156:$M$164,11))+IF(G85="Same",VLOOKUP(C85,Tables!$A$156:$M$164,12))</f>
        <v>41708231</v>
      </c>
      <c r="E87" s="1107"/>
      <c r="F87" s="1107"/>
      <c r="K87" s="721"/>
      <c r="L87" s="1123" t="s">
        <v>863</v>
      </c>
      <c r="M87" s="1123"/>
      <c r="N87" s="1107">
        <f>IF(Q75="Up",VLOOKUP(M75,Tables!$A$156:$M$164,2))+IF(Q76="Up",VLOOKUP(M76,Tables!$A$156:$M$164,3))+IF(Q77="Up",VLOOKUP(M77,Tables!$A$156:$M$164,4))+IF(Q78="Up",VLOOKUP(M78,Tables!$A$156:$M$164,5))+IF(Q79="Up",VLOOKUP(M79,Tables!$A$156:$M$164,6))+IF(Q80="Up",VLOOKUP(M80,Tables!$A$156:$M$164,7))+IF(Q81="Up",VLOOKUP(M81,Tables!$A$156:$M$164,8))+IF(Q82="Up",VLOOKUP(M82,Tables!$A$156:$M$164,9))+IF(Q83="Up",VLOOKUP(M83,Tables!$A$156:$M$164,10))+IF(Q84="Up",VLOOKUP(M84,Tables!$A$156:$M$164,11))+IF(Q85="Up",VLOOKUP(M85,Tables!$A$156:$M$164,12))+IF(Q75="Same",VLOOKUP(M75,Tables!$A$156:$M$164,2))+IF(Q76="Same",VLOOKUP(M76,Tables!$A$156:$M$164,3))+IF(Q77="Same",VLOOKUP(M77,Tables!$A$156:$M$164,4))+IF(Q78="Same",VLOOKUP(M78,Tables!$A$156:$M$164,5))+IF(Q79="Same",VLOOKUP(M79,Tables!$A$156:$M$164,6))+IF(Q80="Same",VLOOKUP(M80,Tables!$A$156:$M$164,7))+IF(Q81="Same",VLOOKUP(M81,Tables!$A$156:$M$164,8))+IF(Q82="Same",VLOOKUP(M82,Tables!$A$156:$M$164,9))+IF(Q83="Same",VLOOKUP(M83,Tables!$A$156:$M$164,10))+IF(Q84="Same",VLOOKUP(M84,Tables!$A$156:$M$164,11))+IF(Q85="Same",VLOOKUP(M85,Tables!$A$156:$M$164,12))</f>
        <v>0</v>
      </c>
      <c r="O87" s="1107"/>
      <c r="P87" s="1107"/>
      <c r="U87" s="721"/>
      <c r="V87" s="1123" t="s">
        <v>863</v>
      </c>
      <c r="W87" s="1123"/>
      <c r="X87" s="1107">
        <f>IF(AA75="Up",VLOOKUP(W75,Tables!$A$156:$M$164,2))+IF(AA76="Up",VLOOKUP(W76,Tables!$A$156:$M$164,3))+IF(AA77="Up",VLOOKUP(W77,Tables!$A$156:$M$164,4))+IF(AA78="Up",VLOOKUP(W78,Tables!$A$156:$M$164,5))+IF(AA79="Up",VLOOKUP(W79,Tables!$A$156:$M$164,6))+IF(AA80="Up",VLOOKUP(W80,Tables!$A$156:$M$164,7))+IF(AA81="Up",VLOOKUP(W81,Tables!$A$156:$M$164,8))+IF(AA82="Up",VLOOKUP(W82,Tables!$A$156:$M$164,9))+IF(AA83="Up",VLOOKUP(W83,Tables!$A$156:$M$164,10))+IF(AA84="Up",VLOOKUP(W84,Tables!$A$156:$M$164,11))+IF(AA85="Up",VLOOKUP(W85,Tables!$A$156:$M$164,12))+IF(AA75="Same",VLOOKUP(W75,Tables!$A$156:$M$164,2))+IF(AA76="Same",VLOOKUP(W76,Tables!$A$156:$M$164,3))+IF(AA77="Same",VLOOKUP(W77,Tables!$A$156:$M$164,4))+IF(AA78="Same",VLOOKUP(W78,Tables!$A$156:$M$164,5))+IF(AA79="Same",VLOOKUP(W79,Tables!$A$156:$M$164,6))+IF(AA80="Same",VLOOKUP(W80,Tables!$A$156:$M$164,7))+IF(AA81="Same",VLOOKUP(W81,Tables!$A$156:$M$164,8))+IF(AA82="Same",VLOOKUP(W82,Tables!$A$156:$M$164,9))+IF(AA83="Same",VLOOKUP(W83,Tables!$A$156:$M$164,10))+IF(AA84="Same",VLOOKUP(W84,Tables!$A$156:$M$164,11))+IF(AA85="Same",VLOOKUP(W85,Tables!$A$156:$M$164,12))</f>
        <v>0</v>
      </c>
      <c r="Y87" s="1107"/>
      <c r="Z87" s="1107"/>
      <c r="AE87" s="721"/>
      <c r="AF87" s="1123" t="s">
        <v>863</v>
      </c>
      <c r="AG87" s="1123"/>
      <c r="AH87" s="1107">
        <f>IF(AK75="Up",VLOOKUP(AG75,Tables!$A$156:$M$164,2))+IF(AK76="Up",VLOOKUP(AG76,Tables!$A$156:$M$164,3))+IF(AK77="Up",VLOOKUP(AG77,Tables!$A$156:$M$164,4))+IF(AK78="Up",VLOOKUP(AG78,Tables!$A$156:$M$164,5))+IF(AK79="Up",VLOOKUP(AG79,Tables!$A$156:$M$164,6))+IF(AK80="Up",VLOOKUP(AG80,Tables!$A$156:$M$164,7))+IF(AK81="Up",VLOOKUP(AG81,Tables!$A$156:$M$164,8))+IF(AK82="Up",VLOOKUP(AG82,Tables!$A$156:$M$164,9))+IF(AK83="Up",VLOOKUP(AG83,Tables!$A$156:$M$164,10))+IF(AK84="Up",VLOOKUP(AG84,Tables!$A$156:$M$164,11))+IF(AK85="Up",VLOOKUP(AG85,Tables!$A$156:$M$164,12))+IF(AK75="Same",VLOOKUP(AG75,Tables!$A$156:$M$164,2))+IF(AK76="Same",VLOOKUP(AG76,Tables!$A$156:$M$164,3))+IF(AK77="Same",VLOOKUP(AG77,Tables!$A$156:$M$164,4))+IF(AK78="Same",VLOOKUP(AG78,Tables!$A$156:$M$164,5))+IF(AK79="Same",VLOOKUP(AG79,Tables!$A$156:$M$164,6))+IF(AK80="Same",VLOOKUP(AG80,Tables!$A$156:$M$164,7))+IF(AK81="Same",VLOOKUP(AG81,Tables!$A$156:$M$164,8))+IF(AK82="Same",VLOOKUP(AG82,Tables!$A$156:$M$164,9))+IF(AK83="Same",VLOOKUP(AG83,Tables!$A$156:$M$164,10))+IF(AK84="Same",VLOOKUP(AG84,Tables!$A$156:$M$164,11))+IF(AK85="Same",VLOOKUP(AG85,Tables!$A$156:$M$164,12))</f>
        <v>0</v>
      </c>
      <c r="AI87" s="1107"/>
      <c r="AJ87" s="1107"/>
      <c r="AO87" s="721"/>
      <c r="AP87" s="1123" t="s">
        <v>863</v>
      </c>
      <c r="AQ87" s="1123"/>
      <c r="AR87" s="1107">
        <f>IF(AU75="Up",VLOOKUP(AQ75,Tables!$A$156:$M$164,2))+IF(AU76="Up",VLOOKUP(AQ76,Tables!$A$156:$M$164,3))+IF(AU77="Up",VLOOKUP(AQ77,Tables!$A$156:$M$164,4))+IF(AU78="Up",VLOOKUP(AQ78,Tables!$A$156:$M$164,5))+IF(AU79="Up",VLOOKUP(AQ79,Tables!$A$156:$M$164,6))+IF(AU80="Up",VLOOKUP(AQ80,Tables!$A$156:$M$164,7))+IF(AU81="Up",VLOOKUP(AQ81,Tables!$A$156:$M$164,8))+IF(AU82="Up",VLOOKUP(AQ82,Tables!$A$156:$M$164,9))+IF(AU83="Up",VLOOKUP(AQ83,Tables!$A$156:$M$164,10))+IF(AU84="Up",VLOOKUP(AQ84,Tables!$A$156:$M$164,11))+IF(AU85="Up",VLOOKUP(AQ85,Tables!$A$156:$M$164,12))+IF(AU75="Same",VLOOKUP(AQ75,Tables!$A$156:$M$164,2))+IF(AU76="Same",VLOOKUP(AQ76,Tables!$A$156:$M$164,3))+IF(AU77="Same",VLOOKUP(AQ77,Tables!$A$156:$M$164,4))+IF(AU78="Same",VLOOKUP(AQ78,Tables!$A$156:$M$164,5))+IF(AU79="Same",VLOOKUP(AQ79,Tables!$A$156:$M$164,6))+IF(AU80="Same",VLOOKUP(AQ80,Tables!$A$156:$M$164,7))+IF(AU81="Same",VLOOKUP(AQ81,Tables!$A$156:$M$164,8))+IF(AU82="Same",VLOOKUP(AQ82,Tables!$A$156:$M$164,9))+IF(AU83="Same",VLOOKUP(AQ83,Tables!$A$156:$M$164,10))+IF(AU84="Same",VLOOKUP(AQ84,Tables!$A$156:$M$164,11))+IF(AU85="Same",VLOOKUP(AQ85,Tables!$A$156:$M$164,12))</f>
        <v>0</v>
      </c>
      <c r="AS87" s="1107"/>
      <c r="AT87" s="1107"/>
      <c r="AY87" s="721"/>
      <c r="BI87" s="721"/>
    </row>
    <row r="88" spans="1:61" x14ac:dyDescent="0.3">
      <c r="A88" s="721"/>
      <c r="B88" s="1112" t="s">
        <v>856</v>
      </c>
      <c r="C88" s="1112"/>
      <c r="D88" s="676" t="s">
        <v>849</v>
      </c>
      <c r="E88" s="1124">
        <f>VLOOKUP(D88,Tables!$P$155:$R$165,2,0)</f>
        <v>0</v>
      </c>
      <c r="F88" s="1124"/>
      <c r="K88" s="721"/>
      <c r="L88" s="1112" t="s">
        <v>856</v>
      </c>
      <c r="M88" s="1112"/>
      <c r="N88" s="676" t="s">
        <v>849</v>
      </c>
      <c r="O88" s="1124">
        <f>VLOOKUP(N88,Tables!$P$155:$R$165,2,0)</f>
        <v>0</v>
      </c>
      <c r="P88" s="1124"/>
      <c r="U88" s="721"/>
      <c r="V88" s="1112" t="s">
        <v>856</v>
      </c>
      <c r="W88" s="1112"/>
      <c r="X88" s="676" t="s">
        <v>849</v>
      </c>
      <c r="Y88" s="1124">
        <f>VLOOKUP(X88,Tables!$P$155:$R$165,2,0)</f>
        <v>0</v>
      </c>
      <c r="Z88" s="1124"/>
      <c r="AC88" s="703"/>
      <c r="AE88" s="721"/>
      <c r="AF88" s="1112" t="s">
        <v>856</v>
      </c>
      <c r="AG88" s="1112"/>
      <c r="AH88" s="676" t="s">
        <v>849</v>
      </c>
      <c r="AI88" s="1124">
        <f>VLOOKUP(AH88,Tables!$P$155:$R$165,2,0)</f>
        <v>0</v>
      </c>
      <c r="AJ88" s="1124"/>
      <c r="AO88" s="721"/>
      <c r="AP88" s="1112" t="s">
        <v>856</v>
      </c>
      <c r="AQ88" s="1112"/>
      <c r="AR88" s="676" t="s">
        <v>849</v>
      </c>
      <c r="AS88" s="1124">
        <f>VLOOKUP(AR88,Tables!$P$155:$R$165,2,0)</f>
        <v>0</v>
      </c>
      <c r="AT88" s="1124"/>
      <c r="AY88" s="721"/>
      <c r="BI88" s="721"/>
    </row>
    <row r="89" spans="1:61" x14ac:dyDescent="0.3">
      <c r="A89" s="721"/>
      <c r="B89" s="1112" t="s">
        <v>855</v>
      </c>
      <c r="C89" s="1112"/>
      <c r="D89" s="1134">
        <f>IF(D100&lt;&gt;"Não largou",VLOOKUP($L$4,Tables!$K$186:$L$194,2,0))+IF(D100&lt;&gt;"Não largou",$B$4,0)</f>
        <v>0</v>
      </c>
      <c r="E89" s="1135"/>
      <c r="F89" s="1135"/>
      <c r="K89" s="721"/>
      <c r="L89" s="1112" t="s">
        <v>855</v>
      </c>
      <c r="M89" s="1112"/>
      <c r="N89" s="1134">
        <f>IF(N100&lt;&gt;"Não largou",VLOOKUP($L$4,Tables!$K$186:$L$194,2,0))+IF(N100&lt;&gt;"Não largou",$B$4,0)</f>
        <v>0</v>
      </c>
      <c r="O89" s="1135"/>
      <c r="P89" s="1135"/>
      <c r="U89" s="721"/>
      <c r="V89" s="1112" t="s">
        <v>855</v>
      </c>
      <c r="W89" s="1112"/>
      <c r="X89" s="1134">
        <f>IF(X100&lt;&gt;"Não largou",VLOOKUP($L$4,Tables!$K$186:$L$194,2,0))+IF(X100&lt;&gt;"Não largou",$B$4,0)</f>
        <v>0</v>
      </c>
      <c r="Y89" s="1135"/>
      <c r="Z89" s="1135"/>
      <c r="AE89" s="721"/>
      <c r="AF89" s="1112" t="s">
        <v>855</v>
      </c>
      <c r="AG89" s="1112"/>
      <c r="AH89" s="1134">
        <f>IF(AH100&lt;&gt;"Não largou",VLOOKUP($L$4,Tables!$K$186:$L$194,2,0))+IF(AH100&lt;&gt;"Não largou",$B$4,0)</f>
        <v>0</v>
      </c>
      <c r="AI89" s="1135"/>
      <c r="AJ89" s="1135"/>
      <c r="AO89" s="721"/>
      <c r="AP89" s="1112" t="s">
        <v>855</v>
      </c>
      <c r="AQ89" s="1112"/>
      <c r="AR89" s="1134">
        <f>IF(AR100&lt;&gt;"Não largou",VLOOKUP($L$4,Tables!$K$186:$L$194,2,0))+IF(AR100&lt;&gt;"Não largou",$B$4,0)</f>
        <v>0</v>
      </c>
      <c r="AS89" s="1135"/>
      <c r="AT89" s="1135"/>
      <c r="AY89" s="721"/>
      <c r="BI89" s="721"/>
    </row>
    <row r="90" spans="1:61" x14ac:dyDescent="0.3">
      <c r="A90" s="721"/>
      <c r="B90" s="1106" t="s">
        <v>860</v>
      </c>
      <c r="C90" s="1106"/>
      <c r="D90" s="728" t="s">
        <v>864</v>
      </c>
      <c r="E90" s="1113" t="str">
        <f>IF(D90="Com D.T.",$F$4,"R$ 0")</f>
        <v>R$ 0</v>
      </c>
      <c r="F90" s="1113"/>
      <c r="K90" s="721"/>
      <c r="L90" s="1106" t="s">
        <v>860</v>
      </c>
      <c r="M90" s="1106"/>
      <c r="N90" s="728" t="s">
        <v>864</v>
      </c>
      <c r="O90" s="1113" t="str">
        <f>IF(N90="Com D.T.",$F$4,"R$ 0")</f>
        <v>R$ 0</v>
      </c>
      <c r="P90" s="1113"/>
      <c r="U90" s="721"/>
      <c r="V90" s="1106" t="s">
        <v>860</v>
      </c>
      <c r="W90" s="1106"/>
      <c r="X90" s="728" t="s">
        <v>864</v>
      </c>
      <c r="Y90" s="1113" t="str">
        <f>IF(X90="Com D.T.",$F$4,"R$ 0")</f>
        <v>R$ 0</v>
      </c>
      <c r="Z90" s="1113"/>
      <c r="AE90" s="721"/>
      <c r="AF90" s="1106" t="s">
        <v>860</v>
      </c>
      <c r="AG90" s="1106"/>
      <c r="AH90" s="728" t="s">
        <v>864</v>
      </c>
      <c r="AI90" s="1113" t="str">
        <f>IF(AH90="Com D.T.",$F$4,"R$ 0")</f>
        <v>R$ 0</v>
      </c>
      <c r="AJ90" s="1113"/>
      <c r="AO90" s="721"/>
      <c r="AP90" s="1106" t="s">
        <v>860</v>
      </c>
      <c r="AQ90" s="1106"/>
      <c r="AR90" s="728" t="s">
        <v>864</v>
      </c>
      <c r="AS90" s="1113" t="str">
        <f>IF(AR90="Com D.T.",$F$4,"R$ 0")</f>
        <v>R$ 0</v>
      </c>
      <c r="AT90" s="1113"/>
      <c r="AY90" s="721"/>
      <c r="BI90" s="721"/>
    </row>
    <row r="91" spans="1:61" x14ac:dyDescent="0.3">
      <c r="A91" s="721"/>
      <c r="B91" s="1106" t="s">
        <v>222</v>
      </c>
      <c r="C91" s="1106"/>
      <c r="D91" s="1103" t="str">
        <f>IF(G73="Yes",VLOOKUP(Tables!$H$166,Tables!$P$1:$BO$2,2),"R$ 0")</f>
        <v>R$ 0</v>
      </c>
      <c r="E91" s="1103"/>
      <c r="F91" s="1103"/>
      <c r="K91" s="721"/>
      <c r="L91" s="1106" t="s">
        <v>222</v>
      </c>
      <c r="M91" s="1106"/>
      <c r="N91" s="1103" t="str">
        <f>IF(Q73="Yes",VLOOKUP(Tables!$H$166,Tables!$P$1:$BO$2,2),"R$ 0")</f>
        <v>R$ 0</v>
      </c>
      <c r="O91" s="1103"/>
      <c r="P91" s="1103"/>
      <c r="U91" s="721"/>
      <c r="V91" s="1106" t="s">
        <v>222</v>
      </c>
      <c r="W91" s="1106"/>
      <c r="X91" s="1103" t="str">
        <f>IF(AA73="Yes",VLOOKUP(Tables!$H$166,Tables!$P$1:$BO$2,2),"R$ 0")</f>
        <v>R$ 0</v>
      </c>
      <c r="Y91" s="1103"/>
      <c r="Z91" s="1103"/>
      <c r="AE91" s="721"/>
      <c r="AF91" s="1106" t="s">
        <v>222</v>
      </c>
      <c r="AG91" s="1106"/>
      <c r="AH91" s="1103" t="str">
        <f>IF(AK73="Yes",VLOOKUP(Tables!$H$166,Tables!$P$1:$BO$2,2),"R$ 0")</f>
        <v>R$ 0</v>
      </c>
      <c r="AI91" s="1103"/>
      <c r="AJ91" s="1103"/>
      <c r="AO91" s="721"/>
      <c r="AP91" s="1106" t="s">
        <v>222</v>
      </c>
      <c r="AQ91" s="1106"/>
      <c r="AR91" s="1103" t="str">
        <f>IF(AU73="Yes",VLOOKUP(Tables!$H$166,Tables!$P$1:$BO$2,2),"R$ 0")</f>
        <v>R$ 0</v>
      </c>
      <c r="AS91" s="1103"/>
      <c r="AT91" s="1103"/>
      <c r="AY91" s="721"/>
      <c r="BI91" s="721"/>
    </row>
    <row r="92" spans="1:61" x14ac:dyDescent="0.3">
      <c r="A92" s="721"/>
      <c r="B92" s="1106" t="s">
        <v>841</v>
      </c>
      <c r="C92" s="1106"/>
      <c r="D92" s="727" t="s">
        <v>889</v>
      </c>
      <c r="E92" s="1104">
        <f>VLOOKUP(D92,Tables!$K$173:$L$180,2,0)</f>
        <v>0</v>
      </c>
      <c r="F92" s="1105"/>
      <c r="K92" s="721"/>
      <c r="L92" s="1106" t="s">
        <v>841</v>
      </c>
      <c r="M92" s="1106"/>
      <c r="N92" s="727" t="s">
        <v>889</v>
      </c>
      <c r="O92" s="1104">
        <f>VLOOKUP(N92,Tables!$K$173:$L$180,2,0)</f>
        <v>0</v>
      </c>
      <c r="P92" s="1105"/>
      <c r="U92" s="721"/>
      <c r="V92" s="1106" t="s">
        <v>841</v>
      </c>
      <c r="W92" s="1106"/>
      <c r="X92" s="707" t="s">
        <v>889</v>
      </c>
      <c r="Y92" s="1104">
        <f>VLOOKUP(X92,Tables!$K$173:$L$180,2,0)</f>
        <v>0</v>
      </c>
      <c r="Z92" s="1105"/>
      <c r="AE92" s="721"/>
      <c r="AF92" s="1106" t="s">
        <v>841</v>
      </c>
      <c r="AG92" s="1106"/>
      <c r="AH92" s="707" t="s">
        <v>889</v>
      </c>
      <c r="AI92" s="1104">
        <f>VLOOKUP(AH92,Tables!$K$173:$L$180,2,0)</f>
        <v>0</v>
      </c>
      <c r="AJ92" s="1105"/>
      <c r="AO92" s="721"/>
      <c r="AP92" s="1106" t="s">
        <v>841</v>
      </c>
      <c r="AQ92" s="1106"/>
      <c r="AR92" s="727" t="s">
        <v>889</v>
      </c>
      <c r="AS92" s="1104">
        <f>VLOOKUP(AR92,Tables!$K$173:$L$180,2,0)</f>
        <v>0</v>
      </c>
      <c r="AT92" s="1105"/>
      <c r="AY92" s="721"/>
      <c r="BI92" s="721"/>
    </row>
    <row r="93" spans="1:61" x14ac:dyDescent="0.3">
      <c r="A93" s="721"/>
      <c r="B93" s="1106" t="s">
        <v>857</v>
      </c>
      <c r="C93" s="1106"/>
      <c r="D93" s="707" t="s">
        <v>837</v>
      </c>
      <c r="E93" s="1108">
        <f>VLOOKUP(D93,Tables!$N$166:$P$169,3,0)</f>
        <v>0</v>
      </c>
      <c r="F93" s="1108"/>
      <c r="K93" s="721"/>
      <c r="L93" s="1106" t="s">
        <v>857</v>
      </c>
      <c r="M93" s="1106"/>
      <c r="N93" s="707" t="s">
        <v>837</v>
      </c>
      <c r="O93" s="1137">
        <f>VLOOKUP(N93,Tables!$N$166:$P$169,3,0)</f>
        <v>0</v>
      </c>
      <c r="P93" s="1137"/>
      <c r="U93" s="721"/>
      <c r="V93" s="1106" t="s">
        <v>857</v>
      </c>
      <c r="W93" s="1106"/>
      <c r="X93" s="707" t="s">
        <v>837</v>
      </c>
      <c r="Y93" s="1108">
        <f>VLOOKUP(X93,Tables!$N$166:$P$169,3,0)</f>
        <v>0</v>
      </c>
      <c r="Z93" s="1108"/>
      <c r="AE93" s="721"/>
      <c r="AF93" s="1106" t="s">
        <v>857</v>
      </c>
      <c r="AG93" s="1106"/>
      <c r="AH93" s="707" t="s">
        <v>837</v>
      </c>
      <c r="AI93" s="1108">
        <f>VLOOKUP(AH93,Tables!$N$166:$P$169,3,0)</f>
        <v>0</v>
      </c>
      <c r="AJ93" s="1108"/>
      <c r="AO93" s="721"/>
      <c r="AP93" s="1106" t="s">
        <v>857</v>
      </c>
      <c r="AQ93" s="1106"/>
      <c r="AR93" s="707" t="s">
        <v>837</v>
      </c>
      <c r="AS93" s="1108">
        <f>VLOOKUP(AR93,Tables!$N$166:$P$169,3,0)</f>
        <v>0</v>
      </c>
      <c r="AT93" s="1108"/>
      <c r="AY93" s="721"/>
      <c r="BI93" s="721"/>
    </row>
    <row r="94" spans="1:61" x14ac:dyDescent="0.3">
      <c r="A94" s="721"/>
      <c r="B94" s="1106" t="s">
        <v>858</v>
      </c>
      <c r="C94" s="1106"/>
      <c r="D94" s="1136">
        <v>0</v>
      </c>
      <c r="E94" s="1136"/>
      <c r="F94" s="1136"/>
      <c r="K94" s="721"/>
      <c r="L94" s="1106" t="s">
        <v>858</v>
      </c>
      <c r="M94" s="1106"/>
      <c r="N94" s="1108">
        <v>0</v>
      </c>
      <c r="O94" s="1108"/>
      <c r="P94" s="1108"/>
      <c r="U94" s="721"/>
      <c r="V94" s="1106" t="s">
        <v>858</v>
      </c>
      <c r="W94" s="1106"/>
      <c r="X94" s="1136">
        <v>0</v>
      </c>
      <c r="Y94" s="1136"/>
      <c r="Z94" s="1136"/>
      <c r="AE94" s="721"/>
      <c r="AF94" s="1106" t="s">
        <v>858</v>
      </c>
      <c r="AG94" s="1106"/>
      <c r="AH94" s="1108">
        <v>0</v>
      </c>
      <c r="AI94" s="1108"/>
      <c r="AJ94" s="1108"/>
      <c r="AO94" s="721"/>
      <c r="AP94" s="1106" t="s">
        <v>858</v>
      </c>
      <c r="AQ94" s="1106"/>
      <c r="AR94" s="1136">
        <v>0</v>
      </c>
      <c r="AS94" s="1136"/>
      <c r="AT94" s="1136"/>
      <c r="AY94" s="721"/>
      <c r="BI94" s="721"/>
    </row>
    <row r="95" spans="1:61" x14ac:dyDescent="0.3">
      <c r="A95" s="721"/>
      <c r="B95" s="1106" t="s">
        <v>865</v>
      </c>
      <c r="C95" s="1106"/>
      <c r="D95" s="1108">
        <v>0</v>
      </c>
      <c r="E95" s="1108"/>
      <c r="F95" s="1108"/>
      <c r="K95" s="721"/>
      <c r="L95" s="1106" t="s">
        <v>865</v>
      </c>
      <c r="M95" s="1106"/>
      <c r="N95" s="1108">
        <v>0</v>
      </c>
      <c r="O95" s="1108"/>
      <c r="P95" s="1108"/>
      <c r="U95" s="721"/>
      <c r="V95" s="1106" t="s">
        <v>865</v>
      </c>
      <c r="W95" s="1106"/>
      <c r="X95" s="1108">
        <v>0</v>
      </c>
      <c r="Y95" s="1108"/>
      <c r="Z95" s="1108"/>
      <c r="AE95" s="721"/>
      <c r="AF95" s="1106" t="s">
        <v>865</v>
      </c>
      <c r="AG95" s="1106"/>
      <c r="AH95" s="1108">
        <v>0</v>
      </c>
      <c r="AI95" s="1108"/>
      <c r="AJ95" s="1108"/>
      <c r="AO95" s="721"/>
      <c r="AP95" s="1106" t="s">
        <v>865</v>
      </c>
      <c r="AQ95" s="1106"/>
      <c r="AR95" s="1108">
        <v>0</v>
      </c>
      <c r="AS95" s="1108"/>
      <c r="AT95" s="1108"/>
      <c r="AY95" s="721"/>
      <c r="BI95" s="721"/>
    </row>
    <row r="96" spans="1:61" x14ac:dyDescent="0.3">
      <c r="A96" s="721"/>
      <c r="B96" s="1106" t="s">
        <v>859</v>
      </c>
      <c r="C96" s="1106"/>
      <c r="D96" s="1108">
        <v>0</v>
      </c>
      <c r="E96" s="1108"/>
      <c r="F96" s="1108"/>
      <c r="K96" s="721"/>
      <c r="L96" s="1106" t="s">
        <v>859</v>
      </c>
      <c r="M96" s="1106"/>
      <c r="N96" s="1108">
        <v>0</v>
      </c>
      <c r="O96" s="1108"/>
      <c r="P96" s="1108"/>
      <c r="U96" s="721"/>
      <c r="V96" s="1106" t="s">
        <v>859</v>
      </c>
      <c r="W96" s="1106"/>
      <c r="X96" s="1108">
        <v>0</v>
      </c>
      <c r="Y96" s="1108"/>
      <c r="Z96" s="1108"/>
      <c r="AE96" s="721"/>
      <c r="AF96" s="1106" t="s">
        <v>859</v>
      </c>
      <c r="AG96" s="1106"/>
      <c r="AH96" s="1108">
        <v>0</v>
      </c>
      <c r="AI96" s="1108"/>
      <c r="AJ96" s="1108"/>
      <c r="AO96" s="721"/>
      <c r="AP96" s="1106" t="s">
        <v>859</v>
      </c>
      <c r="AQ96" s="1106"/>
      <c r="AR96" s="1108">
        <v>0</v>
      </c>
      <c r="AS96" s="1108"/>
      <c r="AT96" s="1108"/>
      <c r="AY96" s="721"/>
      <c r="BI96" s="721"/>
    </row>
    <row r="97" spans="1:61" x14ac:dyDescent="0.3">
      <c r="A97" s="721"/>
      <c r="B97" s="1117" t="s">
        <v>850</v>
      </c>
      <c r="C97" s="1118"/>
      <c r="D97" s="1103">
        <v>0</v>
      </c>
      <c r="E97" s="1103"/>
      <c r="F97" s="1103"/>
      <c r="K97" s="721"/>
      <c r="L97" s="1117" t="s">
        <v>850</v>
      </c>
      <c r="M97" s="1118"/>
      <c r="N97" s="1103">
        <v>0</v>
      </c>
      <c r="O97" s="1103"/>
      <c r="P97" s="1103"/>
      <c r="U97" s="721"/>
      <c r="V97" s="1117" t="s">
        <v>850</v>
      </c>
      <c r="W97" s="1118"/>
      <c r="X97" s="1103">
        <v>0</v>
      </c>
      <c r="Y97" s="1103"/>
      <c r="Z97" s="1103"/>
      <c r="AE97" s="721"/>
      <c r="AF97" s="1117" t="s">
        <v>850</v>
      </c>
      <c r="AG97" s="1118"/>
      <c r="AH97" s="1103">
        <v>0</v>
      </c>
      <c r="AI97" s="1103"/>
      <c r="AJ97" s="1103"/>
      <c r="AO97" s="721"/>
      <c r="AP97" s="1117" t="s">
        <v>850</v>
      </c>
      <c r="AQ97" s="1118"/>
      <c r="AR97" s="1140">
        <v>0</v>
      </c>
      <c r="AS97" s="1141"/>
      <c r="AT97" s="1142"/>
      <c r="AY97" s="721"/>
      <c r="BI97" s="721"/>
    </row>
    <row r="98" spans="1:61" x14ac:dyDescent="0.3">
      <c r="A98" s="721"/>
      <c r="B98" s="1117" t="s">
        <v>799</v>
      </c>
      <c r="C98" s="1118"/>
      <c r="D98" s="709" t="s">
        <v>109</v>
      </c>
      <c r="E98" s="1101" t="str">
        <f>IF(D98="yes",VLOOKUP(B98,Tables!$H$230:$I$230,2,0),"R$ 0")</f>
        <v>R$ 0</v>
      </c>
      <c r="F98" s="1102"/>
      <c r="K98" s="721"/>
      <c r="L98" s="1117" t="s">
        <v>799</v>
      </c>
      <c r="M98" s="1118"/>
      <c r="N98" s="709" t="s">
        <v>109</v>
      </c>
      <c r="O98" s="1101" t="str">
        <f>IF(N98="yes",VLOOKUP(L98,Tables!$H$230:$I$230,2,0),"R$ 0")</f>
        <v>R$ 0</v>
      </c>
      <c r="P98" s="1102"/>
      <c r="U98" s="721"/>
      <c r="V98" s="1117" t="s">
        <v>799</v>
      </c>
      <c r="W98" s="1118"/>
      <c r="X98" s="709" t="s">
        <v>109</v>
      </c>
      <c r="Y98" s="1101" t="str">
        <f>IF(X98="yes",VLOOKUP(V98,Tables!$H$230:$I$230,2,0),"R$ 0")</f>
        <v>R$ 0</v>
      </c>
      <c r="Z98" s="1102"/>
      <c r="AE98" s="721"/>
      <c r="AF98" s="1117" t="s">
        <v>799</v>
      </c>
      <c r="AG98" s="1118"/>
      <c r="AH98" s="709" t="s">
        <v>109</v>
      </c>
      <c r="AI98" s="1101" t="str">
        <f>IF(AH98="yes",VLOOKUP(AF98,Tables!$H$230:$I$230,2,0),"R$ 0")</f>
        <v>R$ 0</v>
      </c>
      <c r="AJ98" s="1102"/>
      <c r="AO98" s="721"/>
      <c r="AP98" s="1117" t="s">
        <v>799</v>
      </c>
      <c r="AQ98" s="1118"/>
      <c r="AR98" s="709" t="s">
        <v>109</v>
      </c>
      <c r="AS98" s="1101" t="str">
        <f>IF(AR98="yes",VLOOKUP(AP98,Tables!$H$230:$I$230,2,0),"R$ 0")</f>
        <v>R$ 0</v>
      </c>
      <c r="AT98" s="1102"/>
      <c r="AY98" s="721"/>
      <c r="BI98" s="721"/>
    </row>
    <row r="99" spans="1:61" x14ac:dyDescent="0.3">
      <c r="A99" s="721"/>
      <c r="B99" s="1117" t="s">
        <v>861</v>
      </c>
      <c r="C99" s="1118"/>
      <c r="D99" s="708" t="s">
        <v>797</v>
      </c>
      <c r="E99" s="1103">
        <f>VLOOKUP(D99,Tables!$A$167:$C$367,2,0)</f>
        <v>0</v>
      </c>
      <c r="F99" s="1103"/>
      <c r="K99" s="721"/>
      <c r="L99" s="1117" t="s">
        <v>861</v>
      </c>
      <c r="M99" s="1118"/>
      <c r="N99" s="729" t="s">
        <v>797</v>
      </c>
      <c r="O99" s="1103">
        <f>VLOOKUP(N99,Tables!$A$167:$C$367,2,0)</f>
        <v>0</v>
      </c>
      <c r="P99" s="1103"/>
      <c r="U99" s="721"/>
      <c r="V99" s="1117" t="s">
        <v>861</v>
      </c>
      <c r="W99" s="1118"/>
      <c r="X99" s="729" t="s">
        <v>797</v>
      </c>
      <c r="Y99" s="1103">
        <f>VLOOKUP(X99,Tables!$A$167:$C$367,2,0)</f>
        <v>0</v>
      </c>
      <c r="Z99" s="1103"/>
      <c r="AE99" s="721"/>
      <c r="AF99" s="1117" t="s">
        <v>861</v>
      </c>
      <c r="AG99" s="1118"/>
      <c r="AH99" s="729" t="s">
        <v>797</v>
      </c>
      <c r="AI99" s="1103">
        <f>VLOOKUP(AH99,Tables!$A$167:$C$367,2,0)</f>
        <v>0</v>
      </c>
      <c r="AJ99" s="1103"/>
      <c r="AO99" s="721"/>
      <c r="AP99" s="1117" t="s">
        <v>861</v>
      </c>
      <c r="AQ99" s="1118"/>
      <c r="AR99" s="729" t="s">
        <v>797</v>
      </c>
      <c r="AS99" s="1103">
        <f>VLOOKUP(AR99,Tables!$A$167:$C$367,2,0)</f>
        <v>0</v>
      </c>
      <c r="AT99" s="1103"/>
      <c r="AY99" s="721"/>
      <c r="BI99" s="721"/>
    </row>
    <row r="100" spans="1:61" x14ac:dyDescent="0.3">
      <c r="A100" s="721"/>
      <c r="B100" s="1117" t="s">
        <v>862</v>
      </c>
      <c r="C100" s="1118"/>
      <c r="D100" s="710" t="s">
        <v>797</v>
      </c>
      <c r="E100" s="1116">
        <f>VLOOKUP(D100,Tables!$A$167:$C$367,3,0)</f>
        <v>0</v>
      </c>
      <c r="F100" s="1103"/>
      <c r="K100" s="721"/>
      <c r="L100" s="1117" t="s">
        <v>862</v>
      </c>
      <c r="M100" s="1118"/>
      <c r="N100" s="730" t="s">
        <v>797</v>
      </c>
      <c r="O100" s="1116">
        <f>VLOOKUP(N100,Tables!$A$167:$C$367,3,0)</f>
        <v>0</v>
      </c>
      <c r="P100" s="1103"/>
      <c r="U100" s="721"/>
      <c r="V100" s="1117" t="s">
        <v>862</v>
      </c>
      <c r="W100" s="1118"/>
      <c r="X100" s="730" t="s">
        <v>797</v>
      </c>
      <c r="Y100" s="1116">
        <f>VLOOKUP(X100,Tables!$A$167:$C$367,3,0)</f>
        <v>0</v>
      </c>
      <c r="Z100" s="1103"/>
      <c r="AE100" s="721"/>
      <c r="AF100" s="1117" t="s">
        <v>862</v>
      </c>
      <c r="AG100" s="1118"/>
      <c r="AH100" s="730" t="s">
        <v>797</v>
      </c>
      <c r="AI100" s="1116">
        <f>VLOOKUP(AH100,Tables!$A$167:$C$367,3,0)</f>
        <v>0</v>
      </c>
      <c r="AJ100" s="1103"/>
      <c r="AO100" s="721"/>
      <c r="AP100" s="1117" t="s">
        <v>862</v>
      </c>
      <c r="AQ100" s="1118"/>
      <c r="AR100" s="730" t="s">
        <v>797</v>
      </c>
      <c r="AS100" s="1116">
        <f>VLOOKUP(AR100,Tables!$A$167:$C$367,3,0)</f>
        <v>0</v>
      </c>
      <c r="AT100" s="1103"/>
      <c r="AY100" s="721"/>
      <c r="BI100" s="721"/>
    </row>
    <row r="101" spans="1:61" x14ac:dyDescent="0.3">
      <c r="A101" s="721"/>
      <c r="B101" s="1121" t="s">
        <v>866</v>
      </c>
      <c r="C101" s="1121"/>
      <c r="D101" s="1122" t="s">
        <v>867</v>
      </c>
      <c r="E101" s="1133"/>
      <c r="K101" s="721"/>
      <c r="L101" s="1121" t="s">
        <v>866</v>
      </c>
      <c r="M101" s="1121"/>
      <c r="N101" s="714" t="s">
        <v>849</v>
      </c>
      <c r="O101" s="1131">
        <f>VLOOKUP(N101,Tables!$H$168:$I$173,2,0)</f>
        <v>0</v>
      </c>
      <c r="P101" s="1131"/>
      <c r="U101" s="721"/>
      <c r="V101" s="1121" t="s">
        <v>866</v>
      </c>
      <c r="W101" s="1121"/>
      <c r="X101" s="1122" t="s">
        <v>867</v>
      </c>
      <c r="Y101" s="1133"/>
      <c r="AE101" s="721"/>
      <c r="AF101" s="1121" t="s">
        <v>866</v>
      </c>
      <c r="AG101" s="1121"/>
      <c r="AH101" s="1122" t="s">
        <v>867</v>
      </c>
      <c r="AI101" s="1133"/>
      <c r="AO101" s="721"/>
      <c r="AP101" s="1121" t="s">
        <v>866</v>
      </c>
      <c r="AQ101" s="1121"/>
      <c r="AR101" s="714" t="s">
        <v>849</v>
      </c>
      <c r="AS101" s="1131">
        <f>VLOOKUP(AR101,Tables!$H$168:$I$173,2,0)</f>
        <v>0</v>
      </c>
      <c r="AT101" s="1131"/>
      <c r="AY101" s="721"/>
      <c r="BI101" s="721"/>
    </row>
    <row r="102" spans="1:61" x14ac:dyDescent="0.3">
      <c r="A102" s="721"/>
      <c r="B102" s="721"/>
      <c r="C102" s="721"/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21"/>
      <c r="V102" s="721"/>
      <c r="W102" s="721"/>
      <c r="X102" s="721"/>
      <c r="Y102" s="721"/>
      <c r="Z102" s="721"/>
      <c r="AA102" s="721"/>
      <c r="AB102" s="721"/>
      <c r="AC102" s="721"/>
      <c r="AD102" s="721"/>
      <c r="AE102" s="721"/>
      <c r="AF102" s="721"/>
      <c r="AG102" s="721"/>
      <c r="AH102" s="721"/>
      <c r="AI102" s="721"/>
      <c r="AJ102" s="721"/>
      <c r="AK102" s="721"/>
      <c r="AL102" s="721"/>
      <c r="AM102" s="721"/>
      <c r="AN102" s="721"/>
      <c r="AO102" s="721"/>
      <c r="AP102" s="721"/>
      <c r="AQ102" s="721"/>
      <c r="AR102" s="721"/>
      <c r="AS102" s="721"/>
      <c r="AT102" s="721"/>
      <c r="AU102" s="721"/>
      <c r="AV102" s="721"/>
      <c r="AW102" s="721"/>
      <c r="AX102" s="721"/>
      <c r="AY102" s="721"/>
      <c r="AZ102" s="721"/>
      <c r="BA102" s="721"/>
      <c r="BB102" s="721"/>
      <c r="BC102" s="721"/>
      <c r="BD102" s="721"/>
      <c r="BE102" s="721"/>
      <c r="BF102" s="721"/>
      <c r="BG102" s="721"/>
      <c r="BH102" s="721"/>
      <c r="BI102" s="721"/>
    </row>
  </sheetData>
  <mergeCells count="579">
    <mergeCell ref="AZ72:BD72"/>
    <mergeCell ref="BE72:BH72"/>
    <mergeCell ref="BC73:BD73"/>
    <mergeCell ref="F3:I3"/>
    <mergeCell ref="F4:I4"/>
    <mergeCell ref="AR89:AT89"/>
    <mergeCell ref="AR94:AT94"/>
    <mergeCell ref="AR95:AT95"/>
    <mergeCell ref="AR96:AT96"/>
    <mergeCell ref="N57:P57"/>
    <mergeCell ref="N62:P62"/>
    <mergeCell ref="N63:P63"/>
    <mergeCell ref="N64:P64"/>
    <mergeCell ref="N65:P65"/>
    <mergeCell ref="X57:Z57"/>
    <mergeCell ref="X62:Z62"/>
    <mergeCell ref="X63:Z63"/>
    <mergeCell ref="X64:Z64"/>
    <mergeCell ref="X65:Z65"/>
    <mergeCell ref="AH57:AJ57"/>
    <mergeCell ref="AH62:AJ62"/>
    <mergeCell ref="AH63:AJ63"/>
    <mergeCell ref="AH64:AJ64"/>
    <mergeCell ref="AH65:AJ65"/>
    <mergeCell ref="AR97:AT97"/>
    <mergeCell ref="X89:Z89"/>
    <mergeCell ref="X94:Z94"/>
    <mergeCell ref="X95:Z95"/>
    <mergeCell ref="X96:Z96"/>
    <mergeCell ref="X97:Z97"/>
    <mergeCell ref="N89:P89"/>
    <mergeCell ref="N94:P94"/>
    <mergeCell ref="N95:P95"/>
    <mergeCell ref="N96:P96"/>
    <mergeCell ref="N97:P97"/>
    <mergeCell ref="AP97:AQ97"/>
    <mergeCell ref="AP92:AQ92"/>
    <mergeCell ref="AS92:AT92"/>
    <mergeCell ref="AP93:AQ93"/>
    <mergeCell ref="AS93:AT93"/>
    <mergeCell ref="AP94:AQ94"/>
    <mergeCell ref="AH95:AJ95"/>
    <mergeCell ref="AH96:AJ96"/>
    <mergeCell ref="AF91:AG91"/>
    <mergeCell ref="AH91:AJ91"/>
    <mergeCell ref="AF92:AG92"/>
    <mergeCell ref="AI92:AJ92"/>
    <mergeCell ref="AF93:AG93"/>
    <mergeCell ref="L3:M3"/>
    <mergeCell ref="O3:Q3"/>
    <mergeCell ref="D25:F25"/>
    <mergeCell ref="N25:P25"/>
    <mergeCell ref="AZ8:BD8"/>
    <mergeCell ref="AZ60:BA60"/>
    <mergeCell ref="BC60:BD60"/>
    <mergeCell ref="AZ61:BA61"/>
    <mergeCell ref="BC61:BD61"/>
    <mergeCell ref="AP59:AQ59"/>
    <mergeCell ref="AU8:AX8"/>
    <mergeCell ref="AS58:AT58"/>
    <mergeCell ref="AR57:AT57"/>
    <mergeCell ref="AF61:AG61"/>
    <mergeCell ref="AI61:AJ61"/>
    <mergeCell ref="AA41:AB41"/>
    <mergeCell ref="V55:W55"/>
    <mergeCell ref="X55:Z55"/>
    <mergeCell ref="V56:W56"/>
    <mergeCell ref="Y56:Z56"/>
    <mergeCell ref="V57:W57"/>
    <mergeCell ref="V58:W58"/>
    <mergeCell ref="Y58:Z58"/>
    <mergeCell ref="V59:W59"/>
    <mergeCell ref="BB62:BD62"/>
    <mergeCell ref="BB63:BD63"/>
    <mergeCell ref="BB64:BD64"/>
    <mergeCell ref="BB65:BD65"/>
    <mergeCell ref="AZ62:BA62"/>
    <mergeCell ref="AR65:AT65"/>
    <mergeCell ref="AP62:AQ62"/>
    <mergeCell ref="AP63:AQ63"/>
    <mergeCell ref="AP64:AQ64"/>
    <mergeCell ref="AR62:AT62"/>
    <mergeCell ref="AR63:AT63"/>
    <mergeCell ref="AR64:AT64"/>
    <mergeCell ref="AF72:AJ72"/>
    <mergeCell ref="AK72:AN72"/>
    <mergeCell ref="AP72:AT72"/>
    <mergeCell ref="AU72:AX72"/>
    <mergeCell ref="X25:Z25"/>
    <mergeCell ref="X30:Z30"/>
    <mergeCell ref="X31:Z31"/>
    <mergeCell ref="X32:Z32"/>
    <mergeCell ref="X33:Z33"/>
    <mergeCell ref="AH25:AJ25"/>
    <mergeCell ref="AH30:AJ30"/>
    <mergeCell ref="AH31:AJ31"/>
    <mergeCell ref="AH32:AJ32"/>
    <mergeCell ref="AH33:AJ33"/>
    <mergeCell ref="AR25:AT25"/>
    <mergeCell ref="AR59:AT59"/>
    <mergeCell ref="AP60:AQ60"/>
    <mergeCell ref="AS60:AT60"/>
    <mergeCell ref="AP61:AQ61"/>
    <mergeCell ref="AS61:AT61"/>
    <mergeCell ref="AP56:AQ56"/>
    <mergeCell ref="AS56:AT56"/>
    <mergeCell ref="AP57:AQ57"/>
    <mergeCell ref="AP58:AQ58"/>
    <mergeCell ref="BE8:BH8"/>
    <mergeCell ref="AZ40:BD40"/>
    <mergeCell ref="BE40:BH40"/>
    <mergeCell ref="AU40:AX40"/>
    <mergeCell ref="BB25:BD25"/>
    <mergeCell ref="BB30:BD30"/>
    <mergeCell ref="BB31:BD31"/>
    <mergeCell ref="BB32:BD32"/>
    <mergeCell ref="BB33:BD33"/>
    <mergeCell ref="BB37:BC37"/>
    <mergeCell ref="AZ34:BA34"/>
    <mergeCell ref="BC34:BD34"/>
    <mergeCell ref="AZ35:BA35"/>
    <mergeCell ref="BC35:BD35"/>
    <mergeCell ref="AZ36:BA36"/>
    <mergeCell ref="BC36:BD36"/>
    <mergeCell ref="AZ31:BA31"/>
    <mergeCell ref="AZ32:BA32"/>
    <mergeCell ref="AZ33:BA33"/>
    <mergeCell ref="BC28:BD28"/>
    <mergeCell ref="AZ29:BA29"/>
    <mergeCell ref="BC29:BD29"/>
    <mergeCell ref="AZ30:BA30"/>
    <mergeCell ref="BE9:BF9"/>
    <mergeCell ref="AP101:AQ101"/>
    <mergeCell ref="AS101:AT101"/>
    <mergeCell ref="B8:F8"/>
    <mergeCell ref="G8:J8"/>
    <mergeCell ref="L8:P8"/>
    <mergeCell ref="Q8:T8"/>
    <mergeCell ref="V8:Z8"/>
    <mergeCell ref="AA8:AD8"/>
    <mergeCell ref="AF8:AJ8"/>
    <mergeCell ref="AK8:AN8"/>
    <mergeCell ref="AP8:AT8"/>
    <mergeCell ref="AP40:AT40"/>
    <mergeCell ref="AF40:AJ40"/>
    <mergeCell ref="AK40:AN40"/>
    <mergeCell ref="V40:Z40"/>
    <mergeCell ref="AA40:AD40"/>
    <mergeCell ref="AP98:AQ98"/>
    <mergeCell ref="AS98:AT98"/>
    <mergeCell ref="AP99:AQ99"/>
    <mergeCell ref="AS99:AT99"/>
    <mergeCell ref="AP100:AQ100"/>
    <mergeCell ref="AS100:AT100"/>
    <mergeCell ref="AP95:AQ95"/>
    <mergeCell ref="AP96:AQ96"/>
    <mergeCell ref="AF100:AG100"/>
    <mergeCell ref="AI100:AJ100"/>
    <mergeCell ref="AF101:AG101"/>
    <mergeCell ref="AH101:AI101"/>
    <mergeCell ref="AU73:AV73"/>
    <mergeCell ref="AP87:AQ87"/>
    <mergeCell ref="AR87:AT87"/>
    <mergeCell ref="AP88:AQ88"/>
    <mergeCell ref="AS88:AT88"/>
    <mergeCell ref="AP89:AQ89"/>
    <mergeCell ref="AP90:AQ90"/>
    <mergeCell ref="AS90:AT90"/>
    <mergeCell ref="AP91:AQ91"/>
    <mergeCell ref="AR91:AT91"/>
    <mergeCell ref="AF97:AG97"/>
    <mergeCell ref="AF98:AG98"/>
    <mergeCell ref="AI98:AJ98"/>
    <mergeCell ref="AF99:AG99"/>
    <mergeCell ref="AI99:AJ99"/>
    <mergeCell ref="AH97:AJ97"/>
    <mergeCell ref="AF94:AG94"/>
    <mergeCell ref="AF95:AG95"/>
    <mergeCell ref="AF96:AG96"/>
    <mergeCell ref="AH94:AJ94"/>
    <mergeCell ref="AI93:AJ93"/>
    <mergeCell ref="AF88:AG88"/>
    <mergeCell ref="AI88:AJ88"/>
    <mergeCell ref="AF89:AG89"/>
    <mergeCell ref="AF90:AG90"/>
    <mergeCell ref="AI90:AJ90"/>
    <mergeCell ref="AH89:AJ89"/>
    <mergeCell ref="V99:W99"/>
    <mergeCell ref="Y99:Z99"/>
    <mergeCell ref="V100:W100"/>
    <mergeCell ref="Y100:Z100"/>
    <mergeCell ref="V101:W101"/>
    <mergeCell ref="X101:Y101"/>
    <mergeCell ref="V96:W96"/>
    <mergeCell ref="V97:W97"/>
    <mergeCell ref="V98:W98"/>
    <mergeCell ref="Y98:Z98"/>
    <mergeCell ref="V93:W93"/>
    <mergeCell ref="Y93:Z93"/>
    <mergeCell ref="V94:W94"/>
    <mergeCell ref="V95:W95"/>
    <mergeCell ref="L101:M101"/>
    <mergeCell ref="O101:P101"/>
    <mergeCell ref="AA73:AB73"/>
    <mergeCell ref="V87:W87"/>
    <mergeCell ref="X87:Z87"/>
    <mergeCell ref="V88:W88"/>
    <mergeCell ref="Y88:Z88"/>
    <mergeCell ref="V89:W89"/>
    <mergeCell ref="V90:W90"/>
    <mergeCell ref="Y90:Z90"/>
    <mergeCell ref="V91:W91"/>
    <mergeCell ref="X91:Z91"/>
    <mergeCell ref="V92:W92"/>
    <mergeCell ref="Y92:Z92"/>
    <mergeCell ref="L98:M98"/>
    <mergeCell ref="O98:P98"/>
    <mergeCell ref="L99:M99"/>
    <mergeCell ref="O99:P99"/>
    <mergeCell ref="L100:M100"/>
    <mergeCell ref="O100:P100"/>
    <mergeCell ref="L95:M95"/>
    <mergeCell ref="L96:M96"/>
    <mergeCell ref="L97:M97"/>
    <mergeCell ref="L92:M92"/>
    <mergeCell ref="O92:P92"/>
    <mergeCell ref="L93:M93"/>
    <mergeCell ref="O93:P93"/>
    <mergeCell ref="L94:M94"/>
    <mergeCell ref="B100:C100"/>
    <mergeCell ref="E100:F100"/>
    <mergeCell ref="B101:C101"/>
    <mergeCell ref="D101:E101"/>
    <mergeCell ref="Q73:R73"/>
    <mergeCell ref="L87:M87"/>
    <mergeCell ref="N87:P87"/>
    <mergeCell ref="L88:M88"/>
    <mergeCell ref="O88:P88"/>
    <mergeCell ref="L89:M89"/>
    <mergeCell ref="L90:M90"/>
    <mergeCell ref="O90:P90"/>
    <mergeCell ref="L91:M91"/>
    <mergeCell ref="N91:P91"/>
    <mergeCell ref="B97:C97"/>
    <mergeCell ref="B98:C98"/>
    <mergeCell ref="E98:F98"/>
    <mergeCell ref="B99:C99"/>
    <mergeCell ref="E99:F99"/>
    <mergeCell ref="D97:F97"/>
    <mergeCell ref="B94:C94"/>
    <mergeCell ref="B95:C95"/>
    <mergeCell ref="B96:C96"/>
    <mergeCell ref="D94:F94"/>
    <mergeCell ref="D95:F95"/>
    <mergeCell ref="D96:F96"/>
    <mergeCell ref="B91:C91"/>
    <mergeCell ref="D91:F91"/>
    <mergeCell ref="B92:C92"/>
    <mergeCell ref="E92:F92"/>
    <mergeCell ref="B93:C93"/>
    <mergeCell ref="E93:F93"/>
    <mergeCell ref="B88:C88"/>
    <mergeCell ref="E88:F88"/>
    <mergeCell ref="B89:C89"/>
    <mergeCell ref="B90:C90"/>
    <mergeCell ref="E90:F90"/>
    <mergeCell ref="D89:F89"/>
    <mergeCell ref="AZ69:BA69"/>
    <mergeCell ref="BB69:BC69"/>
    <mergeCell ref="G73:H73"/>
    <mergeCell ref="B87:C87"/>
    <mergeCell ref="D87:F87"/>
    <mergeCell ref="AK73:AL73"/>
    <mergeCell ref="AF87:AG87"/>
    <mergeCell ref="AH87:AJ87"/>
    <mergeCell ref="B72:F72"/>
    <mergeCell ref="G72:J72"/>
    <mergeCell ref="L72:P72"/>
    <mergeCell ref="Q72:T72"/>
    <mergeCell ref="V72:Z72"/>
    <mergeCell ref="AA72:AD72"/>
    <mergeCell ref="AP69:AQ69"/>
    <mergeCell ref="AS69:AT69"/>
    <mergeCell ref="L69:M69"/>
    <mergeCell ref="O69:P69"/>
    <mergeCell ref="BE41:BF41"/>
    <mergeCell ref="AZ55:BA55"/>
    <mergeCell ref="BB55:BD55"/>
    <mergeCell ref="AZ56:BA56"/>
    <mergeCell ref="BC56:BD56"/>
    <mergeCell ref="AZ57:BA57"/>
    <mergeCell ref="AZ58:BA58"/>
    <mergeCell ref="BC58:BD58"/>
    <mergeCell ref="AZ59:BA59"/>
    <mergeCell ref="BB59:BD59"/>
    <mergeCell ref="BB57:BD57"/>
    <mergeCell ref="AH69:AI69"/>
    <mergeCell ref="AF64:AG64"/>
    <mergeCell ref="AF65:AG65"/>
    <mergeCell ref="AF66:AG66"/>
    <mergeCell ref="AI66:AJ66"/>
    <mergeCell ref="AZ68:BA68"/>
    <mergeCell ref="BC68:BD68"/>
    <mergeCell ref="AZ63:BA63"/>
    <mergeCell ref="AZ64:BA64"/>
    <mergeCell ref="AZ65:BA65"/>
    <mergeCell ref="AP68:AQ68"/>
    <mergeCell ref="AS68:AT68"/>
    <mergeCell ref="AP65:AQ65"/>
    <mergeCell ref="AP66:AQ66"/>
    <mergeCell ref="AS66:AT66"/>
    <mergeCell ref="AP67:AQ67"/>
    <mergeCell ref="AS67:AT67"/>
    <mergeCell ref="AZ66:BA66"/>
    <mergeCell ref="BC66:BD66"/>
    <mergeCell ref="AZ67:BA67"/>
    <mergeCell ref="BC67:BD67"/>
    <mergeCell ref="AF60:AG60"/>
    <mergeCell ref="AI60:AJ60"/>
    <mergeCell ref="V66:W66"/>
    <mergeCell ref="Y66:Z66"/>
    <mergeCell ref="V67:W67"/>
    <mergeCell ref="Y67:Z67"/>
    <mergeCell ref="V68:W68"/>
    <mergeCell ref="Y68:Z68"/>
    <mergeCell ref="V63:W63"/>
    <mergeCell ref="V64:W64"/>
    <mergeCell ref="AF67:AG67"/>
    <mergeCell ref="AI67:AJ67"/>
    <mergeCell ref="AF68:AG68"/>
    <mergeCell ref="AI68:AJ68"/>
    <mergeCell ref="AK41:AL41"/>
    <mergeCell ref="AF55:AG55"/>
    <mergeCell ref="AH55:AJ55"/>
    <mergeCell ref="AF56:AG56"/>
    <mergeCell ref="AI56:AJ56"/>
    <mergeCell ref="AF57:AG57"/>
    <mergeCell ref="AF58:AG58"/>
    <mergeCell ref="AI58:AJ58"/>
    <mergeCell ref="AF59:AG59"/>
    <mergeCell ref="AH59:AJ59"/>
    <mergeCell ref="L67:M67"/>
    <mergeCell ref="O67:P67"/>
    <mergeCell ref="L62:M62"/>
    <mergeCell ref="L63:M63"/>
    <mergeCell ref="L64:M64"/>
    <mergeCell ref="AF62:AG62"/>
    <mergeCell ref="AF63:AG63"/>
    <mergeCell ref="V69:W69"/>
    <mergeCell ref="X69:Y69"/>
    <mergeCell ref="AF69:AG69"/>
    <mergeCell ref="X59:Z59"/>
    <mergeCell ref="L60:M60"/>
    <mergeCell ref="O60:P60"/>
    <mergeCell ref="L61:M61"/>
    <mergeCell ref="O61:P61"/>
    <mergeCell ref="B68:C68"/>
    <mergeCell ref="E68:F68"/>
    <mergeCell ref="B69:C69"/>
    <mergeCell ref="D69:E69"/>
    <mergeCell ref="B66:C66"/>
    <mergeCell ref="E66:F66"/>
    <mergeCell ref="B67:C67"/>
    <mergeCell ref="E67:F67"/>
    <mergeCell ref="V65:W65"/>
    <mergeCell ref="V60:W60"/>
    <mergeCell ref="Y60:Z60"/>
    <mergeCell ref="V61:W61"/>
    <mergeCell ref="Y61:Z61"/>
    <mergeCell ref="V62:W62"/>
    <mergeCell ref="L68:M68"/>
    <mergeCell ref="O68:P68"/>
    <mergeCell ref="L65:M65"/>
    <mergeCell ref="L66:M66"/>
    <mergeCell ref="O66:P66"/>
    <mergeCell ref="N55:P55"/>
    <mergeCell ref="L56:M56"/>
    <mergeCell ref="O56:P56"/>
    <mergeCell ref="L57:M57"/>
    <mergeCell ref="L58:M58"/>
    <mergeCell ref="O58:P58"/>
    <mergeCell ref="B65:C65"/>
    <mergeCell ref="D65:F65"/>
    <mergeCell ref="B62:C62"/>
    <mergeCell ref="B63:C63"/>
    <mergeCell ref="B64:C64"/>
    <mergeCell ref="D62:F62"/>
    <mergeCell ref="D63:F63"/>
    <mergeCell ref="D64:F64"/>
    <mergeCell ref="B59:C59"/>
    <mergeCell ref="D59:F59"/>
    <mergeCell ref="B60:C60"/>
    <mergeCell ref="E60:F60"/>
    <mergeCell ref="B61:C61"/>
    <mergeCell ref="E61:F61"/>
    <mergeCell ref="B56:C56"/>
    <mergeCell ref="E56:F56"/>
    <mergeCell ref="L59:M59"/>
    <mergeCell ref="N59:P59"/>
    <mergeCell ref="B57:C57"/>
    <mergeCell ref="B58:C58"/>
    <mergeCell ref="E58:F58"/>
    <mergeCell ref="D57:F57"/>
    <mergeCell ref="AZ37:BA37"/>
    <mergeCell ref="G41:H41"/>
    <mergeCell ref="B55:C55"/>
    <mergeCell ref="D55:F55"/>
    <mergeCell ref="AU41:AV41"/>
    <mergeCell ref="AP55:AQ55"/>
    <mergeCell ref="AR55:AT55"/>
    <mergeCell ref="L40:P40"/>
    <mergeCell ref="Q40:T40"/>
    <mergeCell ref="B40:F40"/>
    <mergeCell ref="G40:J40"/>
    <mergeCell ref="O37:P37"/>
    <mergeCell ref="X37:Y37"/>
    <mergeCell ref="AS37:AT37"/>
    <mergeCell ref="AF37:AG37"/>
    <mergeCell ref="AH37:AI37"/>
    <mergeCell ref="V37:W37"/>
    <mergeCell ref="L37:M37"/>
    <mergeCell ref="Q41:R41"/>
    <mergeCell ref="L55:M55"/>
    <mergeCell ref="AZ23:BA23"/>
    <mergeCell ref="BB23:BD23"/>
    <mergeCell ref="AZ24:BA24"/>
    <mergeCell ref="BC24:BD24"/>
    <mergeCell ref="AZ25:BA25"/>
    <mergeCell ref="AZ26:BA26"/>
    <mergeCell ref="BC26:BD26"/>
    <mergeCell ref="AZ27:BA27"/>
    <mergeCell ref="BB27:BD27"/>
    <mergeCell ref="AZ28:BA28"/>
    <mergeCell ref="AP35:AQ35"/>
    <mergeCell ref="AS35:AT35"/>
    <mergeCell ref="AP36:AQ36"/>
    <mergeCell ref="AS36:AT36"/>
    <mergeCell ref="AP37:AQ37"/>
    <mergeCell ref="AP32:AQ32"/>
    <mergeCell ref="AP33:AQ33"/>
    <mergeCell ref="AP34:AQ34"/>
    <mergeCell ref="AS34:AT34"/>
    <mergeCell ref="AR32:AT32"/>
    <mergeCell ref="AR33:AT33"/>
    <mergeCell ref="AP29:AQ29"/>
    <mergeCell ref="AS29:AT29"/>
    <mergeCell ref="AP30:AQ30"/>
    <mergeCell ref="AP31:AQ31"/>
    <mergeCell ref="AR30:AT30"/>
    <mergeCell ref="AR31:AT31"/>
    <mergeCell ref="AP28:AQ28"/>
    <mergeCell ref="AS28:AT28"/>
    <mergeCell ref="AU9:AV9"/>
    <mergeCell ref="AP23:AQ23"/>
    <mergeCell ref="AR23:AT23"/>
    <mergeCell ref="AP24:AQ24"/>
    <mergeCell ref="AS24:AT24"/>
    <mergeCell ref="AP25:AQ25"/>
    <mergeCell ref="AP26:AQ26"/>
    <mergeCell ref="AS26:AT26"/>
    <mergeCell ref="AP27:AQ27"/>
    <mergeCell ref="AR27:AT27"/>
    <mergeCell ref="AF34:AG34"/>
    <mergeCell ref="AI34:AJ34"/>
    <mergeCell ref="AF35:AG35"/>
    <mergeCell ref="AI35:AJ35"/>
    <mergeCell ref="AF36:AG36"/>
    <mergeCell ref="AI36:AJ36"/>
    <mergeCell ref="AF31:AG31"/>
    <mergeCell ref="AF32:AG32"/>
    <mergeCell ref="AF33:AG33"/>
    <mergeCell ref="AF28:AG28"/>
    <mergeCell ref="AI28:AJ28"/>
    <mergeCell ref="AF29:AG29"/>
    <mergeCell ref="AI29:AJ29"/>
    <mergeCell ref="AF30:AG30"/>
    <mergeCell ref="AF25:AG25"/>
    <mergeCell ref="AF26:AG26"/>
    <mergeCell ref="AI26:AJ26"/>
    <mergeCell ref="AF27:AG27"/>
    <mergeCell ref="AH27:AJ27"/>
    <mergeCell ref="AK9:AL9"/>
    <mergeCell ref="AF23:AG23"/>
    <mergeCell ref="AH23:AJ23"/>
    <mergeCell ref="AF24:AG24"/>
    <mergeCell ref="AI24:AJ24"/>
    <mergeCell ref="V35:W35"/>
    <mergeCell ref="Y35:Z35"/>
    <mergeCell ref="V36:W36"/>
    <mergeCell ref="Y36:Z36"/>
    <mergeCell ref="V32:W32"/>
    <mergeCell ref="V33:W33"/>
    <mergeCell ref="V34:W34"/>
    <mergeCell ref="Y34:Z34"/>
    <mergeCell ref="V29:W29"/>
    <mergeCell ref="Y29:Z29"/>
    <mergeCell ref="V30:W30"/>
    <mergeCell ref="V31:W31"/>
    <mergeCell ref="AA9:AB9"/>
    <mergeCell ref="V23:W23"/>
    <mergeCell ref="X23:Z23"/>
    <mergeCell ref="V24:W24"/>
    <mergeCell ref="Y24:Z24"/>
    <mergeCell ref="V25:W25"/>
    <mergeCell ref="V26:W26"/>
    <mergeCell ref="Y26:Z26"/>
    <mergeCell ref="V27:W27"/>
    <mergeCell ref="X27:Z27"/>
    <mergeCell ref="V28:W28"/>
    <mergeCell ref="Y28:Z28"/>
    <mergeCell ref="L34:M34"/>
    <mergeCell ref="O34:P34"/>
    <mergeCell ref="L35:M35"/>
    <mergeCell ref="O35:P35"/>
    <mergeCell ref="N23:P23"/>
    <mergeCell ref="L24:M24"/>
    <mergeCell ref="O24:P24"/>
    <mergeCell ref="L36:M36"/>
    <mergeCell ref="O36:P36"/>
    <mergeCell ref="L31:M31"/>
    <mergeCell ref="L32:M32"/>
    <mergeCell ref="L33:M33"/>
    <mergeCell ref="N31:P31"/>
    <mergeCell ref="N32:P32"/>
    <mergeCell ref="N33:P33"/>
    <mergeCell ref="L28:M28"/>
    <mergeCell ref="O28:P28"/>
    <mergeCell ref="L29:M29"/>
    <mergeCell ref="O29:P29"/>
    <mergeCell ref="L30:M30"/>
    <mergeCell ref="N30:P30"/>
    <mergeCell ref="E36:F36"/>
    <mergeCell ref="B33:C33"/>
    <mergeCell ref="B34:C34"/>
    <mergeCell ref="B35:C35"/>
    <mergeCell ref="D33:F33"/>
    <mergeCell ref="B37:C37"/>
    <mergeCell ref="D37:E37"/>
    <mergeCell ref="B36:C36"/>
    <mergeCell ref="O4:Q4"/>
    <mergeCell ref="B29:C29"/>
    <mergeCell ref="B30:C30"/>
    <mergeCell ref="B31:C31"/>
    <mergeCell ref="B32:C32"/>
    <mergeCell ref="G9:H9"/>
    <mergeCell ref="B23:C23"/>
    <mergeCell ref="B24:C24"/>
    <mergeCell ref="B25:C25"/>
    <mergeCell ref="B26:C26"/>
    <mergeCell ref="D30:F30"/>
    <mergeCell ref="D31:F31"/>
    <mergeCell ref="D32:F32"/>
    <mergeCell ref="E24:F24"/>
    <mergeCell ref="E26:F26"/>
    <mergeCell ref="D27:F27"/>
    <mergeCell ref="B3:C3"/>
    <mergeCell ref="B1:C1"/>
    <mergeCell ref="E1:H1"/>
    <mergeCell ref="J1:L1"/>
    <mergeCell ref="N1:P1"/>
    <mergeCell ref="U3:W3"/>
    <mergeCell ref="U4:W4"/>
    <mergeCell ref="E34:F34"/>
    <mergeCell ref="E35:F35"/>
    <mergeCell ref="E28:F28"/>
    <mergeCell ref="B27:C27"/>
    <mergeCell ref="B28:C28"/>
    <mergeCell ref="D23:F23"/>
    <mergeCell ref="E29:F29"/>
    <mergeCell ref="B4:C4"/>
    <mergeCell ref="D4:E4"/>
    <mergeCell ref="L4:M4"/>
    <mergeCell ref="L25:M25"/>
    <mergeCell ref="L26:M26"/>
    <mergeCell ref="O26:P26"/>
    <mergeCell ref="L27:M27"/>
    <mergeCell ref="N27:P27"/>
    <mergeCell ref="Q9:R9"/>
    <mergeCell ref="L23:M23"/>
  </mergeCells>
  <conditionalFormatting sqref="D25">
    <cfRule type="cellIs" dxfId="304" priority="349" operator="greaterThan">
      <formula>0</formula>
    </cfRule>
  </conditionalFormatting>
  <conditionalFormatting sqref="D30:D32">
    <cfRule type="cellIs" dxfId="303" priority="367" operator="greaterThan">
      <formula>0</formula>
    </cfRule>
  </conditionalFormatting>
  <conditionalFormatting sqref="D33">
    <cfRule type="cellIs" dxfId="302" priority="366" operator="greaterThan">
      <formula>0</formula>
    </cfRule>
  </conditionalFormatting>
  <conditionalFormatting sqref="D57">
    <cfRule type="cellIs" dxfId="296" priority="211" operator="greaterThan">
      <formula>0</formula>
    </cfRule>
  </conditionalFormatting>
  <conditionalFormatting sqref="D62:D64">
    <cfRule type="cellIs" dxfId="295" priority="222" operator="greaterThan">
      <formula>0</formula>
    </cfRule>
  </conditionalFormatting>
  <conditionalFormatting sqref="D65">
    <cfRule type="cellIs" dxfId="294" priority="221" operator="greaterThan">
      <formula>0</formula>
    </cfRule>
  </conditionalFormatting>
  <conditionalFormatting sqref="D89">
    <cfRule type="cellIs" dxfId="288" priority="89" operator="greaterThan">
      <formula>0</formula>
    </cfRule>
  </conditionalFormatting>
  <conditionalFormatting sqref="D94:D96">
    <cfRule type="cellIs" dxfId="287" priority="100" operator="greaterThan">
      <formula>0</formula>
    </cfRule>
  </conditionalFormatting>
  <conditionalFormatting sqref="D97">
    <cfRule type="cellIs" dxfId="286" priority="99" operator="greaterThan">
      <formula>0</formula>
    </cfRule>
  </conditionalFormatting>
  <conditionalFormatting sqref="D27:F27">
    <cfRule type="cellIs" dxfId="280" priority="369" operator="greaterThan">
      <formula>"&lt;1"</formula>
    </cfRule>
  </conditionalFormatting>
  <conditionalFormatting sqref="D55:F55">
    <cfRule type="colorScale" priority="210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D59:F59">
    <cfRule type="cellIs" dxfId="279" priority="224" operator="greaterThan">
      <formula>"&lt;1"</formula>
    </cfRule>
  </conditionalFormatting>
  <conditionalFormatting sqref="D87:F87">
    <cfRule type="colorScale" priority="88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D91:F91">
    <cfRule type="cellIs" dxfId="278" priority="46" operator="greaterThan">
      <formula>"&lt;1"</formula>
    </cfRule>
  </conditionalFormatting>
  <conditionalFormatting sqref="E24:F24">
    <cfRule type="cellIs" dxfId="277" priority="374" operator="greaterThan">
      <formula>0</formula>
    </cfRule>
  </conditionalFormatting>
  <conditionalFormatting sqref="E26:F26">
    <cfRule type="cellIs" dxfId="276" priority="350" operator="greaterThan">
      <formula>"&gt;1"</formula>
    </cfRule>
  </conditionalFormatting>
  <conditionalFormatting sqref="E28:F29">
    <cfRule type="cellIs" dxfId="275" priority="368" operator="greaterThan">
      <formula>0</formula>
    </cfRule>
  </conditionalFormatting>
  <conditionalFormatting sqref="E34:F34">
    <cfRule type="cellIs" dxfId="274" priority="362" operator="greaterThan">
      <formula>"&gt;1"</formula>
    </cfRule>
  </conditionalFormatting>
  <conditionalFormatting sqref="E35:F35">
    <cfRule type="cellIs" dxfId="273" priority="361" operator="greaterThan">
      <formula>0</formula>
    </cfRule>
  </conditionalFormatting>
  <conditionalFormatting sqref="E36:F36">
    <cfRule type="cellIs" dxfId="272" priority="355" operator="greaterThan">
      <formula>0</formula>
    </cfRule>
  </conditionalFormatting>
  <conditionalFormatting sqref="E56:F56">
    <cfRule type="cellIs" dxfId="271" priority="226" operator="greaterThan">
      <formula>0</formula>
    </cfRule>
  </conditionalFormatting>
  <conditionalFormatting sqref="E58:F58">
    <cfRule type="cellIs" dxfId="270" priority="212" operator="greaterThan">
      <formula>"&gt;1"</formula>
    </cfRule>
  </conditionalFormatting>
  <conditionalFormatting sqref="E60:F61">
    <cfRule type="cellIs" dxfId="269" priority="223" operator="greaterThan">
      <formula>0</formula>
    </cfRule>
  </conditionalFormatting>
  <conditionalFormatting sqref="E66:F66">
    <cfRule type="cellIs" dxfId="268" priority="220" operator="greaterThan">
      <formula>"&gt;1"</formula>
    </cfRule>
  </conditionalFormatting>
  <conditionalFormatting sqref="E67:F67">
    <cfRule type="cellIs" dxfId="267" priority="219" operator="greaterThan">
      <formula>0</formula>
    </cfRule>
  </conditionalFormatting>
  <conditionalFormatting sqref="E68:F68">
    <cfRule type="cellIs" dxfId="266" priority="213" operator="greaterThan">
      <formula>0</formula>
    </cfRule>
  </conditionalFormatting>
  <conditionalFormatting sqref="E88:F88">
    <cfRule type="cellIs" dxfId="265" priority="104" operator="greaterThan">
      <formula>0</formula>
    </cfRule>
  </conditionalFormatting>
  <conditionalFormatting sqref="E90:F90">
    <cfRule type="cellIs" dxfId="264" priority="90" operator="greaterThan">
      <formula>"&gt;1"</formula>
    </cfRule>
  </conditionalFormatting>
  <conditionalFormatting sqref="E92:F93">
    <cfRule type="cellIs" dxfId="263" priority="101" operator="greaterThan">
      <formula>0</formula>
    </cfRule>
  </conditionalFormatting>
  <conditionalFormatting sqref="E98:F98">
    <cfRule type="cellIs" dxfId="262" priority="98" operator="greaterThan">
      <formula>"&gt;1"</formula>
    </cfRule>
  </conditionalFormatting>
  <conditionalFormatting sqref="E99:F99">
    <cfRule type="cellIs" dxfId="261" priority="97" operator="greaterThan">
      <formula>0</formula>
    </cfRule>
  </conditionalFormatting>
  <conditionalFormatting sqref="E100:F100">
    <cfRule type="cellIs" dxfId="260" priority="91" operator="greaterThan">
      <formula>0</formula>
    </cfRule>
  </conditionalFormatting>
  <conditionalFormatting sqref="F11:F21">
    <cfRule type="colorScale" priority="378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F43:F53">
    <cfRule type="colorScale" priority="229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F75:F85">
    <cfRule type="colorScale" priority="107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J11:J21">
    <cfRule type="colorScale" priority="376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379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J43:J53">
    <cfRule type="colorScale" priority="228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227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J75:J85">
    <cfRule type="colorScale" priority="106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105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N25">
    <cfRule type="cellIs" dxfId="259" priority="314" operator="greaterThan">
      <formula>0</formula>
    </cfRule>
  </conditionalFormatting>
  <conditionalFormatting sqref="N30:N32">
    <cfRule type="cellIs" dxfId="258" priority="325" operator="greaterThan">
      <formula>0</formula>
    </cfRule>
  </conditionalFormatting>
  <conditionalFormatting sqref="N33">
    <cfRule type="cellIs" dxfId="257" priority="324" operator="greaterThan">
      <formula>0</formula>
    </cfRule>
  </conditionalFormatting>
  <conditionalFormatting sqref="N57">
    <cfRule type="cellIs" dxfId="251" priority="191" operator="greaterThan">
      <formula>0</formula>
    </cfRule>
  </conditionalFormatting>
  <conditionalFormatting sqref="N62:N64">
    <cfRule type="cellIs" dxfId="250" priority="202" operator="greaterThan">
      <formula>0</formula>
    </cfRule>
  </conditionalFormatting>
  <conditionalFormatting sqref="N65">
    <cfRule type="cellIs" dxfId="249" priority="201" operator="greaterThan">
      <formula>0</formula>
    </cfRule>
  </conditionalFormatting>
  <conditionalFormatting sqref="N89">
    <cfRule type="cellIs" dxfId="243" priority="69" operator="greaterThan">
      <formula>0</formula>
    </cfRule>
  </conditionalFormatting>
  <conditionalFormatting sqref="N94:N96">
    <cfRule type="cellIs" dxfId="242" priority="80" operator="greaterThan">
      <formula>0</formula>
    </cfRule>
  </conditionalFormatting>
  <conditionalFormatting sqref="N97">
    <cfRule type="cellIs" dxfId="241" priority="79" operator="greaterThan">
      <formula>0</formula>
    </cfRule>
  </conditionalFormatting>
  <conditionalFormatting sqref="N23:P23">
    <cfRule type="colorScale" priority="293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N27:P27">
    <cfRule type="cellIs" dxfId="235" priority="327" operator="greaterThan">
      <formula>"&lt;1"</formula>
    </cfRule>
  </conditionalFormatting>
  <conditionalFormatting sqref="N55:P55">
    <cfRule type="colorScale" priority="190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N59:P59">
    <cfRule type="cellIs" dxfId="234" priority="204" operator="greaterThan">
      <formula>"&lt;1"</formula>
    </cfRule>
  </conditionalFormatting>
  <conditionalFormatting sqref="N87:P87">
    <cfRule type="colorScale" priority="68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N91:P91">
    <cfRule type="cellIs" dxfId="233" priority="82" operator="greaterThan">
      <formula>"&lt;1"</formula>
    </cfRule>
  </conditionalFormatting>
  <conditionalFormatting sqref="O24:P24">
    <cfRule type="cellIs" dxfId="232" priority="329" operator="greaterThan">
      <formula>0</formula>
    </cfRule>
  </conditionalFormatting>
  <conditionalFormatting sqref="O26:P26">
    <cfRule type="cellIs" dxfId="231" priority="315" operator="greaterThan">
      <formula>"&gt;1"</formula>
    </cfRule>
  </conditionalFormatting>
  <conditionalFormatting sqref="O28:P29">
    <cfRule type="cellIs" dxfId="230" priority="326" operator="greaterThan">
      <formula>0</formula>
    </cfRule>
  </conditionalFormatting>
  <conditionalFormatting sqref="O34:P34">
    <cfRule type="cellIs" dxfId="229" priority="323" operator="greaterThan">
      <formula>"&gt;1"</formula>
    </cfRule>
  </conditionalFormatting>
  <conditionalFormatting sqref="O35:P35">
    <cfRule type="cellIs" dxfId="228" priority="322" operator="greaterThan">
      <formula>0</formula>
    </cfRule>
  </conditionalFormatting>
  <conditionalFormatting sqref="O36:P36">
    <cfRule type="cellIs" dxfId="227" priority="316" operator="greaterThan">
      <formula>0</formula>
    </cfRule>
  </conditionalFormatting>
  <conditionalFormatting sqref="O37:P37">
    <cfRule type="cellIs" dxfId="226" priority="254" operator="greaterThan">
      <formula>0</formula>
    </cfRule>
  </conditionalFormatting>
  <conditionalFormatting sqref="O56:P56">
    <cfRule type="cellIs" dxfId="225" priority="206" operator="greaterThan">
      <formula>0</formula>
    </cfRule>
  </conditionalFormatting>
  <conditionalFormatting sqref="O58:P58">
    <cfRule type="cellIs" dxfId="224" priority="192" operator="greaterThan">
      <formula>"&gt;1"</formula>
    </cfRule>
  </conditionalFormatting>
  <conditionalFormatting sqref="O60:P61">
    <cfRule type="cellIs" dxfId="223" priority="203" operator="greaterThan">
      <formula>0</formula>
    </cfRule>
  </conditionalFormatting>
  <conditionalFormatting sqref="O66:P66">
    <cfRule type="cellIs" dxfId="222" priority="200" operator="greaterThan">
      <formula>"&gt;1"</formula>
    </cfRule>
  </conditionalFormatting>
  <conditionalFormatting sqref="O67:P67">
    <cfRule type="cellIs" dxfId="221" priority="199" operator="greaterThan">
      <formula>0</formula>
    </cfRule>
  </conditionalFormatting>
  <conditionalFormatting sqref="O68:P68">
    <cfRule type="cellIs" dxfId="220" priority="193" operator="greaterThan">
      <formula>0</formula>
    </cfRule>
  </conditionalFormatting>
  <conditionalFormatting sqref="O69:P69">
    <cfRule type="cellIs" dxfId="219" priority="189" operator="greaterThan">
      <formula>0</formula>
    </cfRule>
  </conditionalFormatting>
  <conditionalFormatting sqref="O88:P88">
    <cfRule type="cellIs" dxfId="218" priority="84" operator="greaterThan">
      <formula>0</formula>
    </cfRule>
  </conditionalFormatting>
  <conditionalFormatting sqref="O90:P90">
    <cfRule type="cellIs" dxfId="217" priority="70" operator="greaterThan">
      <formula>"&gt;1"</formula>
    </cfRule>
  </conditionalFormatting>
  <conditionalFormatting sqref="O92:P93">
    <cfRule type="cellIs" dxfId="216" priority="81" operator="greaterThan">
      <formula>0</formula>
    </cfRule>
  </conditionalFormatting>
  <conditionalFormatting sqref="O98:P98">
    <cfRule type="cellIs" dxfId="215" priority="78" operator="greaterThan">
      <formula>"&gt;1"</formula>
    </cfRule>
  </conditionalFormatting>
  <conditionalFormatting sqref="O99:P99">
    <cfRule type="cellIs" dxfId="214" priority="77" operator="greaterThan">
      <formula>0</formula>
    </cfRule>
  </conditionalFormatting>
  <conditionalFormatting sqref="O100:P100">
    <cfRule type="cellIs" dxfId="213" priority="71" operator="greaterThan">
      <formula>0</formula>
    </cfRule>
  </conditionalFormatting>
  <conditionalFormatting sqref="O101:P101">
    <cfRule type="cellIs" dxfId="212" priority="67" operator="greaterThan">
      <formula>0</formula>
    </cfRule>
  </conditionalFormatting>
  <conditionalFormatting sqref="P11:P21">
    <cfRule type="colorScale" priority="347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P43:P53">
    <cfRule type="colorScale" priority="209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P75:P85">
    <cfRule type="colorScale" priority="87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T11:T15">
    <cfRule type="colorScale" priority="3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4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T16:T21">
    <cfRule type="colorScale" priority="346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348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T43:T53">
    <cfRule type="colorScale" priority="207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208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T75:T85">
    <cfRule type="colorScale" priority="85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86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X25">
    <cfRule type="cellIs" dxfId="211" priority="295" operator="greaterThan">
      <formula>0</formula>
    </cfRule>
  </conditionalFormatting>
  <conditionalFormatting sqref="X30:X32">
    <cfRule type="cellIs" dxfId="210" priority="306" operator="greaterThan">
      <formula>0</formula>
    </cfRule>
  </conditionalFormatting>
  <conditionalFormatting sqref="X33">
    <cfRule type="cellIs" dxfId="209" priority="305" operator="greaterThan">
      <formula>0</formula>
    </cfRule>
  </conditionalFormatting>
  <conditionalFormatting sqref="X57">
    <cfRule type="cellIs" dxfId="203" priority="170" operator="greaterThan">
      <formula>0</formula>
    </cfRule>
  </conditionalFormatting>
  <conditionalFormatting sqref="X62:X64">
    <cfRule type="cellIs" dxfId="202" priority="181" operator="greaterThan">
      <formula>0</formula>
    </cfRule>
  </conditionalFormatting>
  <conditionalFormatting sqref="X65">
    <cfRule type="cellIs" dxfId="201" priority="180" operator="greaterThan">
      <formula>0</formula>
    </cfRule>
  </conditionalFormatting>
  <conditionalFormatting sqref="X89">
    <cfRule type="cellIs" dxfId="195" priority="48" operator="greaterThan">
      <formula>0</formula>
    </cfRule>
  </conditionalFormatting>
  <conditionalFormatting sqref="X94:X96">
    <cfRule type="cellIs" dxfId="194" priority="59" operator="greaterThan">
      <formula>0</formula>
    </cfRule>
  </conditionalFormatting>
  <conditionalFormatting sqref="X97">
    <cfRule type="cellIs" dxfId="193" priority="58" operator="greaterThan">
      <formula>0</formula>
    </cfRule>
  </conditionalFormatting>
  <conditionalFormatting sqref="X23:Z23">
    <cfRule type="colorScale" priority="2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X27:Z27">
    <cfRule type="cellIs" dxfId="187" priority="308" operator="greaterThan">
      <formula>"&lt;1"</formula>
    </cfRule>
  </conditionalFormatting>
  <conditionalFormatting sqref="X55:Z55">
    <cfRule type="colorScale" priority="169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X59:Z59">
    <cfRule type="cellIs" dxfId="186" priority="183" operator="greaterThan">
      <formula>"&lt;1"</formula>
    </cfRule>
  </conditionalFormatting>
  <conditionalFormatting sqref="X87:Z87">
    <cfRule type="colorScale" priority="47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X91:Z91">
    <cfRule type="cellIs" dxfId="185" priority="61" operator="greaterThan">
      <formula>"&lt;1"</formula>
    </cfRule>
  </conditionalFormatting>
  <conditionalFormatting sqref="Y24:Z24">
    <cfRule type="cellIs" dxfId="184" priority="310" operator="greaterThan">
      <formula>0</formula>
    </cfRule>
  </conditionalFormatting>
  <conditionalFormatting sqref="Y26:Z26">
    <cfRule type="cellIs" dxfId="183" priority="296" operator="greaterThan">
      <formula>"&gt;1"</formula>
    </cfRule>
  </conditionalFormatting>
  <conditionalFormatting sqref="Y28:Z29">
    <cfRule type="cellIs" dxfId="182" priority="307" operator="greaterThan">
      <formula>0</formula>
    </cfRule>
  </conditionalFormatting>
  <conditionalFormatting sqref="Y34:Z34">
    <cfRule type="cellIs" dxfId="181" priority="304" operator="greaterThan">
      <formula>"&gt;1"</formula>
    </cfRule>
  </conditionalFormatting>
  <conditionalFormatting sqref="Y35:Z35">
    <cfRule type="cellIs" dxfId="180" priority="303" operator="greaterThan">
      <formula>0</formula>
    </cfRule>
  </conditionalFormatting>
  <conditionalFormatting sqref="Y36:Z36">
    <cfRule type="cellIs" dxfId="179" priority="297" operator="greaterThan">
      <formula>0</formula>
    </cfRule>
  </conditionalFormatting>
  <conditionalFormatting sqref="Y56:Z56">
    <cfRule type="cellIs" dxfId="178" priority="185" operator="greaterThan">
      <formula>0</formula>
    </cfRule>
  </conditionalFormatting>
  <conditionalFormatting sqref="Y58:Z58">
    <cfRule type="cellIs" dxfId="177" priority="171" operator="greaterThan">
      <formula>"&gt;1"</formula>
    </cfRule>
  </conditionalFormatting>
  <conditionalFormatting sqref="Y60:Z61">
    <cfRule type="cellIs" dxfId="176" priority="182" operator="greaterThan">
      <formula>0</formula>
    </cfRule>
  </conditionalFormatting>
  <conditionalFormatting sqref="Y66:Z66">
    <cfRule type="cellIs" dxfId="175" priority="179" operator="greaterThan">
      <formula>"&gt;1"</formula>
    </cfRule>
  </conditionalFormatting>
  <conditionalFormatting sqref="Y67:Z67">
    <cfRule type="cellIs" dxfId="174" priority="178" operator="greaterThan">
      <formula>0</formula>
    </cfRule>
  </conditionalFormatting>
  <conditionalFormatting sqref="Y68:Z68">
    <cfRule type="cellIs" dxfId="173" priority="172" operator="greaterThan">
      <formula>0</formula>
    </cfRule>
  </conditionalFormatting>
  <conditionalFormatting sqref="Y88:Z88">
    <cfRule type="cellIs" dxfId="172" priority="63" operator="greaterThan">
      <formula>0</formula>
    </cfRule>
  </conditionalFormatting>
  <conditionalFormatting sqref="Y90:Z90">
    <cfRule type="cellIs" dxfId="171" priority="49" operator="greaterThan">
      <formula>"&gt;1"</formula>
    </cfRule>
  </conditionalFormatting>
  <conditionalFormatting sqref="Y92:Z93">
    <cfRule type="cellIs" dxfId="170" priority="60" operator="greaterThan">
      <formula>0</formula>
    </cfRule>
  </conditionalFormatting>
  <conditionalFormatting sqref="Y98:Z98">
    <cfRule type="cellIs" dxfId="169" priority="57" operator="greaterThan">
      <formula>"&gt;1"</formula>
    </cfRule>
  </conditionalFormatting>
  <conditionalFormatting sqref="Y99:Z99">
    <cfRule type="cellIs" dxfId="168" priority="56" operator="greaterThan">
      <formula>0</formula>
    </cfRule>
  </conditionalFormatting>
  <conditionalFormatting sqref="Y100:Z100">
    <cfRule type="cellIs" dxfId="167" priority="50" operator="greaterThan">
      <formula>0</formula>
    </cfRule>
  </conditionalFormatting>
  <conditionalFormatting sqref="Z11:Z21">
    <cfRule type="colorScale" priority="312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Z37">
    <cfRule type="cellIs" dxfId="166" priority="294" operator="greaterThan">
      <formula>0</formula>
    </cfRule>
  </conditionalFormatting>
  <conditionalFormatting sqref="Z43:Z53">
    <cfRule type="colorScale" priority="188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Z75:Z85">
    <cfRule type="colorScale" priority="66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AD11:AD21">
    <cfRule type="colorScale" priority="313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311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AD43:AD53">
    <cfRule type="colorScale" priority="187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186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AD75:AD85">
    <cfRule type="colorScale" priority="64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65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AH25">
    <cfRule type="cellIs" dxfId="165" priority="274" operator="greaterThan">
      <formula>0</formula>
    </cfRule>
  </conditionalFormatting>
  <conditionalFormatting sqref="AH30:AH32">
    <cfRule type="cellIs" dxfId="164" priority="285" operator="greaterThan">
      <formula>0</formula>
    </cfRule>
  </conditionalFormatting>
  <conditionalFormatting sqref="AH33">
    <cfRule type="cellIs" dxfId="163" priority="284" operator="greaterThan">
      <formula>0</formula>
    </cfRule>
  </conditionalFormatting>
  <conditionalFormatting sqref="AH57">
    <cfRule type="cellIs" dxfId="157" priority="150" operator="greaterThan">
      <formula>0</formula>
    </cfRule>
  </conditionalFormatting>
  <conditionalFormatting sqref="AH62:AH64">
    <cfRule type="cellIs" dxfId="156" priority="161" operator="greaterThan">
      <formula>0</formula>
    </cfRule>
  </conditionalFormatting>
  <conditionalFormatting sqref="AH65">
    <cfRule type="cellIs" dxfId="155" priority="160" operator="greaterThan">
      <formula>0</formula>
    </cfRule>
  </conditionalFormatting>
  <conditionalFormatting sqref="AH89">
    <cfRule type="cellIs" dxfId="149" priority="27" operator="greaterThan">
      <formula>0</formula>
    </cfRule>
  </conditionalFormatting>
  <conditionalFormatting sqref="AH94:AH96">
    <cfRule type="cellIs" dxfId="148" priority="38" operator="greaterThan">
      <formula>0</formula>
    </cfRule>
  </conditionalFormatting>
  <conditionalFormatting sqref="AH97">
    <cfRule type="cellIs" dxfId="147" priority="37" operator="greaterThan">
      <formula>0</formula>
    </cfRule>
  </conditionalFormatting>
  <conditionalFormatting sqref="AH23:AJ23">
    <cfRule type="colorScale" priority="1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AH27:AJ27">
    <cfRule type="cellIs" dxfId="141" priority="287" operator="greaterThan">
      <formula>"&lt;1"</formula>
    </cfRule>
  </conditionalFormatting>
  <conditionalFormatting sqref="AH55:AJ55">
    <cfRule type="colorScale" priority="149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AH59:AJ59">
    <cfRule type="cellIs" dxfId="140" priority="163" operator="greaterThan">
      <formula>"&lt;1"</formula>
    </cfRule>
  </conditionalFormatting>
  <conditionalFormatting sqref="AH87:AJ87">
    <cfRule type="colorScale" priority="26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AH91:AJ91">
    <cfRule type="cellIs" dxfId="139" priority="40" operator="greaterThan">
      <formula>"&lt;1"</formula>
    </cfRule>
  </conditionalFormatting>
  <conditionalFormatting sqref="AI24:AJ24">
    <cfRule type="cellIs" dxfId="138" priority="289" operator="greaterThan">
      <formula>0</formula>
    </cfRule>
  </conditionalFormatting>
  <conditionalFormatting sqref="AI26:AJ26">
    <cfRule type="cellIs" dxfId="137" priority="275" operator="greaterThan">
      <formula>"&gt;1"</formula>
    </cfRule>
  </conditionalFormatting>
  <conditionalFormatting sqref="AI28:AJ29">
    <cfRule type="cellIs" dxfId="136" priority="286" operator="greaterThan">
      <formula>0</formula>
    </cfRule>
  </conditionalFormatting>
  <conditionalFormatting sqref="AI34:AJ34">
    <cfRule type="cellIs" dxfId="135" priority="283" operator="greaterThan">
      <formula>"&gt;1"</formula>
    </cfRule>
  </conditionalFormatting>
  <conditionalFormatting sqref="AI35:AJ35">
    <cfRule type="cellIs" dxfId="134" priority="282" operator="greaterThan">
      <formula>0</formula>
    </cfRule>
  </conditionalFormatting>
  <conditionalFormatting sqref="AI36:AJ36">
    <cfRule type="cellIs" dxfId="133" priority="276" operator="greaterThan">
      <formula>0</formula>
    </cfRule>
  </conditionalFormatting>
  <conditionalFormatting sqref="AI56:AJ56">
    <cfRule type="cellIs" dxfId="132" priority="165" operator="greaterThan">
      <formula>0</formula>
    </cfRule>
  </conditionalFormatting>
  <conditionalFormatting sqref="AI58:AJ58">
    <cfRule type="cellIs" dxfId="131" priority="151" operator="greaterThan">
      <formula>"&gt;1"</formula>
    </cfRule>
  </conditionalFormatting>
  <conditionalFormatting sqref="AI60:AJ61">
    <cfRule type="cellIs" dxfId="130" priority="162" operator="greaterThan">
      <formula>0</formula>
    </cfRule>
  </conditionalFormatting>
  <conditionalFormatting sqref="AI66:AJ66">
    <cfRule type="cellIs" dxfId="129" priority="159" operator="greaterThan">
      <formula>"&gt;1"</formula>
    </cfRule>
  </conditionalFormatting>
  <conditionalFormatting sqref="AI67:AJ67">
    <cfRule type="cellIs" dxfId="128" priority="158" operator="greaterThan">
      <formula>0</formula>
    </cfRule>
  </conditionalFormatting>
  <conditionalFormatting sqref="AI68:AJ68">
    <cfRule type="cellIs" dxfId="127" priority="152" operator="greaterThan">
      <formula>0</formula>
    </cfRule>
  </conditionalFormatting>
  <conditionalFormatting sqref="AI88:AJ88">
    <cfRule type="cellIs" dxfId="126" priority="42" operator="greaterThan">
      <formula>0</formula>
    </cfRule>
  </conditionalFormatting>
  <conditionalFormatting sqref="AI90:AJ90">
    <cfRule type="cellIs" dxfId="125" priority="28" operator="greaterThan">
      <formula>"&gt;1"</formula>
    </cfRule>
  </conditionalFormatting>
  <conditionalFormatting sqref="AI92:AJ93">
    <cfRule type="cellIs" dxfId="124" priority="39" operator="greaterThan">
      <formula>0</formula>
    </cfRule>
  </conditionalFormatting>
  <conditionalFormatting sqref="AI98:AJ98">
    <cfRule type="cellIs" dxfId="123" priority="36" operator="greaterThan">
      <formula>"&gt;1"</formula>
    </cfRule>
  </conditionalFormatting>
  <conditionalFormatting sqref="AI99:AJ99">
    <cfRule type="cellIs" dxfId="122" priority="35" operator="greaterThan">
      <formula>0</formula>
    </cfRule>
  </conditionalFormatting>
  <conditionalFormatting sqref="AI100:AJ100">
    <cfRule type="cellIs" dxfId="121" priority="29" operator="greaterThan">
      <formula>0</formula>
    </cfRule>
  </conditionalFormatting>
  <conditionalFormatting sqref="AJ11:AJ21">
    <cfRule type="colorScale" priority="291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AJ43:AJ53">
    <cfRule type="colorScale" priority="168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AJ75:AJ85">
    <cfRule type="colorScale" priority="45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AN11:AN21">
    <cfRule type="colorScale" priority="292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290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AN43:AN53">
    <cfRule type="colorScale" priority="166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167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AN75:AN85">
    <cfRule type="colorScale" priority="44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43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AR25">
    <cfRule type="cellIs" dxfId="120" priority="255" operator="greaterThan">
      <formula>0</formula>
    </cfRule>
  </conditionalFormatting>
  <conditionalFormatting sqref="AR30:AR32">
    <cfRule type="cellIs" dxfId="119" priority="266" operator="greaterThan">
      <formula>0</formula>
    </cfRule>
  </conditionalFormatting>
  <conditionalFormatting sqref="AR33">
    <cfRule type="cellIs" dxfId="118" priority="265" operator="greaterThan">
      <formula>0</formula>
    </cfRule>
  </conditionalFormatting>
  <conditionalFormatting sqref="AR57">
    <cfRule type="cellIs" dxfId="112" priority="130" operator="greaterThan">
      <formula>0</formula>
    </cfRule>
  </conditionalFormatting>
  <conditionalFormatting sqref="AR62:AR64">
    <cfRule type="cellIs" dxfId="111" priority="141" operator="greaterThan">
      <formula>0</formula>
    </cfRule>
  </conditionalFormatting>
  <conditionalFormatting sqref="AR65">
    <cfRule type="cellIs" dxfId="110" priority="140" operator="greaterThan">
      <formula>0</formula>
    </cfRule>
  </conditionalFormatting>
  <conditionalFormatting sqref="AR89">
    <cfRule type="cellIs" dxfId="104" priority="7" operator="greaterThan">
      <formula>0</formula>
    </cfRule>
  </conditionalFormatting>
  <conditionalFormatting sqref="AR94:AR96">
    <cfRule type="cellIs" dxfId="103" priority="18" operator="greaterThan">
      <formula>0</formula>
    </cfRule>
  </conditionalFormatting>
  <conditionalFormatting sqref="AR97">
    <cfRule type="cellIs" dxfId="102" priority="17" operator="greaterThan">
      <formula>0</formula>
    </cfRule>
  </conditionalFormatting>
  <conditionalFormatting sqref="AR23:AT23">
    <cfRule type="colorScale" priority="231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AR27:AT27">
    <cfRule type="cellIs" dxfId="96" priority="268" operator="greaterThan">
      <formula>"&lt;1"</formula>
    </cfRule>
  </conditionalFormatting>
  <conditionalFormatting sqref="AR55:AT55">
    <cfRule type="colorScale" priority="129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AR59:AT59">
    <cfRule type="cellIs" dxfId="95" priority="143" operator="greaterThan">
      <formula>"&lt;1"</formula>
    </cfRule>
  </conditionalFormatting>
  <conditionalFormatting sqref="AR87:AT87">
    <cfRule type="colorScale" priority="6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AR91:AT91">
    <cfRule type="cellIs" dxfId="94" priority="20" operator="greaterThan">
      <formula>"&lt;1"</formula>
    </cfRule>
  </conditionalFormatting>
  <conditionalFormatting sqref="AS24:AT24">
    <cfRule type="cellIs" dxfId="93" priority="270" operator="greaterThan">
      <formula>0</formula>
    </cfRule>
  </conditionalFormatting>
  <conditionalFormatting sqref="AS26:AT26">
    <cfRule type="cellIs" dxfId="92" priority="256" operator="greaterThan">
      <formula>"&gt;1"</formula>
    </cfRule>
  </conditionalFormatting>
  <conditionalFormatting sqref="AS28:AT29">
    <cfRule type="cellIs" dxfId="91" priority="267" operator="greaterThan">
      <formula>0</formula>
    </cfRule>
  </conditionalFormatting>
  <conditionalFormatting sqref="AS34:AT34">
    <cfRule type="cellIs" dxfId="90" priority="264" operator="greaterThan">
      <formula>"&gt;1"</formula>
    </cfRule>
  </conditionalFormatting>
  <conditionalFormatting sqref="AS35:AT35">
    <cfRule type="cellIs" dxfId="89" priority="263" operator="greaterThan">
      <formula>0</formula>
    </cfRule>
  </conditionalFormatting>
  <conditionalFormatting sqref="AS36:AT36">
    <cfRule type="cellIs" dxfId="88" priority="257" operator="greaterThan">
      <formula>0</formula>
    </cfRule>
  </conditionalFormatting>
  <conditionalFormatting sqref="AS37:AT37">
    <cfRule type="cellIs" dxfId="87" priority="252" operator="greaterThan">
      <formula>0</formula>
    </cfRule>
  </conditionalFormatting>
  <conditionalFormatting sqref="AS56:AT56">
    <cfRule type="cellIs" dxfId="86" priority="145" operator="greaterThan">
      <formula>0</formula>
    </cfRule>
  </conditionalFormatting>
  <conditionalFormatting sqref="AS58:AT58">
    <cfRule type="cellIs" dxfId="85" priority="131" operator="greaterThan">
      <formula>"&gt;1"</formula>
    </cfRule>
  </conditionalFormatting>
  <conditionalFormatting sqref="AS60:AT61">
    <cfRule type="cellIs" dxfId="84" priority="142" operator="greaterThan">
      <formula>0</formula>
    </cfRule>
  </conditionalFormatting>
  <conditionalFormatting sqref="AS66:AT66">
    <cfRule type="cellIs" dxfId="83" priority="139" operator="greaterThan">
      <formula>"&gt;1"</formula>
    </cfRule>
  </conditionalFormatting>
  <conditionalFormatting sqref="AS67:AT67">
    <cfRule type="cellIs" dxfId="82" priority="138" operator="greaterThan">
      <formula>0</formula>
    </cfRule>
  </conditionalFormatting>
  <conditionalFormatting sqref="AS68:AT68">
    <cfRule type="cellIs" dxfId="81" priority="132" operator="greaterThan">
      <formula>0</formula>
    </cfRule>
  </conditionalFormatting>
  <conditionalFormatting sqref="AS69:AT69">
    <cfRule type="cellIs" dxfId="80" priority="128" operator="greaterThan">
      <formula>0</formula>
    </cfRule>
  </conditionalFormatting>
  <conditionalFormatting sqref="AS88:AT88">
    <cfRule type="cellIs" dxfId="79" priority="22" operator="greaterThan">
      <formula>0</formula>
    </cfRule>
  </conditionalFormatting>
  <conditionalFormatting sqref="AS90:AT90">
    <cfRule type="cellIs" dxfId="78" priority="8" operator="greaterThan">
      <formula>"&gt;1"</formula>
    </cfRule>
  </conditionalFormatting>
  <conditionalFormatting sqref="AS92:AT93">
    <cfRule type="cellIs" dxfId="77" priority="19" operator="greaterThan">
      <formula>0</formula>
    </cfRule>
  </conditionalFormatting>
  <conditionalFormatting sqref="AS98:AT98">
    <cfRule type="cellIs" dxfId="76" priority="16" operator="greaterThan">
      <formula>"&gt;1"</formula>
    </cfRule>
  </conditionalFormatting>
  <conditionalFormatting sqref="AS99:AT99">
    <cfRule type="cellIs" dxfId="75" priority="15" operator="greaterThan">
      <formula>0</formula>
    </cfRule>
  </conditionalFormatting>
  <conditionalFormatting sqref="AS100:AT100">
    <cfRule type="cellIs" dxfId="74" priority="9" operator="greaterThan">
      <formula>0</formula>
    </cfRule>
  </conditionalFormatting>
  <conditionalFormatting sqref="AS101:AT101">
    <cfRule type="cellIs" dxfId="73" priority="5" operator="greaterThan">
      <formula>0</formula>
    </cfRule>
  </conditionalFormatting>
  <conditionalFormatting sqref="AT11:AT21">
    <cfRule type="colorScale" priority="272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AT43:AT53">
    <cfRule type="colorScale" priority="148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AT75:AT85">
    <cfRule type="colorScale" priority="25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AX11:AX21">
    <cfRule type="colorScale" priority="273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271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AX43:AX53">
    <cfRule type="colorScale" priority="146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147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AX75:AX85">
    <cfRule type="colorScale" priority="23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24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BB25">
    <cfRule type="cellIs" dxfId="72" priority="233" operator="greaterThan">
      <formula>0</formula>
    </cfRule>
  </conditionalFormatting>
  <conditionalFormatting sqref="BB30:BB32">
    <cfRule type="cellIs" dxfId="71" priority="244" operator="greaterThan">
      <formula>0</formula>
    </cfRule>
  </conditionalFormatting>
  <conditionalFormatting sqref="BB33">
    <cfRule type="cellIs" dxfId="70" priority="243" operator="greaterThan">
      <formula>0</formula>
    </cfRule>
  </conditionalFormatting>
  <conditionalFormatting sqref="BB57">
    <cfRule type="cellIs" dxfId="64" priority="109" operator="greaterThan">
      <formula>0</formula>
    </cfRule>
  </conditionalFormatting>
  <conditionalFormatting sqref="BB62:BB64">
    <cfRule type="cellIs" dxfId="63" priority="120" operator="greaterThan">
      <formula>0</formula>
    </cfRule>
  </conditionalFormatting>
  <conditionalFormatting sqref="BB65">
    <cfRule type="cellIs" dxfId="62" priority="119" operator="greaterThan">
      <formula>0</formula>
    </cfRule>
  </conditionalFormatting>
  <conditionalFormatting sqref="BB23:BD23">
    <cfRule type="colorScale" priority="230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BB27:BD27">
    <cfRule type="cellIs" dxfId="56" priority="246" operator="greaterThan">
      <formula>"&lt;1"</formula>
    </cfRule>
  </conditionalFormatting>
  <conditionalFormatting sqref="BB55:BD55">
    <cfRule type="colorScale" priority="108">
      <colorScale>
        <cfvo type="num" val="5000000"/>
        <cfvo type="num" val="15000000"/>
        <cfvo type="num" val="30000000"/>
        <color theme="8" tint="0.59999389629810485"/>
        <color rgb="FFFFEB84"/>
        <color theme="5" tint="-0.249977111117893"/>
      </colorScale>
    </cfRule>
  </conditionalFormatting>
  <conditionalFormatting sqref="BB59:BD59">
    <cfRule type="cellIs" dxfId="55" priority="122" operator="greaterThan">
      <formula>"&lt;1"</formula>
    </cfRule>
  </conditionalFormatting>
  <conditionalFormatting sqref="BC24:BD24">
    <cfRule type="cellIs" dxfId="54" priority="248" operator="greaterThan">
      <formula>0</formula>
    </cfRule>
  </conditionalFormatting>
  <conditionalFormatting sqref="BC26:BD26">
    <cfRule type="cellIs" dxfId="53" priority="234" operator="greaterThan">
      <formula>"&gt;1"</formula>
    </cfRule>
  </conditionalFormatting>
  <conditionalFormatting sqref="BC28:BD29">
    <cfRule type="cellIs" dxfId="52" priority="245" operator="greaterThan">
      <formula>0</formula>
    </cfRule>
  </conditionalFormatting>
  <conditionalFormatting sqref="BC34:BD34">
    <cfRule type="cellIs" dxfId="51" priority="242" operator="greaterThan">
      <formula>"&gt;1"</formula>
    </cfRule>
  </conditionalFormatting>
  <conditionalFormatting sqref="BC35:BD35">
    <cfRule type="cellIs" dxfId="50" priority="241" operator="greaterThan">
      <formula>0</formula>
    </cfRule>
  </conditionalFormatting>
  <conditionalFormatting sqref="BC36:BD36">
    <cfRule type="cellIs" dxfId="49" priority="235" operator="greaterThan">
      <formula>0</formula>
    </cfRule>
  </conditionalFormatting>
  <conditionalFormatting sqref="BC56:BD56">
    <cfRule type="cellIs" dxfId="48" priority="124" operator="greaterThan">
      <formula>0</formula>
    </cfRule>
  </conditionalFormatting>
  <conditionalFormatting sqref="BC58:BD58">
    <cfRule type="cellIs" dxfId="47" priority="110" operator="greaterThan">
      <formula>"&gt;1"</formula>
    </cfRule>
  </conditionalFormatting>
  <conditionalFormatting sqref="BC60:BD61">
    <cfRule type="cellIs" dxfId="46" priority="121" operator="greaterThan">
      <formula>0</formula>
    </cfRule>
  </conditionalFormatting>
  <conditionalFormatting sqref="BC66:BD66">
    <cfRule type="cellIs" dxfId="45" priority="118" operator="greaterThan">
      <formula>"&gt;1"</formula>
    </cfRule>
  </conditionalFormatting>
  <conditionalFormatting sqref="BC67:BD67">
    <cfRule type="cellIs" dxfId="44" priority="117" operator="greaterThan">
      <formula>0</formula>
    </cfRule>
  </conditionalFormatting>
  <conditionalFormatting sqref="BC68:BD68">
    <cfRule type="cellIs" dxfId="43" priority="111" operator="greaterThan">
      <formula>0</formula>
    </cfRule>
  </conditionalFormatting>
  <conditionalFormatting sqref="BD11:BD21">
    <cfRule type="colorScale" priority="250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BD37">
    <cfRule type="cellIs" dxfId="42" priority="232" operator="greaterThan">
      <formula>0</formula>
    </cfRule>
  </conditionalFormatting>
  <conditionalFormatting sqref="BD43:BD53">
    <cfRule type="colorScale" priority="127">
      <colorScale>
        <cfvo type="num" val="0"/>
        <cfvo type="num" val="90"/>
        <cfvo type="num" val="99"/>
        <color rgb="FF70AD47"/>
        <color rgb="FFA9D18E"/>
        <color rgb="FFC00000"/>
      </colorScale>
    </cfRule>
  </conditionalFormatting>
  <conditionalFormatting sqref="BH11:BH21">
    <cfRule type="colorScale" priority="251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249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conditionalFormatting sqref="BH43:BH53">
    <cfRule type="colorScale" priority="125">
      <colorScale>
        <cfvo type="num" val="0"/>
        <cfvo type="num" val="90"/>
        <cfvo type="num" val="99"/>
        <color rgb="FF70AD47"/>
        <color rgb="FFC5E0B4"/>
        <color rgb="FFC00000"/>
      </colorScale>
    </cfRule>
    <cfRule type="colorScale" priority="126">
      <colorScale>
        <cfvo type="num" val="0"/>
        <cfvo type="num" val="90"/>
        <cfvo type="num" val="99"/>
        <color rgb="FF70AD47"/>
        <color rgb="FFC5E0B4"/>
        <color rgb="FFC00000"/>
      </colorScale>
    </cfRule>
  </conditionalFormatting>
  <dataValidations count="7">
    <dataValidation type="list" allowBlank="1" showInputMessage="1" showErrorMessage="1" sqref="G9 Q9 AA9 AK9 AU9 BE9 G41 Q41 AA41 AK41 AU41 BE41 G73 Q73 AA73 AK73 AU73" xr:uid="{0A9840DD-3F55-4560-AAA4-B4EFE69BE392}">
      <formula1>calculadora.xlsx!Yesno</formula1>
      <formula2>0</formula2>
    </dataValidation>
    <dataValidation type="list" allowBlank="1" showInputMessage="1" showErrorMessage="1" sqref="C11:C21" xr:uid="{E36EF421-916E-4287-BF1A-C3EB9D134D5D}">
      <formula1>"1,2,3,4,5,6,7,8,9"</formula1>
    </dataValidation>
    <dataValidation type="list" allowBlank="1" showInputMessage="1" showErrorMessage="1" sqref="D24 N24 X24 AH24 AR24 BB24 D56 N56 X56 AH56 AR56 BB56 D88 N88 X88 AH88 AR88" xr:uid="{C02835C6-3603-4111-B57A-4C89A6710F8A}">
      <formula1>"Não,Q1/Q2,1,2,3,4,5,6,7,8,"</formula1>
    </dataValidation>
    <dataValidation type="list" allowBlank="1" showInputMessage="1" showErrorMessage="1" sqref="D26 N26 X26 AH26 AR26 BB26 D58 N58 X58 AH58 AR58 BB58 D90 N90 X90 AH90 AR90" xr:uid="{C1F4A67A-C54F-41B3-BB7D-325BF6EA95E8}">
      <formula1>"Com D.T.,Sem D.T."</formula1>
    </dataValidation>
    <dataValidation type="list" allowBlank="1" showInputMessage="1" showErrorMessage="1" sqref="D34 N34 X34 AH34 AR34 BB34 D66 N66 X66 AH66 AR66 BB66 D98 N98 X98 AH98 AR98" xr:uid="{3CC84999-A8D3-4834-B699-9C1263458491}">
      <formula1>Yesno</formula1>
      <formula2>0</formula2>
    </dataValidation>
    <dataValidation type="list" allowBlank="1" showInputMessage="1" showErrorMessage="1" sqref="D37 X37 AH37 BB37 D69 X69 AH69 BB69 D101 X101 AH101" xr:uid="{32A1AA26-6145-40AF-8EB0-D237DB12347F}">
      <formula1>"Não Disponível"</formula1>
    </dataValidation>
    <dataValidation type="whole" errorStyle="information" allowBlank="1" showInputMessage="1" showErrorMessage="1" errorTitle="Risco Maximo Exedido." error="Vc só pode usar ate 100 de CT." sqref="AI9" xr:uid="{F0E44EB6-0796-48C6-A5DC-BCE8F2663A73}">
      <formula1>0</formula1>
      <formula2>100</formula2>
    </dataValidation>
  </dataValidations>
  <pageMargins left="0.511811024" right="0.511811024" top="0.78740157499999996" bottom="0.78740157499999996" header="0.31496062000000002" footer="0.31496062000000002"/>
  <pageSetup paperSize="9" orientation="portrait" horizontalDpi="1200" verticalDpi="1200" r:id="rId1"/>
  <ignoredErrors>
    <ignoredError sqref="M11 M12:M21 W11:W21 AG11:AG21 AQ11:AQ21 BA11:BA21" unlockedFormula="1"/>
    <ignoredError sqref="N13 X13 AH13 AR13 BB13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57" r:id="rId4" name="Button 21">
              <controlPr defaultSize="0" print="0" autoFill="0" autoPict="0" macro="[0]!Corrida2limparpeças">
                <anchor moveWithCells="1" sizeWithCells="1">
                  <from>
                    <xdr:col>16</xdr:col>
                    <xdr:colOff>30480</xdr:colOff>
                    <xdr:row>21</xdr:row>
                    <xdr:rowOff>30480</xdr:rowOff>
                  </from>
                  <to>
                    <xdr:col>17</xdr:col>
                    <xdr:colOff>7620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1" r:id="rId5" name="Button 25">
              <controlPr defaultSize="0" print="0" autoFill="0" autoPict="0" macro="[0]!corrida3limparpeças">
                <anchor moveWithCells="1" sizeWithCells="1">
                  <from>
                    <xdr:col>26</xdr:col>
                    <xdr:colOff>30480</xdr:colOff>
                    <xdr:row>21</xdr:row>
                    <xdr:rowOff>30480</xdr:rowOff>
                  </from>
                  <to>
                    <xdr:col>27</xdr:col>
                    <xdr:colOff>38100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2" r:id="rId6" name="Button 26">
              <controlPr defaultSize="0" print="0" autoFill="0" autoPict="0" macro="[0]!corrida4limparpeças">
                <anchor moveWithCells="1" sizeWithCells="1">
                  <from>
                    <xdr:col>36</xdr:col>
                    <xdr:colOff>30480</xdr:colOff>
                    <xdr:row>21</xdr:row>
                    <xdr:rowOff>30480</xdr:rowOff>
                  </from>
                  <to>
                    <xdr:col>38</xdr:col>
                    <xdr:colOff>38100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3" r:id="rId7" name="Button 27">
              <controlPr defaultSize="0" print="0" autoFill="0" autoPict="0" macro="[0]!corrida5limparpeças">
                <anchor moveWithCells="1" sizeWithCells="1">
                  <from>
                    <xdr:col>46</xdr:col>
                    <xdr:colOff>30480</xdr:colOff>
                    <xdr:row>21</xdr:row>
                    <xdr:rowOff>30480</xdr:rowOff>
                  </from>
                  <to>
                    <xdr:col>48</xdr:col>
                    <xdr:colOff>38100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4" r:id="rId8" name="Button 28">
              <controlPr defaultSize="0" print="0" autoFill="0" autoPict="0" macro="[0]!corrida6limparpeças">
                <anchor moveWithCells="1" sizeWithCells="1">
                  <from>
                    <xdr:col>56</xdr:col>
                    <xdr:colOff>30480</xdr:colOff>
                    <xdr:row>21</xdr:row>
                    <xdr:rowOff>30480</xdr:rowOff>
                  </from>
                  <to>
                    <xdr:col>58</xdr:col>
                    <xdr:colOff>7620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5" r:id="rId9" name="Button 29">
              <controlPr defaultSize="0" print="0" autoFill="0" autoPict="0" macro="[0]!corrida7limparpeças">
                <anchor moveWithCells="1" sizeWithCells="1">
                  <from>
                    <xdr:col>6</xdr:col>
                    <xdr:colOff>30480</xdr:colOff>
                    <xdr:row>53</xdr:row>
                    <xdr:rowOff>30480</xdr:rowOff>
                  </from>
                  <to>
                    <xdr:col>7</xdr:col>
                    <xdr:colOff>30480</xdr:colOff>
                    <xdr:row>54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6" r:id="rId10" name="Button 30">
              <controlPr defaultSize="0" print="0" autoFill="0" autoPict="0" macro="[0]!corrida8limparpeças">
                <anchor moveWithCells="1" sizeWithCells="1">
                  <from>
                    <xdr:col>16</xdr:col>
                    <xdr:colOff>30480</xdr:colOff>
                    <xdr:row>53</xdr:row>
                    <xdr:rowOff>30480</xdr:rowOff>
                  </from>
                  <to>
                    <xdr:col>17</xdr:col>
                    <xdr:colOff>7620</xdr:colOff>
                    <xdr:row>54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7" r:id="rId11" name="Button 31">
              <controlPr defaultSize="0" print="0" autoFill="0" autoPict="0" macro="[0]!corrida9limparpeças">
                <anchor moveWithCells="1" sizeWithCells="1">
                  <from>
                    <xdr:col>26</xdr:col>
                    <xdr:colOff>30480</xdr:colOff>
                    <xdr:row>53</xdr:row>
                    <xdr:rowOff>30480</xdr:rowOff>
                  </from>
                  <to>
                    <xdr:col>27</xdr:col>
                    <xdr:colOff>38100</xdr:colOff>
                    <xdr:row>54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8" r:id="rId12" name="Button 32">
              <controlPr defaultSize="0" print="0" autoFill="0" autoPict="0" macro="[0]!corrida10limparpeças">
                <anchor moveWithCells="1" sizeWithCells="1">
                  <from>
                    <xdr:col>36</xdr:col>
                    <xdr:colOff>30480</xdr:colOff>
                    <xdr:row>53</xdr:row>
                    <xdr:rowOff>30480</xdr:rowOff>
                  </from>
                  <to>
                    <xdr:col>38</xdr:col>
                    <xdr:colOff>38100</xdr:colOff>
                    <xdr:row>54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9" r:id="rId13" name="Button 33">
              <controlPr defaultSize="0" print="0" autoFill="0" autoPict="0" macro="[0]!corrida11limparpeças">
                <anchor moveWithCells="1" sizeWithCells="1">
                  <from>
                    <xdr:col>46</xdr:col>
                    <xdr:colOff>30480</xdr:colOff>
                    <xdr:row>53</xdr:row>
                    <xdr:rowOff>30480</xdr:rowOff>
                  </from>
                  <to>
                    <xdr:col>48</xdr:col>
                    <xdr:colOff>38100</xdr:colOff>
                    <xdr:row>54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0" r:id="rId14" name="Button 34">
              <controlPr defaultSize="0" print="0" autoFill="0" autoPict="0" macro="[0]!corrida12limparpeças">
                <anchor moveWithCells="1" sizeWithCells="1">
                  <from>
                    <xdr:col>56</xdr:col>
                    <xdr:colOff>30480</xdr:colOff>
                    <xdr:row>53</xdr:row>
                    <xdr:rowOff>30480</xdr:rowOff>
                  </from>
                  <to>
                    <xdr:col>58</xdr:col>
                    <xdr:colOff>7620</xdr:colOff>
                    <xdr:row>54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4" r:id="rId15" name="Button 38">
              <controlPr defaultSize="0" print="0" autoFill="0" autoPict="0" macro="[0]!corrida13limparpeças">
                <anchor moveWithCells="1" sizeWithCells="1">
                  <from>
                    <xdr:col>6</xdr:col>
                    <xdr:colOff>30480</xdr:colOff>
                    <xdr:row>85</xdr:row>
                    <xdr:rowOff>30480</xdr:rowOff>
                  </from>
                  <to>
                    <xdr:col>7</xdr:col>
                    <xdr:colOff>30480</xdr:colOff>
                    <xdr:row>86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5" r:id="rId16" name="Button 39">
              <controlPr defaultSize="0" print="0" autoFill="0" autoPict="0" macro="[0]!corrida14limparpeças">
                <anchor moveWithCells="1" sizeWithCells="1">
                  <from>
                    <xdr:col>16</xdr:col>
                    <xdr:colOff>30480</xdr:colOff>
                    <xdr:row>85</xdr:row>
                    <xdr:rowOff>30480</xdr:rowOff>
                  </from>
                  <to>
                    <xdr:col>17</xdr:col>
                    <xdr:colOff>7620</xdr:colOff>
                    <xdr:row>86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6" r:id="rId17" name="Button 40">
              <controlPr defaultSize="0" print="0" autoFill="0" autoPict="0" macro="[0]!corrida15limparpeças">
                <anchor moveWithCells="1" sizeWithCells="1">
                  <from>
                    <xdr:col>26</xdr:col>
                    <xdr:colOff>30480</xdr:colOff>
                    <xdr:row>85</xdr:row>
                    <xdr:rowOff>30480</xdr:rowOff>
                  </from>
                  <to>
                    <xdr:col>27</xdr:col>
                    <xdr:colOff>38100</xdr:colOff>
                    <xdr:row>86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7" r:id="rId18" name="Button 41">
              <controlPr defaultSize="0" print="0" autoFill="0" autoPict="0" macro="[0]!corrida16limparpeças">
                <anchor moveWithCells="1" sizeWithCells="1">
                  <from>
                    <xdr:col>36</xdr:col>
                    <xdr:colOff>30480</xdr:colOff>
                    <xdr:row>85</xdr:row>
                    <xdr:rowOff>30480</xdr:rowOff>
                  </from>
                  <to>
                    <xdr:col>38</xdr:col>
                    <xdr:colOff>38100</xdr:colOff>
                    <xdr:row>86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8" r:id="rId19" name="Button 42">
              <controlPr defaultSize="0" print="0" autoFill="0" autoPict="0" macro="[0]!corrida17limparpeças">
                <anchor moveWithCells="1" sizeWithCells="1">
                  <from>
                    <xdr:col>46</xdr:col>
                    <xdr:colOff>30480</xdr:colOff>
                    <xdr:row>85</xdr:row>
                    <xdr:rowOff>30480</xdr:rowOff>
                  </from>
                  <to>
                    <xdr:col>48</xdr:col>
                    <xdr:colOff>38100</xdr:colOff>
                    <xdr:row>86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0" r:id="rId20" name="Button 44">
              <controlPr defaultSize="0" print="0" autoFill="0" autoPict="0" macro="[0]!finanças1" altText="REFAZER">
                <anchor moveWithCells="1" sizeWithCells="1">
                  <from>
                    <xdr:col>6</xdr:col>
                    <xdr:colOff>190500</xdr:colOff>
                    <xdr:row>24</xdr:row>
                    <xdr:rowOff>182880</xdr:rowOff>
                  </from>
                  <to>
                    <xdr:col>9</xdr:col>
                    <xdr:colOff>304800</xdr:colOff>
                    <xdr:row>26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5" r:id="rId21" name="Button 49">
              <controlPr defaultSize="0" print="0" autoFill="0" autoPict="0" macro="[0]!refazercorrida2">
                <anchor moveWithCells="1" sizeWithCells="1">
                  <from>
                    <xdr:col>16</xdr:col>
                    <xdr:colOff>182880</xdr:colOff>
                    <xdr:row>24</xdr:row>
                    <xdr:rowOff>144780</xdr:rowOff>
                  </from>
                  <to>
                    <xdr:col>19</xdr:col>
                    <xdr:colOff>259080</xdr:colOff>
                    <xdr:row>26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6" r:id="rId22" name="Button 50">
              <controlPr defaultSize="0" print="0" autoFill="0" autoPict="0" macro="[0]!refazercorrida3">
                <anchor moveWithCells="1" sizeWithCells="1">
                  <from>
                    <xdr:col>26</xdr:col>
                    <xdr:colOff>144780</xdr:colOff>
                    <xdr:row>24</xdr:row>
                    <xdr:rowOff>144780</xdr:rowOff>
                  </from>
                  <to>
                    <xdr:col>29</xdr:col>
                    <xdr:colOff>297180</xdr:colOff>
                    <xdr:row>26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8" r:id="rId23" name="Button 52">
              <controlPr defaultSize="0" print="0" autoFill="0" autoPict="0" macro="[0]!refazercorrida4">
                <anchor moveWithCells="1" sizeWithCells="1">
                  <from>
                    <xdr:col>36</xdr:col>
                    <xdr:colOff>106680</xdr:colOff>
                    <xdr:row>25</xdr:row>
                    <xdr:rowOff>30480</xdr:rowOff>
                  </from>
                  <to>
                    <xdr:col>39</xdr:col>
                    <xdr:colOff>220980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9" r:id="rId24" name="Button 53">
              <controlPr defaultSize="0" print="0" autoFill="0" autoPict="0" macro="[0]!refazercorrida5">
                <anchor moveWithCells="1" sizeWithCells="1">
                  <from>
                    <xdr:col>46</xdr:col>
                    <xdr:colOff>297180</xdr:colOff>
                    <xdr:row>25</xdr:row>
                    <xdr:rowOff>30480</xdr:rowOff>
                  </from>
                  <to>
                    <xdr:col>49</xdr:col>
                    <xdr:colOff>259080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0" r:id="rId25" name="Button 54">
              <controlPr defaultSize="0" print="0" autoFill="0" autoPict="0" macro="[0]!refazercorrida6">
                <anchor moveWithCells="1" sizeWithCells="1">
                  <from>
                    <xdr:col>56</xdr:col>
                    <xdr:colOff>297180</xdr:colOff>
                    <xdr:row>25</xdr:row>
                    <xdr:rowOff>7620</xdr:rowOff>
                  </from>
                  <to>
                    <xdr:col>59</xdr:col>
                    <xdr:colOff>220980</xdr:colOff>
                    <xdr:row>26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3" r:id="rId26" name="Button 57">
              <controlPr defaultSize="0" print="0" autoFill="0" autoPict="0" macro="[0]!refazercorrida7">
                <anchor moveWithCells="1" sizeWithCells="1">
                  <from>
                    <xdr:col>6</xdr:col>
                    <xdr:colOff>198120</xdr:colOff>
                    <xdr:row>56</xdr:row>
                    <xdr:rowOff>152400</xdr:rowOff>
                  </from>
                  <to>
                    <xdr:col>9</xdr:col>
                    <xdr:colOff>312420</xdr:colOff>
                    <xdr:row>58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4" r:id="rId27" name="Button 58">
              <controlPr defaultSize="0" print="0" autoFill="0" autoPict="0" macro="[0]!refazercorrida8">
                <anchor moveWithCells="1" sizeWithCells="1">
                  <from>
                    <xdr:col>16</xdr:col>
                    <xdr:colOff>190500</xdr:colOff>
                    <xdr:row>56</xdr:row>
                    <xdr:rowOff>182880</xdr:rowOff>
                  </from>
                  <to>
                    <xdr:col>19</xdr:col>
                    <xdr:colOff>274320</xdr:colOff>
                    <xdr:row>58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5" r:id="rId28" name="Button 59">
              <controlPr defaultSize="0" print="0" autoFill="0" autoPict="0" macro="[0]!refazercorrida9">
                <anchor moveWithCells="1" sizeWithCells="1">
                  <from>
                    <xdr:col>26</xdr:col>
                    <xdr:colOff>190500</xdr:colOff>
                    <xdr:row>56</xdr:row>
                    <xdr:rowOff>182880</xdr:rowOff>
                  </from>
                  <to>
                    <xdr:col>29</xdr:col>
                    <xdr:colOff>335280</xdr:colOff>
                    <xdr:row>58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6" r:id="rId29" name="Button 60">
              <controlPr defaultSize="0" print="0" autoFill="0" autoPict="0" macro="[0]!refazercorrida10">
                <anchor moveWithCells="1" sizeWithCells="1">
                  <from>
                    <xdr:col>36</xdr:col>
                    <xdr:colOff>190500</xdr:colOff>
                    <xdr:row>56</xdr:row>
                    <xdr:rowOff>182880</xdr:rowOff>
                  </from>
                  <to>
                    <xdr:col>39</xdr:col>
                    <xdr:colOff>312420</xdr:colOff>
                    <xdr:row>58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7" r:id="rId30" name="Button 61">
              <controlPr defaultSize="0" print="0" autoFill="0" autoPict="0" macro="[0]!refazercorrida11">
                <anchor moveWithCells="1" sizeWithCells="1">
                  <from>
                    <xdr:col>46</xdr:col>
                    <xdr:colOff>190500</xdr:colOff>
                    <xdr:row>56</xdr:row>
                    <xdr:rowOff>182880</xdr:rowOff>
                  </from>
                  <to>
                    <xdr:col>49</xdr:col>
                    <xdr:colOff>304800</xdr:colOff>
                    <xdr:row>58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8" r:id="rId31" name="Button 62">
              <controlPr defaultSize="0" print="0" autoFill="0" autoPict="0" macro="[0]!refazercorrida12">
                <anchor moveWithCells="1" sizeWithCells="1">
                  <from>
                    <xdr:col>56</xdr:col>
                    <xdr:colOff>190500</xdr:colOff>
                    <xdr:row>56</xdr:row>
                    <xdr:rowOff>182880</xdr:rowOff>
                  </from>
                  <to>
                    <xdr:col>59</xdr:col>
                    <xdr:colOff>220980</xdr:colOff>
                    <xdr:row>58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1" r:id="rId32" name="Button 65">
              <controlPr defaultSize="0" print="0" autoFill="0" autoPict="0" macro="[0]!refazercorrida13">
                <anchor moveWithCells="1" sizeWithCells="1">
                  <from>
                    <xdr:col>6</xdr:col>
                    <xdr:colOff>198120</xdr:colOff>
                    <xdr:row>88</xdr:row>
                    <xdr:rowOff>152400</xdr:rowOff>
                  </from>
                  <to>
                    <xdr:col>9</xdr:col>
                    <xdr:colOff>312420</xdr:colOff>
                    <xdr:row>90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2" r:id="rId33" name="Button 66">
              <controlPr defaultSize="0" print="0" autoFill="0" autoPict="0" macro="[0]!refazercorrida14">
                <anchor moveWithCells="1" sizeWithCells="1">
                  <from>
                    <xdr:col>16</xdr:col>
                    <xdr:colOff>198120</xdr:colOff>
                    <xdr:row>88</xdr:row>
                    <xdr:rowOff>152400</xdr:rowOff>
                  </from>
                  <to>
                    <xdr:col>19</xdr:col>
                    <xdr:colOff>297180</xdr:colOff>
                    <xdr:row>90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3" r:id="rId34" name="Button 67">
              <controlPr defaultSize="0" print="0" autoFill="0" autoPict="0" macro="[0]!refazercorrida15">
                <anchor moveWithCells="1" sizeWithCells="1">
                  <from>
                    <xdr:col>26</xdr:col>
                    <xdr:colOff>198120</xdr:colOff>
                    <xdr:row>88</xdr:row>
                    <xdr:rowOff>152400</xdr:rowOff>
                  </from>
                  <to>
                    <xdr:col>29</xdr:col>
                    <xdr:colOff>342900</xdr:colOff>
                    <xdr:row>90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4" r:id="rId35" name="Button 68">
              <controlPr defaultSize="0" print="0" autoFill="0" autoPict="0" macro="[0]!refazercorrida16">
                <anchor moveWithCells="1" sizeWithCells="1">
                  <from>
                    <xdr:col>36</xdr:col>
                    <xdr:colOff>198120</xdr:colOff>
                    <xdr:row>88</xdr:row>
                    <xdr:rowOff>152400</xdr:rowOff>
                  </from>
                  <to>
                    <xdr:col>39</xdr:col>
                    <xdr:colOff>335280</xdr:colOff>
                    <xdr:row>90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5" r:id="rId36" name="Button 69">
              <controlPr defaultSize="0" print="0" autoFill="0" autoPict="0" macro="[0]!refazercorrida17">
                <anchor moveWithCells="1" sizeWithCells="1">
                  <from>
                    <xdr:col>46</xdr:col>
                    <xdr:colOff>198120</xdr:colOff>
                    <xdr:row>88</xdr:row>
                    <xdr:rowOff>152400</xdr:rowOff>
                  </from>
                  <to>
                    <xdr:col>49</xdr:col>
                    <xdr:colOff>312420</xdr:colOff>
                    <xdr:row>90</xdr:row>
                    <xdr:rowOff>144780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58" operator="between" id="{60DFC927-3B75-444C-8718-B59E4524CA8D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357" operator="between" id="{EFCC94AF-91FD-4FA1-91F4-19DD8E2E4F1E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356" operator="between" id="{D14FB27B-AA20-46DD-8A00-F60EB64C3496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360" operator="between" id="{3C2738DB-A832-41E2-AF4D-14E33BAE25F9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359" operator="between" id="{AEA57D4F-C9E6-46E8-9DCB-37F74643C49B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m:sqref>D36</xm:sqref>
        </x14:conditionalFormatting>
        <x14:conditionalFormatting xmlns:xm="http://schemas.microsoft.com/office/excel/2006/main">
          <x14:cfRule type="cellIs" priority="215" operator="between" id="{C7779B9E-0828-4C6E-8964-EED26CCCBA34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214" operator="between" id="{1DC20FBF-217D-490C-95FF-4A444DD942A4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216" operator="between" id="{2A60FD6E-70E8-4B27-947A-4CA26742227B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217" operator="between" id="{46D676FC-9FC4-41EA-AC17-65D2226C2111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218" operator="between" id="{825397C1-4758-4844-91E5-0EE4DAB64A13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m:sqref>D68</xm:sqref>
        </x14:conditionalFormatting>
        <x14:conditionalFormatting xmlns:xm="http://schemas.microsoft.com/office/excel/2006/main">
          <x14:cfRule type="cellIs" priority="94" operator="between" id="{938BA5A5-7219-4745-AC38-644D9DFF926F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93" operator="between" id="{A8863652-8D7B-4CE8-A9C1-49889F4CFF0A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92" operator="between" id="{C1BBC177-50BB-4386-BB37-CB2762325E8A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95" operator="between" id="{455E78C6-C55D-4592-B852-A811FC241686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96" operator="between" id="{FE06853B-51FE-4A98-9907-26A6E4191C0B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m:sqref>D100</xm:sqref>
        </x14:conditionalFormatting>
        <x14:conditionalFormatting xmlns:xm="http://schemas.microsoft.com/office/excel/2006/main">
          <x14:cfRule type="cellIs" priority="321" operator="between" id="{9C8BE404-54FB-439A-A11B-7BA977B33CD5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320" operator="between" id="{FD9B9C0A-CBF4-4FBD-902E-215F49B7D5D0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319" operator="between" id="{6E56DF99-37E0-4858-9EAF-E8D80C962205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318" operator="between" id="{3C104092-2D85-4A3C-90DD-AD6C8F2F5F6D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317" operator="between" id="{92DFB14C-462A-493C-922F-C79F2839FF39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ellIs" priority="198" operator="between" id="{F939F304-8DB9-4A19-85D7-1B5FB1516D3E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197" operator="between" id="{E58DBA05-102D-436E-B5F6-30D1B3105633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196" operator="between" id="{EFABEBAD-FFE2-4D44-98BA-72C922D98AFD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194" operator="between" id="{1C3C61AE-381A-423B-BE7A-E74325B797BD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195" operator="between" id="{A2509FAD-BD32-4DE1-BB3F-682324B36F1A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m:sqref>N68</xm:sqref>
        </x14:conditionalFormatting>
        <x14:conditionalFormatting xmlns:xm="http://schemas.microsoft.com/office/excel/2006/main">
          <x14:cfRule type="cellIs" priority="75" operator="between" id="{04C2F775-3344-4D4B-9708-CA7C4DAA102C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73" operator="between" id="{2ABD2B6E-79D0-497C-894E-2E2EC9FF897B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76" operator="between" id="{6B07A180-80E2-4568-A0A9-64950E8D9FA9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72" operator="between" id="{CC578CBD-ADEF-4E02-A3EB-5A50D00C706A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74" operator="between" id="{ABB7B269-E397-4F77-B3B6-AE2BFC9D4C7B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m:sqref>N100</xm:sqref>
        </x14:conditionalFormatting>
        <x14:conditionalFormatting xmlns:xm="http://schemas.microsoft.com/office/excel/2006/main">
          <x14:cfRule type="cellIs" priority="298" operator="between" id="{4535C9A3-06EF-41F8-8467-DD4EEEB5CFB5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299" operator="between" id="{95769281-EEA3-4443-82F3-3FD873E6EBEB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300" operator="between" id="{5A09B8CE-3B77-4EEA-ABBB-C4AD0485BDFE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301" operator="between" id="{9A23459A-1B14-4F3D-AAA5-F51564C2966F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302" operator="between" id="{FAC48FA4-8A11-40C3-BB42-B22468E5259F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m:sqref>X36</xm:sqref>
        </x14:conditionalFormatting>
        <x14:conditionalFormatting xmlns:xm="http://schemas.microsoft.com/office/excel/2006/main">
          <x14:cfRule type="cellIs" priority="176" operator="between" id="{6760401C-A5B3-4A88-9C21-A03925CAFA21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177" operator="between" id="{72E23929-7C61-469B-A115-F33EF45A6F75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173" operator="between" id="{8F720AF9-3EF4-4F0A-A146-FB84B2D5D910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175" operator="between" id="{F25D7F8E-4EC6-41E7-8CC0-DFA307C81FEF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174" operator="between" id="{FE34D008-E897-4031-BECE-3A8E3FF1BC9D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m:sqref>X68</xm:sqref>
        </x14:conditionalFormatting>
        <x14:conditionalFormatting xmlns:xm="http://schemas.microsoft.com/office/excel/2006/main">
          <x14:cfRule type="cellIs" priority="52" operator="between" id="{DD174D63-94BB-46DD-B34D-23563F8D3CA9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53" operator="between" id="{BE44FA4D-0EB7-43C6-A91A-3E53C2C9D6A4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54" operator="between" id="{A0FFDF4C-612A-435B-80FA-1E6A0277C219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55" operator="between" id="{8272E165-E7A4-4525-9242-7DF24FFCB60C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51" operator="between" id="{7D01FB66-1057-46E7-9999-DDB504E64247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m:sqref>X100</xm:sqref>
        </x14:conditionalFormatting>
        <x14:conditionalFormatting xmlns:xm="http://schemas.microsoft.com/office/excel/2006/main">
          <x14:cfRule type="cellIs" priority="279" operator="between" id="{0A42C72A-0B64-4985-94BC-8546D35A69B3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280" operator="between" id="{011F272D-2450-423A-931D-6C5DD88269F9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281" operator="between" id="{A1E963F6-103C-436B-B3E8-075A92021041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278" operator="between" id="{C493EF31-B0BB-4580-B58B-D5E6654A95E1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277" operator="between" id="{182127E8-9B5B-40A6-B348-11D024B46329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m:sqref>AH36</xm:sqref>
        </x14:conditionalFormatting>
        <x14:conditionalFormatting xmlns:xm="http://schemas.microsoft.com/office/excel/2006/main">
          <x14:cfRule type="cellIs" priority="153" operator="between" id="{5907CC9B-9D58-4386-B28E-3B559FB28065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156" operator="between" id="{03514F3D-3F27-49C6-9EB6-D1D24E81FD5E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155" operator="between" id="{3E5E76EE-284A-4A72-83F3-51F85998A946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154" operator="between" id="{3FF3BFA5-8575-4C38-B7FD-8441CEC3AC97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157" operator="between" id="{6AE0DA9F-8211-4AD1-95A7-1D56F7729F0A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m:sqref>AH68</xm:sqref>
        </x14:conditionalFormatting>
        <x14:conditionalFormatting xmlns:xm="http://schemas.microsoft.com/office/excel/2006/main">
          <x14:cfRule type="cellIs" priority="31" operator="between" id="{FCE8D15F-6F58-44FF-9B7E-300A691F4C21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32" operator="between" id="{3AC5B699-5692-484D-A25A-311A5B910D5D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33" operator="between" id="{EF103509-3290-4831-86A8-62B10C640D26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34" operator="between" id="{FF0D52F4-6C8E-4D33-A63B-DBCE50F958A9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30" operator="between" id="{155B40D7-DDAE-4284-965E-B4EDDF3648A7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m:sqref>AH100</xm:sqref>
        </x14:conditionalFormatting>
        <x14:conditionalFormatting xmlns:xm="http://schemas.microsoft.com/office/excel/2006/main">
          <x14:cfRule type="cellIs" priority="261" operator="between" id="{6A32DACB-54E4-4AC7-A19B-14C5DE13602B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260" operator="between" id="{0874E9BF-D51D-4480-A90D-677CB87EADC5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259" operator="between" id="{C91D0094-F8F6-4DC4-8B57-59EDCBC723D6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258" operator="between" id="{F84AFEA4-55CB-4699-9D22-3DB0D1B9930B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262" operator="between" id="{744F7BFC-8CB7-4731-8D50-707CDA344C6E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m:sqref>AR36</xm:sqref>
        </x14:conditionalFormatting>
        <x14:conditionalFormatting xmlns:xm="http://schemas.microsoft.com/office/excel/2006/main">
          <x14:cfRule type="cellIs" priority="133" operator="between" id="{C446A467-7FEF-450C-B6AD-D047D339FB80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137" operator="between" id="{F177694D-1AA4-4D0F-B1E6-ACE05D7F97C7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136" operator="between" id="{6FCCD683-93CD-474F-A999-B6B96EEFE0EE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134" operator="between" id="{C7064DCF-D621-4940-A84A-55387A4B0D44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135" operator="between" id="{D46C1A50-1462-43B0-9236-CA5BDC14371D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m:sqref>AR68</xm:sqref>
        </x14:conditionalFormatting>
        <x14:conditionalFormatting xmlns:xm="http://schemas.microsoft.com/office/excel/2006/main">
          <x14:cfRule type="cellIs" priority="13" operator="between" id="{0C99C8EE-41B4-4546-A931-53C2FD6205B4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12" operator="between" id="{D1E84EE6-F42F-4B8A-BB28-294878FCC1D5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11" operator="between" id="{BDC10D69-3574-4474-92B4-36A4CD1B4B88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10" operator="between" id="{DFFEF564-D576-4F90-B17F-DF5B77EF321E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14" operator="between" id="{A9EC46BC-BE8B-4E99-9BCA-EAFDAFA3F03B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m:sqref>AR100</xm:sqref>
        </x14:conditionalFormatting>
        <x14:conditionalFormatting xmlns:xm="http://schemas.microsoft.com/office/excel/2006/main">
          <x14:cfRule type="cellIs" priority="236" operator="between" id="{B8DD32AA-CDF5-43CC-8295-A36E58FD6CEA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237" operator="between" id="{BBB2F453-B7E5-46F7-BE50-3B630D4658E9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240" operator="between" id="{849980A8-CEFB-4907-814B-9731C24DA1B5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14:cfRule type="cellIs" priority="239" operator="between" id="{D7AD6352-BC88-4385-A351-199DEE7DF979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238" operator="between" id="{415D2EB5-9E82-460F-A925-E94CF52EB238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m:sqref>BB36</xm:sqref>
        </x14:conditionalFormatting>
        <x14:conditionalFormatting xmlns:xm="http://schemas.microsoft.com/office/excel/2006/main">
          <x14:cfRule type="cellIs" priority="112" operator="between" id="{B2CBB010-C8A1-4E30-9209-1F9F804419AB}">
            <xm:f>Tables!$A$207</xm:f>
            <xm:f>Tables!$A$168</xm:f>
            <x14:dxf>
              <fill>
                <patternFill>
                  <bgColor rgb="FFFF3399"/>
                </patternFill>
              </fill>
            </x14:dxf>
          </x14:cfRule>
          <x14:cfRule type="cellIs" priority="113" operator="between" id="{C1C2FA5B-EB52-4DA5-8BE2-14912EBF17FD}">
            <xm:f>Tables!$A$247</xm:f>
            <xm:f>Tables!$A$208</xm:f>
            <x14:dxf>
              <fill>
                <patternFill>
                  <bgColor theme="7"/>
                </patternFill>
              </fill>
            </x14:dxf>
          </x14:cfRule>
          <x14:cfRule type="cellIs" priority="114" operator="between" id="{BC645AF2-1BA4-468C-B752-78F1CA9A5D61}">
            <xm:f>Tables!$A$287</xm:f>
            <xm:f>Tables!$A$248</xm:f>
            <x14:dxf>
              <fill>
                <patternFill>
                  <bgColor rgb="FF00FF00"/>
                </patternFill>
              </fill>
            </x14:dxf>
          </x14:cfRule>
          <x14:cfRule type="cellIs" priority="115" operator="between" id="{E5F65418-05B0-4450-B09B-D5F8F3AD3F8D}">
            <xm:f>Tables!$A$327</xm:f>
            <xm:f>Tables!$A$288</xm:f>
            <x14:dxf>
              <fill>
                <patternFill>
                  <bgColor rgb="FF00B0F0"/>
                </patternFill>
              </fill>
            </x14:dxf>
          </x14:cfRule>
          <x14:cfRule type="cellIs" priority="116" operator="between" id="{F97DB9B9-4DCA-4DD0-94CA-7614DA2B3DAB}">
            <xm:f>Tables!$A$367</xm:f>
            <xm:f>Tables!$A$328</xm:f>
            <x14:dxf>
              <fill>
                <patternFill>
                  <bgColor rgb="FF99FFCC"/>
                </patternFill>
              </fill>
            </x14:dxf>
          </x14:cfRule>
          <xm:sqref>BB68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B366A7EF-EE16-4CBC-9997-EE66F641F74A}">
          <x14:formula1>
            <xm:f>Tables!$U$2:$U$63</xm:f>
          </x14:formula1>
          <xm:sqref>L8 B8 V8 AF8 AP8 AZ8 AZ40 AP40 AF40 V40 L40 B40 B72 L72 V72 AF72 AP72 AZ72</xm:sqref>
        </x14:dataValidation>
        <x14:dataValidation type="list" operator="equal" allowBlank="1" showErrorMessage="1" xr:uid="{1564B3F0-5094-4FE7-9EB3-D0C25BD22C0D}">
          <x14:formula1>
            <xm:f>Tables!$AF$21:$AF$40</xm:f>
          </x14:formula1>
          <x14:formula2>
            <xm:f>0</xm:f>
          </x14:formula2>
          <xm:sqref>I9 S9 AC9 AM9 AW9 BG9 I41 S41 AC41 AM41 AW41 BG41 I73 S73 AC73 AM73 AW73</xm:sqref>
        </x14:dataValidation>
        <x14:dataValidation type="list" allowBlank="1" showInputMessage="1" showErrorMessage="1" xr:uid="{9F45242F-A066-4361-9B36-84E901AA065B}">
          <x14:formula1>
            <xm:f>Tables!$K$173:$K$180</xm:f>
          </x14:formula1>
          <xm:sqref>D28 N92 N28 X28 AH28 AR28 N60 BB28 X60 AH60 AR60 BB60 D60 D92 X92 AH92 AR92</xm:sqref>
        </x14:dataValidation>
        <x14:dataValidation type="list" allowBlank="1" showInputMessage="1" showErrorMessage="1" xr:uid="{632F0020-0270-4322-8947-49F30900803D}">
          <x14:formula1>
            <xm:f>Tables!$N$166:$N$169</xm:f>
          </x14:formula1>
          <xm:sqref>D29 N29 X29 AH29 AR29 BB29 D61 N61 X61 AH61 AR61 BB61 D93 N93 X93 AH93 AR93</xm:sqref>
        </x14:dataValidation>
        <x14:dataValidation type="list" allowBlank="1" showInputMessage="1" showErrorMessage="1" xr:uid="{7559D197-32B8-4CBD-86A4-EDB79F311B23}">
          <x14:formula1>
            <xm:f>Tables!$A$167:$A$367</xm:f>
          </x14:formula1>
          <xm:sqref>D35 N35 X35 AH35 AR35 BB35 D67 N67 X67 AH67 AR67 BB67 D99 N99 X99 AH99 AR99</xm:sqref>
        </x14:dataValidation>
        <x14:dataValidation type="list" operator="equal" allowBlank="1" showErrorMessage="1" xr:uid="{9019DDE5-9C6C-4B01-88CA-ED38A7D2CBC0}">
          <x14:formula1>
            <xm:f>Tables!$A$167:$A$367</xm:f>
          </x14:formula1>
          <xm:sqref>D36 N36 X36 AH36 AR36 BB36 D68 N68 X68 AH68 AR68 BB68 D100 N100 X100 AH100 AR100</xm:sqref>
        </x14:dataValidation>
        <x14:dataValidation type="list" allowBlank="1" showInputMessage="1" showErrorMessage="1" xr:uid="{5E77284F-4C52-4970-B615-E292CC7A33B3}">
          <x14:formula1>
            <xm:f>Tables!$K$186:$K$194</xm:f>
          </x14:formula1>
          <xm:sqref>K4:K7 L4 L6:L7</xm:sqref>
        </x14:dataValidation>
        <x14:dataValidation type="list" allowBlank="1" showInputMessage="1" showErrorMessage="1" xr:uid="{FD3CB1DF-F6DE-4A16-A0F7-134F781256E8}">
          <x14:formula1>
            <xm:f>Tables!$H$168:$H$173</xm:f>
          </x14:formula1>
          <xm:sqref>N37 AR37 N69 AR69 N101 AR101</xm:sqref>
        </x14:dataValidation>
        <x14:dataValidation type="list" operator="equal" allowBlank="1" showErrorMessage="1" xr:uid="{347DC9BB-2BDD-4B04-9CB2-25B4207EC620}">
          <x14:formula1>
            <xm:f>Tables!$AC$20:$AC$24</xm:f>
          </x14:formula1>
          <xm:sqref>Q11:Q21 AA11:AA21 AK11:AK21 AU11:AU21 BE11:BE21 G43:G53 Q43:Q53 AA43:AA53 AK43:AK53 AU43:AU53 BE43:BE53 G75:G85 Q75:Q85 AA75:AA85 AK75:AK85 AU75:AU85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>
    <tabColor rgb="FF00B050"/>
  </sheetPr>
  <dimension ref="A1:AMJ82"/>
  <sheetViews>
    <sheetView showGridLines="0" zoomScale="90" zoomScaleNormal="90" workbookViewId="0">
      <selection activeCell="M21" sqref="M21"/>
    </sheetView>
  </sheetViews>
  <sheetFormatPr defaultColWidth="8.5546875" defaultRowHeight="14.4" x14ac:dyDescent="0.3"/>
  <cols>
    <col min="1" max="1" width="24" style="1" customWidth="1"/>
    <col min="2" max="6" width="8.5546875" style="1"/>
    <col min="7" max="7" width="31.5546875" style="1" customWidth="1"/>
    <col min="8" max="9" width="8.5546875" style="1"/>
    <col min="10" max="10" width="18.44140625" style="1" customWidth="1"/>
    <col min="11" max="11" width="27.77734375" style="1" customWidth="1"/>
    <col min="12" max="14" width="8.5546875" style="1"/>
    <col min="15" max="15" width="6.44140625" style="1" customWidth="1"/>
    <col min="16" max="16" width="21.5546875" style="1" customWidth="1"/>
    <col min="17" max="17" width="36.5546875" style="1" customWidth="1"/>
    <col min="18" max="18" width="11.5546875" style="1" customWidth="1"/>
    <col min="19" max="19" width="11.44140625" style="1" customWidth="1"/>
    <col min="20" max="20" width="14.44140625" style="1" customWidth="1"/>
    <col min="21" max="1024" width="8.5546875" style="1"/>
  </cols>
  <sheetData>
    <row r="1" spans="1:11" ht="38.1" customHeight="1" thickBot="1" x14ac:dyDescent="0.35">
      <c r="A1" s="702"/>
      <c r="B1" s="704"/>
      <c r="C1" s="1157"/>
      <c r="D1" s="1158"/>
      <c r="E1" s="1159"/>
      <c r="F1" s="704"/>
      <c r="G1" s="701"/>
      <c r="H1" s="704"/>
      <c r="I1" s="1090"/>
      <c r="J1" s="1091"/>
    </row>
    <row r="2" spans="1:11" x14ac:dyDescent="0.3">
      <c r="A2" s="1160" t="s">
        <v>805</v>
      </c>
      <c r="B2" s="1149"/>
      <c r="C2" s="481"/>
      <c r="D2" s="1160" t="s">
        <v>890</v>
      </c>
      <c r="E2" s="1160"/>
      <c r="F2" s="1149"/>
      <c r="G2" s="1160"/>
      <c r="H2" s="1149"/>
      <c r="I2" s="1160"/>
      <c r="J2" s="1160"/>
    </row>
    <row r="3" spans="1:11" x14ac:dyDescent="0.3">
      <c r="A3" s="482" t="s">
        <v>759</v>
      </c>
      <c r="B3" s="483">
        <v>7</v>
      </c>
      <c r="C3" s="481"/>
      <c r="D3" s="1151" t="s">
        <v>760</v>
      </c>
      <c r="E3" s="1151"/>
      <c r="F3" s="1151"/>
      <c r="G3" s="1151"/>
      <c r="H3" s="1151" t="s">
        <v>761</v>
      </c>
      <c r="I3" s="1151"/>
      <c r="J3" s="1151"/>
    </row>
    <row r="4" spans="1:11" x14ac:dyDescent="0.3">
      <c r="A4" s="482" t="s">
        <v>762</v>
      </c>
      <c r="B4" s="483">
        <v>5</v>
      </c>
      <c r="C4" s="481"/>
      <c r="D4" s="1145" t="s">
        <v>977</v>
      </c>
      <c r="E4" s="1145"/>
      <c r="F4" s="1145"/>
      <c r="G4" s="1145"/>
      <c r="H4" s="1154" t="str">
        <f>LOOKUP(B7,$O$37:$O$43,$T$37:$T$43)</f>
        <v>Laterais</v>
      </c>
      <c r="I4" s="1161"/>
      <c r="J4" s="1161"/>
      <c r="K4" s="876"/>
    </row>
    <row r="5" spans="1:11" x14ac:dyDescent="0.3">
      <c r="A5" s="482" t="s">
        <v>764</v>
      </c>
      <c r="B5" s="483">
        <v>1</v>
      </c>
      <c r="C5" s="481"/>
      <c r="D5" s="1145" t="s">
        <v>765</v>
      </c>
      <c r="E5" s="1145"/>
      <c r="F5" s="1145"/>
      <c r="G5" s="1145"/>
      <c r="H5" s="1146" t="str">
        <f>LOOKUP(B4,$O$37:$O$43,$P$37:$P$43)</f>
        <v>Promoção / top 4</v>
      </c>
      <c r="I5" s="1146"/>
      <c r="J5" s="1154"/>
      <c r="K5" s="876"/>
    </row>
    <row r="6" spans="1:11" x14ac:dyDescent="0.3">
      <c r="A6" s="482" t="s">
        <v>20</v>
      </c>
      <c r="B6" s="483">
        <v>5</v>
      </c>
      <c r="C6" s="481"/>
      <c r="D6" s="1145" t="s">
        <v>766</v>
      </c>
      <c r="E6" s="1145"/>
      <c r="F6" s="1145"/>
      <c r="G6" s="1145"/>
      <c r="H6" s="1146" t="str">
        <f>LOOKUP(B7,$O$37:$O$43,$Q$37:$Q$43)</f>
        <v>Meu motorista é apreciado pelos fãs</v>
      </c>
      <c r="I6" s="1146"/>
      <c r="J6" s="1154"/>
      <c r="K6" s="876"/>
    </row>
    <row r="7" spans="1:11" x14ac:dyDescent="0.3">
      <c r="A7" s="482" t="s">
        <v>767</v>
      </c>
      <c r="B7" s="483">
        <v>5</v>
      </c>
      <c r="C7" s="481"/>
      <c r="D7" s="1145" t="s">
        <v>768</v>
      </c>
      <c r="E7" s="1145"/>
      <c r="F7" s="1145"/>
      <c r="G7" s="1145"/>
      <c r="H7" s="1146" t="str">
        <f>LOOKUP(B5,$O$37:$O$43,$R$37:$R$43)</f>
        <v>OK</v>
      </c>
      <c r="I7" s="1146"/>
      <c r="J7" s="1154"/>
      <c r="K7" s="876"/>
    </row>
    <row r="8" spans="1:11" x14ac:dyDescent="0.3">
      <c r="A8" s="482" t="s">
        <v>769</v>
      </c>
      <c r="B8" s="483">
        <v>5</v>
      </c>
      <c r="C8" s="481"/>
      <c r="D8" s="1145" t="s">
        <v>770</v>
      </c>
      <c r="E8" s="1145"/>
      <c r="F8" s="1145"/>
      <c r="G8" s="1145"/>
      <c r="H8" s="1146" t="str">
        <f>LOOKUP(B5,$O$37:$O$43,$S$37:$S$43)</f>
        <v>OK</v>
      </c>
      <c r="I8" s="1146"/>
      <c r="J8" s="1154"/>
      <c r="K8" s="876"/>
    </row>
    <row r="9" spans="1:11" x14ac:dyDescent="0.3">
      <c r="A9" s="482" t="s">
        <v>771</v>
      </c>
      <c r="B9" s="545">
        <v>50</v>
      </c>
      <c r="C9" s="481"/>
      <c r="D9" s="1145" t="s">
        <v>772</v>
      </c>
      <c r="E9" s="1145"/>
      <c r="F9" s="1145"/>
      <c r="G9" s="1145"/>
      <c r="H9" s="1147">
        <f>(B9*B11-100)-(B10*B11-100)</f>
        <v>0</v>
      </c>
      <c r="I9" s="1147"/>
      <c r="J9" s="1155"/>
      <c r="K9" s="876"/>
    </row>
    <row r="10" spans="1:11" x14ac:dyDescent="0.3">
      <c r="A10" s="482" t="s">
        <v>773</v>
      </c>
      <c r="B10" s="545">
        <v>50</v>
      </c>
      <c r="C10" s="481"/>
      <c r="D10" s="1145" t="s">
        <v>811</v>
      </c>
      <c r="E10" s="1145"/>
      <c r="F10" s="1145"/>
      <c r="G10" s="1145"/>
      <c r="H10" s="1153">
        <f>VLOOKUP(B11,Tables!AC28:AD30,2,0)</f>
        <v>0</v>
      </c>
      <c r="I10" s="1153"/>
      <c r="J10" s="1156"/>
      <c r="K10" s="877"/>
    </row>
    <row r="11" spans="1:11" x14ac:dyDescent="0.3">
      <c r="A11" s="546" t="s">
        <v>804</v>
      </c>
      <c r="B11" s="547">
        <v>1</v>
      </c>
      <c r="C11" s="481"/>
      <c r="D11" s="481"/>
      <c r="E11" s="481"/>
      <c r="F11" s="481"/>
      <c r="G11" s="481"/>
      <c r="H11" s="481"/>
      <c r="I11" s="481"/>
      <c r="J11" s="481"/>
      <c r="K11" s="875"/>
    </row>
    <row r="12" spans="1:11" x14ac:dyDescent="0.3">
      <c r="A12" s="1149" t="s">
        <v>806</v>
      </c>
      <c r="B12" s="1149"/>
      <c r="C12" s="481"/>
      <c r="D12" s="1150" t="s">
        <v>892</v>
      </c>
      <c r="E12" s="1150"/>
      <c r="F12" s="1150"/>
      <c r="G12" s="1150"/>
      <c r="H12" s="1150"/>
      <c r="I12" s="1150"/>
      <c r="J12" s="1150"/>
    </row>
    <row r="13" spans="1:11" x14ac:dyDescent="0.3">
      <c r="A13" s="482" t="s">
        <v>759</v>
      </c>
      <c r="B13" s="483">
        <v>3</v>
      </c>
      <c r="C13" s="481"/>
      <c r="D13" s="1151" t="s">
        <v>760</v>
      </c>
      <c r="E13" s="1151"/>
      <c r="F13" s="1151"/>
      <c r="G13" s="1151"/>
      <c r="H13" s="1151" t="s">
        <v>761</v>
      </c>
      <c r="I13" s="1151"/>
      <c r="J13" s="1151"/>
    </row>
    <row r="14" spans="1:11" x14ac:dyDescent="0.3">
      <c r="A14" s="482" t="s">
        <v>762</v>
      </c>
      <c r="B14" s="483">
        <v>2</v>
      </c>
      <c r="C14" s="481"/>
      <c r="D14" s="1145" t="s">
        <v>763</v>
      </c>
      <c r="E14" s="1145"/>
      <c r="F14" s="1145"/>
      <c r="G14" s="1145"/>
      <c r="H14" s="1152" t="str">
        <f>LOOKUP(B17,$O$37:$O$43,$T$37:$T$43)</f>
        <v>Asa Dianteira</v>
      </c>
      <c r="I14" s="1152"/>
      <c r="J14" s="1152"/>
    </row>
    <row r="15" spans="1:11" x14ac:dyDescent="0.3">
      <c r="A15" s="482" t="s">
        <v>764</v>
      </c>
      <c r="B15" s="483">
        <v>4</v>
      </c>
      <c r="C15" s="481"/>
      <c r="D15" s="1145" t="s">
        <v>765</v>
      </c>
      <c r="E15" s="1145"/>
      <c r="F15" s="1145"/>
      <c r="G15" s="1145"/>
      <c r="H15" s="1152" t="str">
        <f>LOOKUP(B14,$O$37:$O$43,$P$37:$P$43)</f>
        <v>Posição baixa na tabela</v>
      </c>
      <c r="I15" s="1152"/>
      <c r="J15" s="1152"/>
    </row>
    <row r="16" spans="1:11" x14ac:dyDescent="0.3">
      <c r="A16" s="482" t="s">
        <v>20</v>
      </c>
      <c r="B16" s="483">
        <v>2</v>
      </c>
      <c r="C16" s="481"/>
      <c r="D16" s="1145" t="s">
        <v>766</v>
      </c>
      <c r="E16" s="1145"/>
      <c r="F16" s="1145"/>
      <c r="G16" s="1145"/>
      <c r="H16" s="1152" t="str">
        <f>LOOKUP(B17,$O$37:$O$43,$Q$37:$Q$43)</f>
        <v>Meu piloto é odiado pelos fãs</v>
      </c>
      <c r="I16" s="1152"/>
      <c r="J16" s="1152"/>
    </row>
    <row r="17" spans="1:21" x14ac:dyDescent="0.3">
      <c r="A17" s="482" t="s">
        <v>767</v>
      </c>
      <c r="B17" s="483">
        <v>1</v>
      </c>
      <c r="C17" s="481"/>
      <c r="D17" s="1145" t="s">
        <v>768</v>
      </c>
      <c r="E17" s="1145"/>
      <c r="F17" s="1145"/>
      <c r="G17" s="1145"/>
      <c r="H17" s="1152" t="str">
        <f>LOOKUP(B15,$O$37:$O$43,$R$37:$R$43)</f>
        <v>Um pouco baixo</v>
      </c>
      <c r="I17" s="1152"/>
      <c r="J17" s="1152"/>
    </row>
    <row r="18" spans="1:21" x14ac:dyDescent="0.3">
      <c r="A18" s="482" t="s">
        <v>769</v>
      </c>
      <c r="B18" s="483">
        <v>2</v>
      </c>
      <c r="C18" s="481"/>
      <c r="D18" s="1145" t="s">
        <v>770</v>
      </c>
      <c r="E18" s="1145"/>
      <c r="F18" s="1145"/>
      <c r="G18" s="1145"/>
      <c r="H18" s="1152" t="str">
        <f>LOOKUP(B15,$O$37:$O$43,$S$37:$S$43)</f>
        <v>OK</v>
      </c>
      <c r="I18" s="1152"/>
      <c r="J18" s="1152"/>
    </row>
    <row r="19" spans="1:21" x14ac:dyDescent="0.3">
      <c r="A19" s="482" t="s">
        <v>771</v>
      </c>
      <c r="B19" s="545">
        <v>47.2</v>
      </c>
      <c r="C19" s="481"/>
      <c r="D19" s="1145" t="s">
        <v>772</v>
      </c>
      <c r="E19" s="1145"/>
      <c r="F19" s="1145"/>
      <c r="G19" s="1145"/>
      <c r="H19" s="1147">
        <f>(B19*B21-100)-(B20*B21-100)</f>
        <v>14.400000000000006</v>
      </c>
      <c r="I19" s="1147"/>
      <c r="J19" s="1147"/>
    </row>
    <row r="20" spans="1:21" x14ac:dyDescent="0.3">
      <c r="A20" s="482" t="s">
        <v>773</v>
      </c>
      <c r="B20" s="545">
        <v>40</v>
      </c>
      <c r="C20" s="481"/>
      <c r="D20" s="1145" t="s">
        <v>811</v>
      </c>
      <c r="E20" s="1145"/>
      <c r="F20" s="1145"/>
      <c r="G20" s="1145"/>
      <c r="H20" s="1153">
        <f>VLOOKUP(B21,Tables!AC33:AD35,2,0)</f>
        <v>32.799999999999997</v>
      </c>
      <c r="I20" s="1153"/>
      <c r="J20" s="1153"/>
    </row>
    <row r="21" spans="1:21" x14ac:dyDescent="0.3">
      <c r="A21" s="546" t="s">
        <v>804</v>
      </c>
      <c r="B21" s="547">
        <v>2</v>
      </c>
      <c r="C21" s="481"/>
      <c r="D21" s="481"/>
      <c r="E21" s="481"/>
      <c r="F21" s="481"/>
      <c r="G21" s="481"/>
      <c r="H21" s="481"/>
      <c r="I21" s="481"/>
      <c r="J21" s="481"/>
    </row>
    <row r="22" spans="1:21" x14ac:dyDescent="0.3">
      <c r="A22" s="1149" t="s">
        <v>807</v>
      </c>
      <c r="B22" s="1149"/>
      <c r="C22" s="481"/>
      <c r="D22" s="1150" t="s">
        <v>893</v>
      </c>
      <c r="E22" s="1150"/>
      <c r="F22" s="1150"/>
      <c r="G22" s="1150"/>
      <c r="H22" s="1150"/>
      <c r="I22" s="1150"/>
      <c r="J22" s="1150"/>
    </row>
    <row r="23" spans="1:21" x14ac:dyDescent="0.3">
      <c r="A23" s="482" t="s">
        <v>759</v>
      </c>
      <c r="B23" s="483">
        <v>5</v>
      </c>
      <c r="C23" s="481"/>
      <c r="D23" s="1151" t="s">
        <v>760</v>
      </c>
      <c r="E23" s="1151"/>
      <c r="F23" s="1151"/>
      <c r="G23" s="1151"/>
      <c r="H23" s="1151" t="s">
        <v>761</v>
      </c>
      <c r="I23" s="1151"/>
      <c r="J23" s="1151"/>
    </row>
    <row r="24" spans="1:21" x14ac:dyDescent="0.3">
      <c r="A24" s="482" t="s">
        <v>762</v>
      </c>
      <c r="B24" s="483">
        <v>6</v>
      </c>
      <c r="C24" s="481"/>
      <c r="D24" s="1145" t="s">
        <v>763</v>
      </c>
      <c r="E24" s="1145"/>
      <c r="F24" s="1145"/>
      <c r="G24" s="1145"/>
      <c r="H24" s="1146" t="str">
        <f>LOOKUP(B27,$O$37:$O$43,$T$37:$T$43)</f>
        <v>Laterais</v>
      </c>
      <c r="I24" s="1146"/>
      <c r="J24" s="1146"/>
    </row>
    <row r="25" spans="1:21" x14ac:dyDescent="0.3">
      <c r="A25" s="482" t="s">
        <v>764</v>
      </c>
      <c r="B25" s="483">
        <v>2</v>
      </c>
      <c r="C25" s="481"/>
      <c r="D25" s="1145" t="s">
        <v>765</v>
      </c>
      <c r="E25" s="1145"/>
      <c r="F25" s="1145"/>
      <c r="G25" s="1145"/>
      <c r="H25" s="1146" t="str">
        <f>LOOKUP(B24,$O$37:$O$43,$P$37:$P$43)</f>
        <v>Promoção / top 4</v>
      </c>
      <c r="I25" s="1146"/>
      <c r="J25" s="1146"/>
    </row>
    <row r="26" spans="1:21" x14ac:dyDescent="0.3">
      <c r="A26" s="482" t="s">
        <v>20</v>
      </c>
      <c r="B26" s="483">
        <v>3</v>
      </c>
      <c r="C26" s="481"/>
      <c r="D26" s="1145" t="s">
        <v>766</v>
      </c>
      <c r="E26" s="1145"/>
      <c r="F26" s="1145"/>
      <c r="G26" s="1145"/>
      <c r="H26" s="1146" t="str">
        <f>LOOKUP(B27,$O$37:$O$43,$Q$37:$Q$43)</f>
        <v>Meu motorista é apreciado pelos fãs</v>
      </c>
      <c r="I26" s="1146"/>
      <c r="J26" s="1146"/>
    </row>
    <row r="27" spans="1:21" x14ac:dyDescent="0.3">
      <c r="A27" s="482" t="s">
        <v>767</v>
      </c>
      <c r="B27" s="483">
        <v>5</v>
      </c>
      <c r="C27" s="481"/>
      <c r="D27" s="1145" t="s">
        <v>768</v>
      </c>
      <c r="E27" s="1145"/>
      <c r="F27" s="1145"/>
      <c r="G27" s="1145"/>
      <c r="H27" s="1146" t="str">
        <f>LOOKUP(B25,$O$37:$O$43,$R$37:$R$43)</f>
        <v>OK</v>
      </c>
      <c r="I27" s="1146"/>
      <c r="J27" s="1146"/>
    </row>
    <row r="28" spans="1:21" x14ac:dyDescent="0.3">
      <c r="A28" s="482" t="s">
        <v>769</v>
      </c>
      <c r="B28" s="483">
        <v>5</v>
      </c>
      <c r="C28" s="481"/>
      <c r="D28" s="1145" t="s">
        <v>770</v>
      </c>
      <c r="E28" s="1145"/>
      <c r="F28" s="1145"/>
      <c r="G28" s="1145"/>
      <c r="H28" s="1146" t="str">
        <f>LOOKUP(B25,$O$37:$O$43,$S$37:$S$43)</f>
        <v>OK</v>
      </c>
      <c r="I28" s="1146"/>
      <c r="J28" s="1146"/>
    </row>
    <row r="29" spans="1:21" x14ac:dyDescent="0.3">
      <c r="A29" s="482" t="s">
        <v>771</v>
      </c>
      <c r="B29" s="545">
        <v>35</v>
      </c>
      <c r="C29" s="481"/>
      <c r="D29" s="1145" t="s">
        <v>772</v>
      </c>
      <c r="E29" s="1145"/>
      <c r="F29" s="1145"/>
      <c r="G29" s="1145"/>
      <c r="H29" s="1147">
        <f>(B29*B31-100)-(B30*B31-100)</f>
        <v>0</v>
      </c>
      <c r="I29" s="1147"/>
      <c r="J29" s="1147"/>
    </row>
    <row r="30" spans="1:21" x14ac:dyDescent="0.3">
      <c r="A30" s="482" t="s">
        <v>773</v>
      </c>
      <c r="B30" s="545">
        <v>35</v>
      </c>
      <c r="C30" s="481"/>
      <c r="D30" s="1145" t="s">
        <v>811</v>
      </c>
      <c r="E30" s="1145"/>
      <c r="F30" s="1145"/>
      <c r="G30" s="1145"/>
      <c r="H30" s="1148">
        <f>VLOOKUP(B31,Tables!AC38:AD40,2,0)</f>
        <v>35</v>
      </c>
      <c r="I30" s="1148"/>
      <c r="J30" s="1148"/>
    </row>
    <row r="31" spans="1:21" x14ac:dyDescent="0.3">
      <c r="A31" s="546" t="s">
        <v>804</v>
      </c>
      <c r="B31" s="547">
        <v>2</v>
      </c>
      <c r="C31" s="481"/>
      <c r="D31" s="481"/>
      <c r="E31" s="481"/>
      <c r="F31" s="481"/>
      <c r="G31" s="481"/>
      <c r="H31" s="481"/>
      <c r="I31" s="481"/>
      <c r="J31" s="481"/>
    </row>
    <row r="32" spans="1:21" ht="34.799999999999997" x14ac:dyDescent="0.55000000000000004">
      <c r="A32" s="1149" t="s">
        <v>808</v>
      </c>
      <c r="B32" s="1149"/>
      <c r="C32" s="481"/>
      <c r="D32" s="1150" t="s">
        <v>902</v>
      </c>
      <c r="E32" s="1150"/>
      <c r="F32" s="1150"/>
      <c r="G32" s="1150"/>
      <c r="H32" s="1150"/>
      <c r="I32" s="1150"/>
      <c r="J32" s="1150"/>
      <c r="N32" s="484" t="s">
        <v>774</v>
      </c>
      <c r="O32" s="484"/>
      <c r="P32" s="484"/>
      <c r="Q32" s="484"/>
      <c r="R32" s="328"/>
      <c r="S32" s="328"/>
      <c r="T32" s="328"/>
      <c r="U32" s="328"/>
    </row>
    <row r="33" spans="1:21" x14ac:dyDescent="0.3">
      <c r="A33" s="482" t="s">
        <v>759</v>
      </c>
      <c r="B33" s="483">
        <v>5</v>
      </c>
      <c r="C33" s="481"/>
      <c r="D33" s="1151" t="s">
        <v>760</v>
      </c>
      <c r="E33" s="1151"/>
      <c r="F33" s="1151"/>
      <c r="G33" s="1151"/>
      <c r="H33" s="1151" t="s">
        <v>761</v>
      </c>
      <c r="I33" s="1151"/>
      <c r="J33" s="1151"/>
      <c r="N33" s="328"/>
      <c r="O33" s="328"/>
      <c r="P33" s="328"/>
      <c r="Q33" s="328"/>
      <c r="R33" s="328"/>
      <c r="S33" s="328"/>
      <c r="T33" s="328"/>
      <c r="U33" s="328"/>
    </row>
    <row r="34" spans="1:21" x14ac:dyDescent="0.3">
      <c r="A34" s="482" t="s">
        <v>762</v>
      </c>
      <c r="B34" s="483">
        <v>2</v>
      </c>
      <c r="C34" s="481"/>
      <c r="D34" s="1145" t="s">
        <v>763</v>
      </c>
      <c r="E34" s="1145"/>
      <c r="F34" s="1145"/>
      <c r="G34" s="1145"/>
      <c r="H34" s="1146" t="str">
        <f>LOOKUP(B37,$O$37:$O$43,$T$37:$T$43)</f>
        <v>Asa Traseira</v>
      </c>
      <c r="I34" s="1146"/>
      <c r="J34" s="1146"/>
      <c r="N34" s="328"/>
      <c r="O34" s="328"/>
      <c r="P34" s="328"/>
      <c r="Q34" s="328"/>
      <c r="R34" s="328"/>
      <c r="S34" s="328"/>
      <c r="T34" s="328"/>
      <c r="U34" s="328"/>
    </row>
    <row r="35" spans="1:21" x14ac:dyDescent="0.3">
      <c r="A35" s="482" t="s">
        <v>764</v>
      </c>
      <c r="B35" s="483">
        <v>6</v>
      </c>
      <c r="C35" s="481"/>
      <c r="D35" s="1145" t="s">
        <v>765</v>
      </c>
      <c r="E35" s="1145"/>
      <c r="F35" s="1145"/>
      <c r="G35" s="1145"/>
      <c r="H35" s="1146" t="str">
        <f>LOOKUP(B34,$O$37:$O$43,$P$37:$P$43)</f>
        <v>Posição baixa na tabela</v>
      </c>
      <c r="I35" s="1146"/>
      <c r="J35" s="1146"/>
      <c r="N35" s="328"/>
      <c r="O35" s="328"/>
      <c r="P35" s="328"/>
      <c r="Q35" s="328"/>
      <c r="R35" s="328"/>
      <c r="S35" s="328"/>
      <c r="T35" s="328"/>
      <c r="U35" s="328"/>
    </row>
    <row r="36" spans="1:21" x14ac:dyDescent="0.3">
      <c r="A36" s="482" t="s">
        <v>20</v>
      </c>
      <c r="B36" s="483">
        <v>3</v>
      </c>
      <c r="C36" s="481"/>
      <c r="D36" s="1145" t="s">
        <v>766</v>
      </c>
      <c r="E36" s="1145"/>
      <c r="F36" s="1145"/>
      <c r="G36" s="1145"/>
      <c r="H36" s="1146" t="str">
        <f>LOOKUP(B37,$O$37:$O$43,$Q$37:$Q$43)</f>
        <v>Meu piloto é odiado pelos fãs</v>
      </c>
      <c r="I36" s="1146"/>
      <c r="J36" s="1146"/>
      <c r="O36" s="485"/>
      <c r="P36" s="486" t="s">
        <v>775</v>
      </c>
      <c r="Q36" s="487" t="s">
        <v>776</v>
      </c>
      <c r="R36" s="487" t="s">
        <v>777</v>
      </c>
      <c r="S36" s="488" t="s">
        <v>778</v>
      </c>
      <c r="T36" s="488" t="s">
        <v>779</v>
      </c>
    </row>
    <row r="37" spans="1:21" x14ac:dyDescent="0.3">
      <c r="A37" s="482" t="s">
        <v>767</v>
      </c>
      <c r="B37" s="483">
        <v>2</v>
      </c>
      <c r="C37" s="481"/>
      <c r="D37" s="1145" t="s">
        <v>768</v>
      </c>
      <c r="E37" s="1145"/>
      <c r="F37" s="1145"/>
      <c r="G37" s="1145"/>
      <c r="H37" s="1146" t="str">
        <f>LOOKUP(B35,$O$37:$O$43,$R$37:$R$43)</f>
        <v>Muito baixo</v>
      </c>
      <c r="I37" s="1146"/>
      <c r="J37" s="1146"/>
      <c r="O37" s="489">
        <v>1</v>
      </c>
      <c r="P37" s="490" t="s">
        <v>780</v>
      </c>
      <c r="Q37" s="490" t="s">
        <v>781</v>
      </c>
      <c r="R37" s="490" t="s">
        <v>527</v>
      </c>
      <c r="S37" s="491" t="s">
        <v>527</v>
      </c>
      <c r="T37" s="491" t="s">
        <v>52</v>
      </c>
    </row>
    <row r="38" spans="1:21" x14ac:dyDescent="0.3">
      <c r="A38" s="482" t="s">
        <v>769</v>
      </c>
      <c r="B38" s="483">
        <v>5</v>
      </c>
      <c r="C38" s="481"/>
      <c r="D38" s="1145" t="s">
        <v>770</v>
      </c>
      <c r="E38" s="1145"/>
      <c r="F38" s="1145"/>
      <c r="G38" s="1145"/>
      <c r="H38" s="1146" t="str">
        <f>LOOKUP(B35,$O$37:$O$43,$S$37:$S$43)</f>
        <v>Um pouco baixo</v>
      </c>
      <c r="I38" s="1146"/>
      <c r="J38" s="1146"/>
      <c r="O38" s="492">
        <v>2</v>
      </c>
      <c r="P38" s="493" t="s">
        <v>782</v>
      </c>
      <c r="Q38" s="490" t="s">
        <v>781</v>
      </c>
      <c r="R38" s="493" t="s">
        <v>527</v>
      </c>
      <c r="S38" s="494" t="s">
        <v>527</v>
      </c>
      <c r="T38" s="494" t="s">
        <v>54</v>
      </c>
    </row>
    <row r="39" spans="1:21" x14ac:dyDescent="0.3">
      <c r="A39" s="482" t="s">
        <v>771</v>
      </c>
      <c r="B39" s="545">
        <v>15.6</v>
      </c>
      <c r="C39" s="481"/>
      <c r="D39" s="1145" t="s">
        <v>772</v>
      </c>
      <c r="E39" s="1145"/>
      <c r="F39" s="1145"/>
      <c r="G39" s="1145"/>
      <c r="H39" s="1147">
        <f>(B39*B41-100)-(B40*B41-100)</f>
        <v>19.799999999999997</v>
      </c>
      <c r="I39" s="1147"/>
      <c r="J39" s="1147"/>
      <c r="O39" s="492">
        <v>3</v>
      </c>
      <c r="P39" s="493" t="s">
        <v>782</v>
      </c>
      <c r="Q39" s="493" t="s">
        <v>783</v>
      </c>
      <c r="R39" s="493" t="s">
        <v>784</v>
      </c>
      <c r="S39" s="494" t="s">
        <v>527</v>
      </c>
      <c r="T39" s="494" t="s">
        <v>785</v>
      </c>
    </row>
    <row r="40" spans="1:21" x14ac:dyDescent="0.3">
      <c r="A40" s="482" t="s">
        <v>773</v>
      </c>
      <c r="B40" s="545">
        <v>9</v>
      </c>
      <c r="C40" s="481"/>
      <c r="D40" s="1145" t="s">
        <v>811</v>
      </c>
      <c r="E40" s="1145"/>
      <c r="F40" s="1145"/>
      <c r="G40" s="1145"/>
      <c r="H40" s="1148">
        <f>VLOOKUP(B41,Tables!AC43:AD45,2,0)</f>
        <v>-4.5</v>
      </c>
      <c r="I40" s="1148"/>
      <c r="J40" s="1148"/>
      <c r="O40" s="492">
        <v>4</v>
      </c>
      <c r="P40" s="493" t="s">
        <v>786</v>
      </c>
      <c r="Q40" s="493" t="s">
        <v>783</v>
      </c>
      <c r="R40" s="493" t="s">
        <v>784</v>
      </c>
      <c r="S40" s="494" t="s">
        <v>527</v>
      </c>
      <c r="T40" s="494" t="s">
        <v>785</v>
      </c>
    </row>
    <row r="41" spans="1:21" x14ac:dyDescent="0.3">
      <c r="A41" s="546" t="s">
        <v>804</v>
      </c>
      <c r="B41" s="547">
        <v>3</v>
      </c>
      <c r="C41" s="481"/>
      <c r="D41" s="481"/>
      <c r="E41" s="481"/>
      <c r="F41" s="481"/>
      <c r="G41" s="481"/>
      <c r="H41" s="481"/>
      <c r="I41" s="481"/>
      <c r="J41" s="481"/>
      <c r="O41" s="492">
        <v>5</v>
      </c>
      <c r="P41" s="493" t="s">
        <v>787</v>
      </c>
      <c r="Q41" s="493" t="s">
        <v>788</v>
      </c>
      <c r="R41" s="493" t="s">
        <v>789</v>
      </c>
      <c r="S41" s="493" t="s">
        <v>784</v>
      </c>
      <c r="T41" s="494" t="s">
        <v>12</v>
      </c>
    </row>
    <row r="42" spans="1:21" x14ac:dyDescent="0.3">
      <c r="A42" s="1149" t="s">
        <v>809</v>
      </c>
      <c r="B42" s="1149"/>
      <c r="C42" s="481"/>
      <c r="D42" s="1150" t="s">
        <v>891</v>
      </c>
      <c r="E42" s="1150"/>
      <c r="F42" s="1150"/>
      <c r="G42" s="1150"/>
      <c r="H42" s="1150"/>
      <c r="I42" s="1150"/>
      <c r="J42" s="1150"/>
      <c r="O42" s="492">
        <v>6</v>
      </c>
      <c r="P42" s="493" t="s">
        <v>787</v>
      </c>
      <c r="Q42" s="493" t="s">
        <v>783</v>
      </c>
      <c r="R42" s="493" t="s">
        <v>789</v>
      </c>
      <c r="S42" s="493" t="s">
        <v>784</v>
      </c>
      <c r="T42" s="494" t="s">
        <v>790</v>
      </c>
    </row>
    <row r="43" spans="1:21" x14ac:dyDescent="0.3">
      <c r="A43" s="482" t="s">
        <v>759</v>
      </c>
      <c r="B43" s="483">
        <v>3</v>
      </c>
      <c r="C43" s="481"/>
      <c r="D43" s="1151" t="s">
        <v>760</v>
      </c>
      <c r="E43" s="1151"/>
      <c r="F43" s="1151"/>
      <c r="G43" s="1151"/>
      <c r="H43" s="1151" t="s">
        <v>761</v>
      </c>
      <c r="I43" s="1151"/>
      <c r="J43" s="1151"/>
      <c r="O43" s="495">
        <v>7</v>
      </c>
      <c r="P43" s="496" t="s">
        <v>791</v>
      </c>
      <c r="Q43" s="496" t="s">
        <v>792</v>
      </c>
      <c r="R43" s="496" t="s">
        <v>793</v>
      </c>
      <c r="S43" s="497" t="s">
        <v>789</v>
      </c>
      <c r="T43" s="494" t="s">
        <v>790</v>
      </c>
    </row>
    <row r="44" spans="1:21" x14ac:dyDescent="0.3">
      <c r="A44" s="482" t="s">
        <v>762</v>
      </c>
      <c r="B44" s="483">
        <v>2</v>
      </c>
      <c r="C44" s="481"/>
      <c r="D44" s="1145" t="s">
        <v>763</v>
      </c>
      <c r="E44" s="1145"/>
      <c r="F44" s="1145"/>
      <c r="G44" s="1145"/>
      <c r="H44" s="1146" t="str">
        <f>LOOKUP(B47,$O$37:$O$43,$T$37:$T$43)</f>
        <v>Tampa do Motor</v>
      </c>
      <c r="I44" s="1146"/>
      <c r="J44" s="1146"/>
    </row>
    <row r="45" spans="1:21" x14ac:dyDescent="0.3">
      <c r="A45" s="482" t="s">
        <v>764</v>
      </c>
      <c r="B45" s="483">
        <v>1</v>
      </c>
      <c r="C45" s="481"/>
      <c r="D45" s="1145" t="s">
        <v>765</v>
      </c>
      <c r="E45" s="1145"/>
      <c r="F45" s="1145"/>
      <c r="G45" s="1145"/>
      <c r="H45" s="1146" t="str">
        <f>LOOKUP(B44,$O$37:$O$43,$P$37:$P$43)</f>
        <v>Posição baixa na tabela</v>
      </c>
      <c r="I45" s="1146"/>
      <c r="J45" s="1146"/>
    </row>
    <row r="46" spans="1:21" x14ac:dyDescent="0.3">
      <c r="A46" s="482" t="s">
        <v>20</v>
      </c>
      <c r="B46" s="483">
        <v>4</v>
      </c>
      <c r="C46" s="481"/>
      <c r="D46" s="1145" t="s">
        <v>766</v>
      </c>
      <c r="E46" s="1145"/>
      <c r="F46" s="1145"/>
      <c r="G46" s="1145"/>
      <c r="H46" s="1146" t="str">
        <f>LOOKUP(B47,$O$37:$O$43,$Q$37:$Q$43)</f>
        <v>Piloto não é muito popular com os fãs</v>
      </c>
      <c r="I46" s="1146"/>
      <c r="J46" s="1146"/>
    </row>
    <row r="47" spans="1:21" x14ac:dyDescent="0.3">
      <c r="A47" s="482" t="s">
        <v>767</v>
      </c>
      <c r="B47" s="483">
        <v>6</v>
      </c>
      <c r="C47" s="481"/>
      <c r="D47" s="1145" t="s">
        <v>768</v>
      </c>
      <c r="E47" s="1145"/>
      <c r="F47" s="1145"/>
      <c r="G47" s="1145"/>
      <c r="H47" s="1146" t="str">
        <f>LOOKUP(B45,$O$37:$O$43,$R$37:$R$43)</f>
        <v>OK</v>
      </c>
      <c r="I47" s="1146"/>
      <c r="J47" s="1146"/>
    </row>
    <row r="48" spans="1:21" x14ac:dyDescent="0.3">
      <c r="A48" s="482" t="s">
        <v>769</v>
      </c>
      <c r="B48" s="483">
        <v>2</v>
      </c>
      <c r="C48" s="481"/>
      <c r="D48" s="1145" t="s">
        <v>770</v>
      </c>
      <c r="E48" s="1145"/>
      <c r="F48" s="1145"/>
      <c r="G48" s="1145"/>
      <c r="H48" s="1146" t="str">
        <f>LOOKUP(B45,$O$37:$O$43,$S$37:$S$43)</f>
        <v>OK</v>
      </c>
      <c r="I48" s="1146"/>
      <c r="J48" s="1146"/>
    </row>
    <row r="49" spans="1:10" x14ac:dyDescent="0.3">
      <c r="A49" s="482" t="s">
        <v>771</v>
      </c>
      <c r="B49" s="545">
        <v>50</v>
      </c>
      <c r="C49" s="481"/>
      <c r="D49" s="1145" t="s">
        <v>772</v>
      </c>
      <c r="E49" s="1145"/>
      <c r="F49" s="1145"/>
      <c r="G49" s="1145"/>
      <c r="H49" s="1147">
        <f>(B49*B51-100)-(B50*B51-100)</f>
        <v>-2</v>
      </c>
      <c r="I49" s="1147"/>
      <c r="J49" s="1147"/>
    </row>
    <row r="50" spans="1:10" x14ac:dyDescent="0.3">
      <c r="A50" s="482" t="s">
        <v>773</v>
      </c>
      <c r="B50" s="545">
        <v>51</v>
      </c>
      <c r="C50" s="481"/>
      <c r="D50" s="1145" t="s">
        <v>811</v>
      </c>
      <c r="E50" s="1145"/>
      <c r="F50" s="1145"/>
      <c r="G50" s="1145"/>
      <c r="H50" s="1148">
        <f>VLOOKUP(B51,Tables!AC48:AD50,2,0)</f>
        <v>52</v>
      </c>
      <c r="I50" s="1148"/>
      <c r="J50" s="1148"/>
    </row>
    <row r="51" spans="1:10" x14ac:dyDescent="0.3">
      <c r="A51" s="546" t="s">
        <v>804</v>
      </c>
      <c r="B51" s="547">
        <v>2</v>
      </c>
      <c r="C51" s="550"/>
      <c r="D51" s="550"/>
      <c r="E51" s="550"/>
      <c r="F51" s="550"/>
      <c r="G51" s="550"/>
      <c r="H51" s="550"/>
      <c r="I51" s="550"/>
      <c r="J51" s="550"/>
    </row>
    <row r="52" spans="1:10" x14ac:dyDescent="0.3">
      <c r="A52" s="1149" t="s">
        <v>810</v>
      </c>
      <c r="B52" s="1149"/>
      <c r="C52" s="481"/>
      <c r="D52" s="1150"/>
      <c r="E52" s="1150"/>
      <c r="F52" s="1150"/>
      <c r="G52" s="1150"/>
      <c r="H52" s="1150"/>
      <c r="I52" s="1150"/>
      <c r="J52" s="1150"/>
    </row>
    <row r="53" spans="1:10" x14ac:dyDescent="0.3">
      <c r="A53" s="482" t="s">
        <v>759</v>
      </c>
      <c r="B53" s="483">
        <v>1</v>
      </c>
      <c r="C53" s="481"/>
      <c r="D53" s="1151" t="s">
        <v>760</v>
      </c>
      <c r="E53" s="1151"/>
      <c r="F53" s="1151"/>
      <c r="G53" s="1151"/>
      <c r="H53" s="1151" t="s">
        <v>761</v>
      </c>
      <c r="I53" s="1151"/>
      <c r="J53" s="1151"/>
    </row>
    <row r="54" spans="1:10" x14ac:dyDescent="0.3">
      <c r="A54" s="482" t="s">
        <v>762</v>
      </c>
      <c r="B54" s="483">
        <v>7</v>
      </c>
      <c r="C54" s="481"/>
      <c r="D54" s="1145" t="s">
        <v>763</v>
      </c>
      <c r="E54" s="1145"/>
      <c r="F54" s="1145"/>
      <c r="G54" s="1145"/>
      <c r="H54" s="1146" t="str">
        <f>LOOKUP(B57,$O$37:$O$43,$T$37:$T$43)</f>
        <v>Bico/Laterais</v>
      </c>
      <c r="I54" s="1146"/>
      <c r="J54" s="1146"/>
    </row>
    <row r="55" spans="1:10" x14ac:dyDescent="0.3">
      <c r="A55" s="482" t="s">
        <v>764</v>
      </c>
      <c r="B55" s="483">
        <v>2</v>
      </c>
      <c r="C55" s="481"/>
      <c r="D55" s="1145" t="s">
        <v>765</v>
      </c>
      <c r="E55" s="1145"/>
      <c r="F55" s="1145"/>
      <c r="G55" s="1145"/>
      <c r="H55" s="1146" t="str">
        <f>LOOKUP(B54,$O$37:$O$43,$P$37:$P$43)</f>
        <v>Championship win (Elite)</v>
      </c>
      <c r="I55" s="1146"/>
      <c r="J55" s="1146"/>
    </row>
    <row r="56" spans="1:10" x14ac:dyDescent="0.3">
      <c r="A56" s="482" t="s">
        <v>20</v>
      </c>
      <c r="B56" s="483">
        <v>1</v>
      </c>
      <c r="C56" s="481"/>
      <c r="D56" s="1145" t="s">
        <v>766</v>
      </c>
      <c r="E56" s="1145"/>
      <c r="F56" s="1145"/>
      <c r="G56" s="1145"/>
      <c r="H56" s="1146" t="str">
        <f>LOOKUP(B57,$O$37:$O$43,$Q$37:$Q$43)</f>
        <v>Piloto não é muito popular com os fãs</v>
      </c>
      <c r="I56" s="1146"/>
      <c r="J56" s="1146"/>
    </row>
    <row r="57" spans="1:10" x14ac:dyDescent="0.3">
      <c r="A57" s="482" t="s">
        <v>767</v>
      </c>
      <c r="B57" s="483">
        <v>3</v>
      </c>
      <c r="C57" s="481"/>
      <c r="D57" s="1145" t="s">
        <v>768</v>
      </c>
      <c r="E57" s="1145"/>
      <c r="F57" s="1145"/>
      <c r="G57" s="1145"/>
      <c r="H57" s="1146" t="str">
        <f>LOOKUP(B55,$O$37:$O$43,$R$37:$R$43)</f>
        <v>OK</v>
      </c>
      <c r="I57" s="1146"/>
      <c r="J57" s="1146"/>
    </row>
    <row r="58" spans="1:10" x14ac:dyDescent="0.3">
      <c r="A58" s="482" t="s">
        <v>769</v>
      </c>
      <c r="B58" s="483">
        <v>1</v>
      </c>
      <c r="C58" s="481"/>
      <c r="D58" s="1145" t="s">
        <v>770</v>
      </c>
      <c r="E58" s="1145"/>
      <c r="F58" s="1145"/>
      <c r="G58" s="1145"/>
      <c r="H58" s="1146" t="str">
        <f>LOOKUP(B55,$O$37:$O$43,$S$37:$S$43)</f>
        <v>OK</v>
      </c>
      <c r="I58" s="1146"/>
      <c r="J58" s="1146"/>
    </row>
    <row r="59" spans="1:10" x14ac:dyDescent="0.3">
      <c r="A59" s="482" t="s">
        <v>771</v>
      </c>
      <c r="B59" s="545">
        <v>60</v>
      </c>
      <c r="C59" s="481"/>
      <c r="D59" s="1145" t="s">
        <v>772</v>
      </c>
      <c r="E59" s="1145"/>
      <c r="F59" s="1145"/>
      <c r="G59" s="1145"/>
      <c r="H59" s="1147">
        <f>(B59*B61-100)-(B60*B61-100)</f>
        <v>0</v>
      </c>
      <c r="I59" s="1147"/>
      <c r="J59" s="1147"/>
    </row>
    <row r="60" spans="1:10" x14ac:dyDescent="0.3">
      <c r="A60" s="482" t="s">
        <v>773</v>
      </c>
      <c r="B60" s="545">
        <v>60</v>
      </c>
      <c r="C60" s="481"/>
      <c r="D60" s="1145" t="s">
        <v>811</v>
      </c>
      <c r="E60" s="1145"/>
      <c r="F60" s="1145"/>
      <c r="G60" s="1145"/>
      <c r="H60" s="1148">
        <f>VLOOKUP(B61,Tables!AC53:AD55,2,0)</f>
        <v>60</v>
      </c>
      <c r="I60" s="1148"/>
      <c r="J60" s="1148"/>
    </row>
    <row r="61" spans="1:10" x14ac:dyDescent="0.3">
      <c r="A61" s="546" t="s">
        <v>804</v>
      </c>
      <c r="B61" s="547">
        <v>2</v>
      </c>
      <c r="C61" s="550"/>
      <c r="D61" s="550"/>
      <c r="E61" s="550"/>
      <c r="F61" s="550"/>
      <c r="G61" s="550"/>
      <c r="H61" s="550"/>
      <c r="I61" s="550"/>
      <c r="J61" s="550"/>
    </row>
    <row r="64" spans="1:10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  <row r="76" ht="15" customHeight="1" x14ac:dyDescent="0.3"/>
    <row r="77" ht="15" customHeight="1" x14ac:dyDescent="0.3"/>
    <row r="78" ht="15" customHeight="1" x14ac:dyDescent="0.3"/>
    <row r="79" ht="15" customHeight="1" x14ac:dyDescent="0.3"/>
    <row r="80" ht="15" customHeight="1" x14ac:dyDescent="0.3"/>
    <row r="81" ht="15" customHeight="1" x14ac:dyDescent="0.3"/>
    <row r="82" ht="15" customHeight="1" x14ac:dyDescent="0.3"/>
  </sheetData>
  <mergeCells count="110">
    <mergeCell ref="I1:J1"/>
    <mergeCell ref="C1:E1"/>
    <mergeCell ref="D5:G5"/>
    <mergeCell ref="H5:J5"/>
    <mergeCell ref="D6:G6"/>
    <mergeCell ref="H6:J6"/>
    <mergeCell ref="D7:G7"/>
    <mergeCell ref="H7:J7"/>
    <mergeCell ref="A2:B2"/>
    <mergeCell ref="D2:J2"/>
    <mergeCell ref="D3:G3"/>
    <mergeCell ref="H3:J3"/>
    <mergeCell ref="D4:G4"/>
    <mergeCell ref="H4:J4"/>
    <mergeCell ref="A12:B12"/>
    <mergeCell ref="D12:J12"/>
    <mergeCell ref="D13:G13"/>
    <mergeCell ref="H13:J13"/>
    <mergeCell ref="D14:G14"/>
    <mergeCell ref="H14:J14"/>
    <mergeCell ref="D8:G8"/>
    <mergeCell ref="H8:J8"/>
    <mergeCell ref="D9:G9"/>
    <mergeCell ref="H9:J9"/>
    <mergeCell ref="D10:G10"/>
    <mergeCell ref="H10:J10"/>
    <mergeCell ref="D18:G18"/>
    <mergeCell ref="H18:J18"/>
    <mergeCell ref="D19:G19"/>
    <mergeCell ref="H19:J19"/>
    <mergeCell ref="D20:G20"/>
    <mergeCell ref="H20:J20"/>
    <mergeCell ref="D15:G15"/>
    <mergeCell ref="H15:J15"/>
    <mergeCell ref="D16:G16"/>
    <mergeCell ref="H16:J16"/>
    <mergeCell ref="D17:G17"/>
    <mergeCell ref="H17:J17"/>
    <mergeCell ref="D25:G25"/>
    <mergeCell ref="H25:J25"/>
    <mergeCell ref="D26:G26"/>
    <mergeCell ref="H26:J26"/>
    <mergeCell ref="D27:G27"/>
    <mergeCell ref="H27:J27"/>
    <mergeCell ref="A22:B22"/>
    <mergeCell ref="D22:J22"/>
    <mergeCell ref="D23:G23"/>
    <mergeCell ref="H23:J23"/>
    <mergeCell ref="D24:G24"/>
    <mergeCell ref="H24:J24"/>
    <mergeCell ref="A32:B32"/>
    <mergeCell ref="D32:J32"/>
    <mergeCell ref="D33:G33"/>
    <mergeCell ref="H33:J33"/>
    <mergeCell ref="D34:G34"/>
    <mergeCell ref="H34:J34"/>
    <mergeCell ref="D28:G28"/>
    <mergeCell ref="H28:J28"/>
    <mergeCell ref="D29:G29"/>
    <mergeCell ref="H29:J29"/>
    <mergeCell ref="D30:G30"/>
    <mergeCell ref="H30:J30"/>
    <mergeCell ref="D38:G38"/>
    <mergeCell ref="H38:J38"/>
    <mergeCell ref="D39:G39"/>
    <mergeCell ref="H39:J39"/>
    <mergeCell ref="D40:G40"/>
    <mergeCell ref="H40:J40"/>
    <mergeCell ref="D35:G35"/>
    <mergeCell ref="H35:J35"/>
    <mergeCell ref="D36:G36"/>
    <mergeCell ref="H36:J36"/>
    <mergeCell ref="D37:G37"/>
    <mergeCell ref="H37:J37"/>
    <mergeCell ref="D45:G45"/>
    <mergeCell ref="H45:J45"/>
    <mergeCell ref="D46:G46"/>
    <mergeCell ref="H46:J46"/>
    <mergeCell ref="D47:G47"/>
    <mergeCell ref="H47:J47"/>
    <mergeCell ref="A42:B42"/>
    <mergeCell ref="D42:J42"/>
    <mergeCell ref="D43:G43"/>
    <mergeCell ref="H43:J43"/>
    <mergeCell ref="D44:G44"/>
    <mergeCell ref="H44:J44"/>
    <mergeCell ref="A52:B52"/>
    <mergeCell ref="D52:J52"/>
    <mergeCell ref="D53:G53"/>
    <mergeCell ref="H53:J53"/>
    <mergeCell ref="D54:G54"/>
    <mergeCell ref="H54:J54"/>
    <mergeCell ref="D48:G48"/>
    <mergeCell ref="H48:J48"/>
    <mergeCell ref="D49:G49"/>
    <mergeCell ref="H49:J49"/>
    <mergeCell ref="D50:G50"/>
    <mergeCell ref="H50:J50"/>
    <mergeCell ref="D58:G58"/>
    <mergeCell ref="H58:J58"/>
    <mergeCell ref="D59:G59"/>
    <mergeCell ref="H59:J59"/>
    <mergeCell ref="D60:G60"/>
    <mergeCell ref="H60:J60"/>
    <mergeCell ref="D55:G55"/>
    <mergeCell ref="H55:J55"/>
    <mergeCell ref="D56:G56"/>
    <mergeCell ref="H56:J56"/>
    <mergeCell ref="D57:G57"/>
    <mergeCell ref="H57:J57"/>
  </mergeCells>
  <conditionalFormatting sqref="B9">
    <cfRule type="dataBar" priority="94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{8279692D-1344-4A66-81DC-DB60A13C1D10}</x14:id>
        </ext>
      </extLst>
    </cfRule>
  </conditionalFormatting>
  <conditionalFormatting sqref="B10">
    <cfRule type="cellIs" dxfId="41" priority="78" operator="greaterThan">
      <formula>$B$9</formula>
    </cfRule>
    <cfRule type="cellIs" dxfId="40" priority="77" operator="lessThan">
      <formula>$B$9</formula>
    </cfRule>
    <cfRule type="cellIs" dxfId="39" priority="76" operator="equal">
      <formula>$B$9</formula>
    </cfRule>
  </conditionalFormatting>
  <conditionalFormatting sqref="B13:B18 B3:B8">
    <cfRule type="dataBar" priority="101">
      <dataBar>
        <cfvo type="num" val="0"/>
        <cfvo type="num" val="7"/>
        <color rgb="FF29A500"/>
      </dataBar>
      <extLst>
        <ext xmlns:x14="http://schemas.microsoft.com/office/spreadsheetml/2009/9/main" uri="{B025F937-C7B1-47D3-B67F-A62EFF666E3E}">
          <x14:id>{E594F064-D38E-4CCF-8B21-F3258F411D40}</x14:id>
        </ext>
      </extLst>
    </cfRule>
  </conditionalFormatting>
  <conditionalFormatting sqref="B19">
    <cfRule type="dataBar" priority="75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{F8072AA8-EC91-4855-AF70-827A5DBAAA9C}</x14:id>
        </ext>
      </extLst>
    </cfRule>
  </conditionalFormatting>
  <conditionalFormatting sqref="B20">
    <cfRule type="cellIs" dxfId="38" priority="1" operator="equal">
      <formula>$B$19</formula>
    </cfRule>
    <cfRule type="cellIs" dxfId="37" priority="2" operator="lessThan">
      <formula>$B$19</formula>
    </cfRule>
    <cfRule type="cellIs" dxfId="36" priority="3" operator="greaterThan">
      <formula>$B$19</formula>
    </cfRule>
  </conditionalFormatting>
  <conditionalFormatting sqref="B23:B28">
    <cfRule type="dataBar" priority="103">
      <dataBar>
        <cfvo type="num" val="0"/>
        <cfvo type="num" val="7"/>
        <color rgb="FF29A500"/>
      </dataBar>
      <extLst>
        <ext xmlns:x14="http://schemas.microsoft.com/office/spreadsheetml/2009/9/main" uri="{B025F937-C7B1-47D3-B67F-A62EFF666E3E}">
          <x14:id>{B81B2969-2CD8-4434-9DA4-21721FE4CC18}</x14:id>
        </ext>
      </extLst>
    </cfRule>
  </conditionalFormatting>
  <conditionalFormatting sqref="B29">
    <cfRule type="dataBar" priority="63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{641FBF24-4431-43BD-B353-853A00DB91B1}</x14:id>
        </ext>
      </extLst>
    </cfRule>
  </conditionalFormatting>
  <conditionalFormatting sqref="B30">
    <cfRule type="cellIs" dxfId="35" priority="60" operator="equal">
      <formula>$B$29</formula>
    </cfRule>
    <cfRule type="cellIs" dxfId="34" priority="62" operator="greaterThan">
      <formula>$B$29</formula>
    </cfRule>
    <cfRule type="cellIs" dxfId="33" priority="61" operator="lessThan">
      <formula>$B$29</formula>
    </cfRule>
  </conditionalFormatting>
  <conditionalFormatting sqref="B33:B38">
    <cfRule type="dataBar" priority="105">
      <dataBar>
        <cfvo type="num" val="0"/>
        <cfvo type="num" val="7"/>
        <color rgb="FF29A500"/>
      </dataBar>
      <extLst>
        <ext xmlns:x14="http://schemas.microsoft.com/office/spreadsheetml/2009/9/main" uri="{B025F937-C7B1-47D3-B67F-A62EFF666E3E}">
          <x14:id>{B79A50CE-92B0-42FB-AF76-74CD4F60EA91}</x14:id>
        </ext>
      </extLst>
    </cfRule>
  </conditionalFormatting>
  <conditionalFormatting sqref="B39">
    <cfRule type="dataBar" priority="43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{3980BFAA-E9B4-4BD9-963B-AB63B70551C2}</x14:id>
        </ext>
      </extLst>
    </cfRule>
  </conditionalFormatting>
  <conditionalFormatting sqref="B40">
    <cfRule type="cellIs" dxfId="32" priority="42" operator="greaterThan">
      <formula>$B$39</formula>
    </cfRule>
    <cfRule type="cellIs" dxfId="31" priority="40" operator="equal">
      <formula>$B$39</formula>
    </cfRule>
    <cfRule type="cellIs" dxfId="30" priority="41" operator="lessThan">
      <formula>$B$39</formula>
    </cfRule>
  </conditionalFormatting>
  <conditionalFormatting sqref="B43:B48">
    <cfRule type="dataBar" priority="107">
      <dataBar>
        <cfvo type="num" val="0"/>
        <cfvo type="num" val="7"/>
        <color rgb="FF29A500"/>
      </dataBar>
      <extLst>
        <ext xmlns:x14="http://schemas.microsoft.com/office/spreadsheetml/2009/9/main" uri="{B025F937-C7B1-47D3-B67F-A62EFF666E3E}">
          <x14:id>{BAE07097-D621-4690-9BBC-47791EE65E7C}</x14:id>
        </ext>
      </extLst>
    </cfRule>
  </conditionalFormatting>
  <conditionalFormatting sqref="B49">
    <cfRule type="dataBar" priority="31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{D66DD9E8-C330-46AA-8635-6AB5E0A03F2B}</x14:id>
        </ext>
      </extLst>
    </cfRule>
  </conditionalFormatting>
  <conditionalFormatting sqref="B50">
    <cfRule type="cellIs" dxfId="29" priority="28" operator="equal">
      <formula>$B$49</formula>
    </cfRule>
    <cfRule type="cellIs" dxfId="28" priority="29" operator="lessThan">
      <formula>$B$49</formula>
    </cfRule>
    <cfRule type="cellIs" dxfId="27" priority="30" operator="greaterThan">
      <formula>$B$49</formula>
    </cfRule>
  </conditionalFormatting>
  <conditionalFormatting sqref="B53:B58">
    <cfRule type="dataBar" priority="19">
      <dataBar>
        <cfvo type="num" val="0"/>
        <cfvo type="num" val="7"/>
        <color rgb="FF29A500"/>
      </dataBar>
      <extLst>
        <ext xmlns:x14="http://schemas.microsoft.com/office/spreadsheetml/2009/9/main" uri="{B025F937-C7B1-47D3-B67F-A62EFF666E3E}">
          <x14:id>{B986C95B-C5E8-4175-B4E4-35D2D6538BD3}</x14:id>
        </ext>
      </extLst>
    </cfRule>
  </conditionalFormatting>
  <conditionalFormatting sqref="B59">
    <cfRule type="dataBar" priority="18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{186E128F-F607-43E9-8FD4-DC707E0B0352}</x14:id>
        </ext>
      </extLst>
    </cfRule>
  </conditionalFormatting>
  <conditionalFormatting sqref="B60">
    <cfRule type="cellIs" dxfId="26" priority="15" operator="equal">
      <formula>$B$59</formula>
    </cfRule>
    <cfRule type="cellIs" dxfId="25" priority="16" operator="lessThan">
      <formula>$B$59</formula>
    </cfRule>
    <cfRule type="cellIs" dxfId="24" priority="17" operator="greaterThan">
      <formula>$B$59</formula>
    </cfRule>
  </conditionalFormatting>
  <conditionalFormatting sqref="H9:J9">
    <cfRule type="iconSet" priority="119">
      <iconSet iconSet="3Arrows">
        <cfvo type="percent" val="0"/>
        <cfvo type="num" val="0"/>
        <cfvo type="num" val="0"/>
      </iconSet>
    </cfRule>
  </conditionalFormatting>
  <conditionalFormatting sqref="H9:J10">
    <cfRule type="cellIs" dxfId="23" priority="80" operator="lessThan">
      <formula>0</formula>
    </cfRule>
    <cfRule type="cellIs" dxfId="22" priority="82" operator="equal">
      <formula>0</formula>
    </cfRule>
    <cfRule type="cellIs" dxfId="21" priority="81" operator="greaterThan">
      <formula>0</formula>
    </cfRule>
  </conditionalFormatting>
  <conditionalFormatting sqref="H10:J10">
    <cfRule type="cellIs" dxfId="20" priority="79" operator="greaterThan">
      <formula>$B$9</formula>
    </cfRule>
  </conditionalFormatting>
  <conditionalFormatting sqref="H19:J19">
    <cfRule type="iconSet" priority="71">
      <iconSet iconSet="3Arrows">
        <cfvo type="percent" val="0"/>
        <cfvo type="num" val="0"/>
        <cfvo type="num" val="0"/>
      </iconSet>
    </cfRule>
  </conditionalFormatting>
  <conditionalFormatting sqref="H19:J20">
    <cfRule type="cellIs" dxfId="19" priority="65" operator="lessThan">
      <formula>0</formula>
    </cfRule>
    <cfRule type="cellIs" dxfId="18" priority="66" operator="greaterThan">
      <formula>0</formula>
    </cfRule>
    <cfRule type="cellIs" dxfId="17" priority="67" operator="equal">
      <formula>0</formula>
    </cfRule>
  </conditionalFormatting>
  <conditionalFormatting sqref="H20:J20">
    <cfRule type="cellIs" dxfId="16" priority="64" operator="greaterThan">
      <formula>$B$19</formula>
    </cfRule>
  </conditionalFormatting>
  <conditionalFormatting sqref="H29:J29">
    <cfRule type="iconSet" priority="51">
      <iconSet iconSet="3Arrows">
        <cfvo type="percent" val="0"/>
        <cfvo type="num" val="0"/>
        <cfvo type="num" val="0"/>
      </iconSet>
    </cfRule>
  </conditionalFormatting>
  <conditionalFormatting sqref="H29:J30">
    <cfRule type="cellIs" dxfId="15" priority="46" operator="greaterThan">
      <formula>0</formula>
    </cfRule>
    <cfRule type="cellIs" dxfId="14" priority="47" operator="equal">
      <formula>0</formula>
    </cfRule>
    <cfRule type="cellIs" dxfId="13" priority="45" operator="lessThan">
      <formula>0</formula>
    </cfRule>
  </conditionalFormatting>
  <conditionalFormatting sqref="H30:J30">
    <cfRule type="cellIs" dxfId="12" priority="44" operator="greaterThan">
      <formula>$B$29</formula>
    </cfRule>
  </conditionalFormatting>
  <conditionalFormatting sqref="H39:J39">
    <cfRule type="iconSet" priority="39">
      <iconSet iconSet="3Arrows">
        <cfvo type="percent" val="0"/>
        <cfvo type="num" val="0"/>
        <cfvo type="num" val="0"/>
      </iconSet>
    </cfRule>
  </conditionalFormatting>
  <conditionalFormatting sqref="H39:J40">
    <cfRule type="cellIs" dxfId="11" priority="35" operator="equal">
      <formula>0</formula>
    </cfRule>
    <cfRule type="cellIs" dxfId="10" priority="34" operator="greaterThan">
      <formula>0</formula>
    </cfRule>
    <cfRule type="cellIs" dxfId="9" priority="33" operator="lessThan">
      <formula>0</formula>
    </cfRule>
  </conditionalFormatting>
  <conditionalFormatting sqref="H40:J40">
    <cfRule type="cellIs" dxfId="8" priority="32" operator="greaterThan">
      <formula>$B$39</formula>
    </cfRule>
  </conditionalFormatting>
  <conditionalFormatting sqref="H49:J49">
    <cfRule type="iconSet" priority="27">
      <iconSet iconSet="3Arrows">
        <cfvo type="percent" val="0"/>
        <cfvo type="num" val="0"/>
        <cfvo type="num" val="0"/>
      </iconSet>
    </cfRule>
  </conditionalFormatting>
  <conditionalFormatting sqref="H49:J50">
    <cfRule type="cellIs" dxfId="7" priority="23" operator="equal">
      <formula>0</formula>
    </cfRule>
    <cfRule type="cellIs" dxfId="6" priority="22" operator="greaterThan">
      <formula>0</formula>
    </cfRule>
    <cfRule type="cellIs" dxfId="5" priority="21" operator="lessThan">
      <formula>0</formula>
    </cfRule>
  </conditionalFormatting>
  <conditionalFormatting sqref="H50:J50">
    <cfRule type="cellIs" dxfId="4" priority="20" operator="greaterThan">
      <formula>$B$49</formula>
    </cfRule>
  </conditionalFormatting>
  <conditionalFormatting sqref="H59:J59">
    <cfRule type="iconSet" priority="14">
      <iconSet iconSet="3Arrows">
        <cfvo type="percent" val="0"/>
        <cfvo type="num" val="0"/>
        <cfvo type="num" val="0"/>
      </iconSet>
    </cfRule>
  </conditionalFormatting>
  <conditionalFormatting sqref="H59:J60">
    <cfRule type="cellIs" dxfId="3" priority="10" operator="equal">
      <formula>0</formula>
    </cfRule>
    <cfRule type="cellIs" dxfId="2" priority="9" operator="greaterThan">
      <formula>0</formula>
    </cfRule>
    <cfRule type="cellIs" dxfId="1" priority="8" operator="lessThan">
      <formula>0</formula>
    </cfRule>
  </conditionalFormatting>
  <conditionalFormatting sqref="H60:J60">
    <cfRule type="cellIs" dxfId="0" priority="7" operator="greaterThan">
      <formula>$B$59</formula>
    </cfRule>
  </conditionalFormatting>
  <dataValidations count="2">
    <dataValidation allowBlank="1" showInputMessage="1" showErrorMessage="1" prompt="Select Level" sqref="B3:B8 B13:B18 B23:B28 B33:B38 B43:B48 B53:B58" xr:uid="{00000000-0002-0000-1100-000000000000}">
      <formula1>0</formula1>
      <formula2>0</formula2>
    </dataValidation>
    <dataValidation type="decimal" allowBlank="1" showInputMessage="1" showErrorMessage="1" sqref="B39 B9 B19 B29 B49 B59" xr:uid="{00000000-0002-0000-1100-000001000000}">
      <formula1>0</formula1>
      <formula2>100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79692D-1344-4A66-81DC-DB60A13C1D10}">
            <x14:dataBar minLength="0" maxLength="100" direction="leftToRight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B9</xm:sqref>
        </x14:conditionalFormatting>
        <x14:conditionalFormatting xmlns:xm="http://schemas.microsoft.com/office/excel/2006/main">
          <x14:cfRule type="dataBar" id="{E594F064-D38E-4CCF-8B21-F3258F411D40}">
            <x14:dataBar axisPosition="none">
              <x14:cfvo type="num">
                <xm:f>0</xm:f>
              </x14:cfvo>
              <x14:cfvo type="num">
                <xm:f>7</xm:f>
              </x14:cfvo>
              <x14:negativeFillColor rgb="FF29A500"/>
            </x14:dataBar>
          </x14:cfRule>
          <xm:sqref>B13:B18 B3:B8</xm:sqref>
        </x14:conditionalFormatting>
        <x14:conditionalFormatting xmlns:xm="http://schemas.microsoft.com/office/excel/2006/main">
          <x14:cfRule type="dataBar" id="{F8072AA8-EC91-4855-AF70-827A5DBAAA9C}">
            <x14:dataBar minLength="0" maxLength="100" direction="leftToRight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B19</xm:sqref>
        </x14:conditionalFormatting>
        <x14:conditionalFormatting xmlns:xm="http://schemas.microsoft.com/office/excel/2006/main">
          <x14:cfRule type="dataBar" id="{B81B2969-2CD8-4434-9DA4-21721FE4CC18}">
            <x14:dataBar axisPosition="none">
              <x14:cfvo type="num">
                <xm:f>0</xm:f>
              </x14:cfvo>
              <x14:cfvo type="num">
                <xm:f>7</xm:f>
              </x14:cfvo>
              <x14:negativeFillColor rgb="FF29A500"/>
            </x14:dataBar>
          </x14:cfRule>
          <xm:sqref>B23:B28</xm:sqref>
        </x14:conditionalFormatting>
        <x14:conditionalFormatting xmlns:xm="http://schemas.microsoft.com/office/excel/2006/main">
          <x14:cfRule type="dataBar" id="{641FBF24-4431-43BD-B353-853A00DB91B1}">
            <x14:dataBar minLength="0" maxLength="100" direction="leftToRight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B29</xm:sqref>
        </x14:conditionalFormatting>
        <x14:conditionalFormatting xmlns:xm="http://schemas.microsoft.com/office/excel/2006/main">
          <x14:cfRule type="dataBar" id="{B79A50CE-92B0-42FB-AF76-74CD4F60EA91}">
            <x14:dataBar axisPosition="none">
              <x14:cfvo type="num">
                <xm:f>0</xm:f>
              </x14:cfvo>
              <x14:cfvo type="num">
                <xm:f>7</xm:f>
              </x14:cfvo>
              <x14:negativeFillColor rgb="FF29A500"/>
            </x14:dataBar>
          </x14:cfRule>
          <xm:sqref>B33:B38</xm:sqref>
        </x14:conditionalFormatting>
        <x14:conditionalFormatting xmlns:xm="http://schemas.microsoft.com/office/excel/2006/main">
          <x14:cfRule type="dataBar" id="{3980BFAA-E9B4-4BD9-963B-AB63B70551C2}">
            <x14:dataBar minLength="0" maxLength="100" direction="leftToRight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B39</xm:sqref>
        </x14:conditionalFormatting>
        <x14:conditionalFormatting xmlns:xm="http://schemas.microsoft.com/office/excel/2006/main">
          <x14:cfRule type="dataBar" id="{BAE07097-D621-4690-9BBC-47791EE65E7C}">
            <x14:dataBar axisPosition="none">
              <x14:cfvo type="num">
                <xm:f>0</xm:f>
              </x14:cfvo>
              <x14:cfvo type="num">
                <xm:f>7</xm:f>
              </x14:cfvo>
              <x14:negativeFillColor rgb="FF29A500"/>
            </x14:dataBar>
          </x14:cfRule>
          <xm:sqref>B43:B48</xm:sqref>
        </x14:conditionalFormatting>
        <x14:conditionalFormatting xmlns:xm="http://schemas.microsoft.com/office/excel/2006/main">
          <x14:cfRule type="dataBar" id="{D66DD9E8-C330-46AA-8635-6AB5E0A03F2B}">
            <x14:dataBar minLength="0" maxLength="100" direction="leftToRight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B49</xm:sqref>
        </x14:conditionalFormatting>
        <x14:conditionalFormatting xmlns:xm="http://schemas.microsoft.com/office/excel/2006/main">
          <x14:cfRule type="dataBar" id="{B986C95B-C5E8-4175-B4E4-35D2D6538BD3}">
            <x14:dataBar axisPosition="none">
              <x14:cfvo type="num">
                <xm:f>0</xm:f>
              </x14:cfvo>
              <x14:cfvo type="num">
                <xm:f>7</xm:f>
              </x14:cfvo>
              <x14:negativeFillColor rgb="FF29A500"/>
            </x14:dataBar>
          </x14:cfRule>
          <xm:sqref>B53:B58</xm:sqref>
        </x14:conditionalFormatting>
        <x14:conditionalFormatting xmlns:xm="http://schemas.microsoft.com/office/excel/2006/main">
          <x14:cfRule type="dataBar" id="{186E128F-F607-43E9-8FD4-DC707E0B0352}">
            <x14:dataBar minLength="0" maxLength="100" direction="leftToRight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B59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2DBBDC-F3D1-44D6-A216-B5E04DC13D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11</vt:i4>
      </vt:variant>
    </vt:vector>
  </HeadingPairs>
  <TitlesOfParts>
    <vt:vector size="19" baseType="lpstr">
      <vt:lpstr>Setup&amp;WS</vt:lpstr>
      <vt:lpstr>Tyre&amp;Fuel</vt:lpstr>
      <vt:lpstr>Tyres</vt:lpstr>
      <vt:lpstr>Tables</vt:lpstr>
      <vt:lpstr>Tracks</vt:lpstr>
      <vt:lpstr>Driver</vt:lpstr>
      <vt:lpstr>Planejamento</vt:lpstr>
      <vt:lpstr>Patrocinador</vt:lpstr>
      <vt:lpstr>'Setup&amp;WS'!_FilterDatabase</vt:lpstr>
      <vt:lpstr>Tracks!_FilterDatabase</vt:lpstr>
      <vt:lpstr>Driver!seasontracks</vt:lpstr>
      <vt:lpstr>seasontracks</vt:lpstr>
      <vt:lpstr>Tracks</vt:lpstr>
      <vt:lpstr>Driver!tyrediff</vt:lpstr>
      <vt:lpstr>tyrediff</vt:lpstr>
      <vt:lpstr>Driver!Tyresuppliers</vt:lpstr>
      <vt:lpstr>Tyresuppliers</vt:lpstr>
      <vt:lpstr>Driver!Yesno</vt:lpstr>
      <vt:lpstr>Yesno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Gpro Setup - Season 83</dc:title>
  <dc:subject/>
  <dc:creator>Joelson Goncalves</dc:creator>
  <dc:description/>
  <cp:lastModifiedBy>Joelson Goncalves</cp:lastModifiedBy>
  <cp:revision>24</cp:revision>
  <dcterms:created xsi:type="dcterms:W3CDTF">2017-01-16T20:25:59Z</dcterms:created>
  <dcterms:modified xsi:type="dcterms:W3CDTF">2026-01-25T21:06:01Z</dcterms:modified>
  <dc:language>pt-BR</dc:language>
</cp:coreProperties>
</file>